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Override PartName="/xl/tables/table1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8fb315561ad4a67" /></Relationships>
</file>

<file path=xl/workbook.xml><?xml version="1.0" encoding="utf-8"?>
<x:workbook xmlns:x="http://schemas.openxmlformats.org/spreadsheetml/2006/main">
  <x:sheets>
    <x:sheet xmlns:r="http://schemas.openxmlformats.org/officeDocument/2006/relationships" name="00_使用说明" sheetId="1" r:id="Rea93f306a6f74d28"/>
    <x:sheet xmlns:r="http://schemas.openxmlformats.org/officeDocument/2006/relationships" name="01_全部210题" sheetId="2" r:id="Ra5f06da2b9064213"/>
    <x:sheet xmlns:r="http://schemas.openxmlformats.org/officeDocument/2006/relationships" name="02_30道异常题" sheetId="3" r:id="R7c21e5f236394c41"/>
    <x:sheet xmlns:r="http://schemas.openxmlformats.org/officeDocument/2006/relationships" name="03_A类仅待终审" sheetId="4" r:id="Re30f4608a8dd4a83"/>
    <x:sheet xmlns:r="http://schemas.openxmlformats.org/officeDocument/2006/relationships" name="04_B类证据不足" sheetId="5" r:id="Rd33a9613278b485c"/>
    <x:sheet xmlns:r="http://schemas.openxmlformats.org/officeDocument/2006/relationships" name="05_C类题目材料问题" sheetId="6" r:id="Rb26aa5c443e243d7"/>
    <x:sheet xmlns:r="http://schemas.openxmlformats.org/officeDocument/2006/relationships" name="06_D类无需复核候选" sheetId="7" r:id="R2677eb53432c4862"/>
    <x:sheet xmlns:r="http://schemas.openxmlformats.org/officeDocument/2006/relationships" name="07_18题趋势候选" sheetId="8" r:id="R6d8fbdf5e8f34193"/>
    <x:sheet xmlns:r="http://schemas.openxmlformats.org/officeDocument/2006/relationships" name="08_正式实验候选" sheetId="9" r:id="Re12bcc97a6fd4347"/>
    <x:sheet xmlns:r="http://schemas.openxmlformats.org/officeDocument/2006/relationships" name="09_标签映射规则" sheetId="10" r:id="Red34a061a9854252"/>
    <x:sheet xmlns:r="http://schemas.openxmlformats.org/officeDocument/2006/relationships" name="10_四维分类定义" sheetId="11" r:id="Rbbc6683a8fbd419a"/>
    <x:sheet xmlns:r="http://schemas.openxmlformats.org/officeDocument/2006/relationships" name="11_统计看板" sheetId="12" r:id="Re4c867dd73dd43eb"/>
    <x:sheet xmlns:r="http://schemas.openxmlformats.org/officeDocument/2006/relationships" name="12_变更日志" sheetId="13" r:id="R1c392c57826c4a1a"/>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1"/>
      <x:name val="Microsoft YaHei"/>
    </x:font>
    <x:font>
      <x:b/>
      <x:sz val="10"/>
      <x:color rgb="FFFFFFFF"/>
      <x:name val="Microsoft YaHei"/>
    </x:font>
    <x:font>
      <x:sz val="9"/>
      <x:name val="Microsoft YaHei"/>
    </x:font>
    <x:font>
      <x:b/>
      <x:sz val="9"/>
      <x:color rgb="FFFFFFFF"/>
      <x:name val="Microsoft YaHei"/>
    </x:font>
  </x:fonts>
  <x:fills count="6">
    <x:fill>
      <x:patternFill patternType="none"/>
    </x:fill>
    <x:fill>
      <x:patternFill patternType="gray125"/>
    </x:fill>
    <x:fill>
      <x:patternFill patternType="solid">
        <x:fgColor rgb="FF1F4E78"/>
      </x:patternFill>
    </x:fill>
    <x:fill>
      <x:patternFill patternType="solid">
        <x:fgColor rgb="FFC65911"/>
      </x:patternFill>
    </x:fill>
    <x:fill>
      <x:patternFill patternType="solid">
        <x:fgColor rgb="FF548235"/>
      </x:patternFill>
    </x:fill>
    <x:fill>
      <x:patternFill patternType="solid">
        <x:fgColor rgb="FFFFF2CC"/>
      </x:patternFill>
    </x:fill>
  </x:fills>
  <x:borders count="26">
    <x:border/>
    <x:border/>
    <x:border>
      <x:right style="thin">
        <x:color rgb="FFEDF2F7"/>
      </x:right>
      <x:bottom style="thin">
        <x:color rgb="FFE2E8F0"/>
      </x:bottom>
    </x:border>
    <x:border>
      <x:left style="thin">
        <x:color rgb="FFEDF2F7"/>
      </x:left>
      <x:right style="thin">
        <x:color rgb="FFEDF2F7"/>
      </x:right>
      <x:bottom style="thin">
        <x:color rgb="FFE2E8F0"/>
      </x:bottom>
    </x:border>
    <x:border>
      <x:left style="thin">
        <x:color rgb="FFEDF2F7"/>
      </x:left>
      <x:bottom style="thin">
        <x:color rgb="FFE2E8F0"/>
      </x:bottom>
    </x:border>
    <x:border>
      <x:right style="thin">
        <x:color rgb="FFEDF2F7"/>
      </x:right>
      <x:top style="thin">
        <x:color rgb="FFE2E8F0"/>
      </x:top>
      <x:bottom style="thin">
        <x:color rgb="FFE2E8F0"/>
      </x:bottom>
    </x:border>
    <x:border>
      <x:left style="thin">
        <x:color rgb="FFEDF2F7"/>
      </x:left>
      <x:right style="thin">
        <x:color rgb="FFEDF2F7"/>
      </x:right>
      <x:top style="thin">
        <x:color rgb="FFE2E8F0"/>
      </x:top>
      <x:bottom style="thin">
        <x:color rgb="FFE2E8F0"/>
      </x:bottom>
    </x:border>
    <x:border>
      <x:left style="thin">
        <x:color rgb="FFEDF2F7"/>
      </x:left>
      <x:top style="thin">
        <x:color rgb="FFE2E8F0"/>
      </x:top>
      <x:bottom style="thin">
        <x:color rgb="FFE2E8F0"/>
      </x:bottom>
    </x:border>
    <x:border>
      <x:right style="thin">
        <x:color rgb="FFEDF2F7"/>
      </x:right>
      <x:top style="thin">
        <x:color rgb="FFE2E8F0"/>
      </x:top>
      <x:bottom style="thin">
        <x:color rgb="FFCBD5E1"/>
      </x:bottom>
    </x:border>
    <x:border>
      <x:left style="thin">
        <x:color rgb="FFEDF2F7"/>
      </x:left>
      <x:right style="thin">
        <x:color rgb="FFEDF2F7"/>
      </x:right>
      <x:top style="thin">
        <x:color rgb="FFE2E8F0"/>
      </x:top>
      <x:bottom style="thin">
        <x:color rgb="FFCBD5E1"/>
      </x:bottom>
    </x:border>
    <x:border>
      <x:left style="thin">
        <x:color rgb="FFEDF2F7"/>
      </x:left>
      <x:top style="thin">
        <x:color rgb="FFE2E8F0"/>
      </x:top>
      <x:bottom style="thin">
        <x:color rgb="FFCBD5E1"/>
      </x:bottom>
    </x:border>
    <x:border>
      <x:right style="thin">
        <x:color rgb="FFEDF2F7"/>
      </x:right>
      <x:bottom style="thin">
        <x:color rgb="FFE2E8F0"/>
      </x:bottom>
    </x:border>
    <x:border>
      <x:left style="thin">
        <x:color rgb="FFEDF2F7"/>
      </x:left>
      <x:right style="thin">
        <x:color rgb="FFEDF2F7"/>
      </x:right>
      <x:bottom style="thin">
        <x:color rgb="FFE2E8F0"/>
      </x:bottom>
    </x:border>
    <x:border>
      <x:left style="thin">
        <x:color rgb="FFEDF2F7"/>
      </x:left>
      <x:bottom style="thin">
        <x:color rgb="FFE2E8F0"/>
      </x:bottom>
    </x:border>
    <x:border>
      <x:right style="thin">
        <x:color rgb="FFEDF2F7"/>
      </x:right>
      <x:top style="thin">
        <x:color rgb="FFE2E8F0"/>
      </x:top>
      <x:bottom style="thin">
        <x:color rgb="FFE2E8F0"/>
      </x:bottom>
    </x:border>
    <x:border>
      <x:left style="thin">
        <x:color rgb="FFEDF2F7"/>
      </x:left>
      <x:right style="thin">
        <x:color rgb="FFEDF2F7"/>
      </x:right>
      <x:top style="thin">
        <x:color rgb="FFE2E8F0"/>
      </x:top>
      <x:bottom style="thin">
        <x:color rgb="FFE2E8F0"/>
      </x:bottom>
    </x:border>
    <x:border>
      <x:left style="thin">
        <x:color rgb="FFEDF2F7"/>
      </x:left>
      <x:top style="thin">
        <x:color rgb="FFE2E8F0"/>
      </x:top>
      <x:bottom style="thin">
        <x:color rgb="FFE2E8F0"/>
      </x:bottom>
    </x:border>
    <x:border>
      <x:right style="thin">
        <x:color rgb="FFEDF2F7"/>
      </x:right>
      <x:top style="thin">
        <x:color rgb="FFE2E8F0"/>
      </x:top>
      <x:bottom style="thin">
        <x:color rgb="FFCBD5E1"/>
      </x:bottom>
    </x:border>
    <x:border>
      <x:left style="thin">
        <x:color rgb="FFEDF2F7"/>
      </x:left>
      <x:right style="thin">
        <x:color rgb="FFEDF2F7"/>
      </x:right>
      <x:top style="thin">
        <x:color rgb="FFE2E8F0"/>
      </x:top>
      <x:bottom style="thin">
        <x:color rgb="FFCBD5E1"/>
      </x:bottom>
    </x:border>
    <x:border>
      <x:left style="thin">
        <x:color rgb="FFEDF2F7"/>
      </x:left>
      <x:top style="thin">
        <x:color rgb="FFE2E8F0"/>
      </x:top>
      <x:bottom style="thin">
        <x:color rgb="FFCBD5E1"/>
      </x:bottom>
    </x:border>
    <x:border>
      <x:right style="thin">
        <x:color rgb="FFEDF2F7"/>
      </x:right>
      <x:bottom style="thin">
        <x:color rgb="FFCBD5E1"/>
      </x:bottom>
    </x:border>
    <x:border>
      <x:left style="thin">
        <x:color rgb="FFEDF2F7"/>
      </x:left>
      <x:right style="thin">
        <x:color rgb="FFEDF2F7"/>
      </x:right>
      <x:bottom style="thin">
        <x:color rgb="FFCBD5E1"/>
      </x:bottom>
    </x:border>
    <x:border>
      <x:left style="thin">
        <x:color rgb="FFEDF2F7"/>
      </x:left>
      <x:bottom style="thin">
        <x:color rgb="FFCBD5E1"/>
      </x:bottom>
    </x:border>
    <x:border>
      <x:right style="thin">
        <x:color rgb="FFEDF2F7"/>
      </x:right>
      <x:bottom style="thin">
        <x:color rgb="FFCBD5E1"/>
      </x:bottom>
    </x:border>
    <x:border>
      <x:left style="thin">
        <x:color rgb="FFEDF2F7"/>
      </x:left>
      <x:right style="thin">
        <x:color rgb="FFEDF2F7"/>
      </x:right>
      <x:bottom style="thin">
        <x:color rgb="FFCBD5E1"/>
      </x:bottom>
    </x:border>
    <x:border>
      <x:left style="thin">
        <x:color rgb="FFEDF2F7"/>
      </x:left>
      <x:bottom style="thin">
        <x:color rgb="FFCBD5E1"/>
      </x:bottom>
    </x:border>
  </x:borders>
  <x:cellStyleXfs count="1">
    <x:xf numFmtId="0" fontId="0" fillId="0" borderId="0"/>
  </x:cellStyleXfs>
  <x:cellXfs count="101">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wrapText="1"/>
    </x:xf>
    <x:xf numFmtId="0" fontId="1" fillId="0" borderId="1"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0" fillId="2" borderId="0" xfId="0" applyNumberFormat="1" applyFont="1" applyFill="1" applyBorder="1"/>
    <x:xf numFmtId="0" fontId="0" fillId="2" borderId="1"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0" xfId="0" applyNumberFormat="1" applyFont="1" applyFill="1" applyBorder="1" applyAlignment="1">
      <x:alignment wrapText="1"/>
    </x:xf>
    <x:xf numFmtId="0" fontId="2" fillId="2" borderId="1" xfId="0" applyNumberFormat="1" applyFont="1" applyFill="1" applyBorder="1" applyAlignment="1">
      <x:alignment wrapText="1"/>
    </x:xf>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0" xfId="0" applyNumberFormat="1" applyFont="1" applyFill="1" applyBorder="1" applyAlignment="1">
      <x:alignment vertical="center"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0" fillId="4" borderId="1" xfId="0" applyNumberFormat="1" applyFont="1" applyFill="1" applyBorder="1"/>
    <x:xf numFmtId="0" fontId="2" fillId="4" borderId="0" xfId="0" applyNumberFormat="1" applyFont="1" applyFill="1" applyBorder="1"/>
    <x:xf numFmtId="0" fontId="2" fillId="4" borderId="1" xfId="0" applyNumberFormat="1" applyFont="1" applyFill="1" applyBorder="1"/>
    <x:xf numFmtId="0" fontId="2" fillId="4" borderId="0" xfId="0" applyNumberFormat="1" applyFont="1" applyFill="1" applyBorder="1" applyAlignment="1">
      <x:alignment wrapText="1"/>
    </x:xf>
    <x:xf numFmtId="0" fontId="2" fillId="4" borderId="1" xfId="0" applyNumberFormat="1" applyFont="1" applyFill="1" applyBorder="1" applyAlignment="1">
      <x:alignment wrapText="1"/>
    </x:xf>
    <x:xf numFmtId="0" fontId="2" fillId="4" borderId="0" xfId="0" applyNumberFormat="1" applyFont="1" applyFill="1" applyBorder="1" applyAlignment="1">
      <x:alignment vertical="center" wrapText="1"/>
    </x:xf>
    <x:xf numFmtId="0" fontId="2" fillId="4" borderId="1" xfId="0" applyNumberFormat="1" applyFont="1" applyFill="1" applyBorder="1" applyAlignment="1">
      <x:alignment vertical="center" wrapText="1"/>
    </x:xf>
    <x:xf numFmtId="0" fontId="3" fillId="0" borderId="0" xfId="0" applyNumberFormat="1" applyFont="1" applyFill="1" applyBorder="1"/>
    <x:xf numFmtId="0" fontId="3" fillId="0" borderId="1" xfId="0" applyNumberFormat="1" applyFont="1" applyFill="1" applyBorder="1"/>
    <x:xf numFmtId="0" fontId="3" fillId="0" borderId="0" xfId="0" applyNumberFormat="1" applyFont="1" applyFill="1" applyBorder="1" applyAlignment="1">
      <x:alignment wrapText="1"/>
    </x:xf>
    <x:xf numFmtId="0" fontId="3" fillId="0" borderId="1" xfId="0" applyNumberFormat="1" applyFont="1" applyFill="1" applyBorder="1" applyAlignment="1">
      <x:alignment wrapText="1"/>
    </x:xf>
    <x:xf numFmtId="0" fontId="3" fillId="0" borderId="0"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3" borderId="3" xfId="0" applyNumberFormat="1" applyFont="1" applyFill="1" applyBorder="1" applyAlignment="1">
      <x:alignment vertical="center" wrapText="1"/>
    </x:xf>
    <x:xf numFmtId="0" fontId="2" fillId="4" borderId="3" xfId="0" applyNumberFormat="1" applyFont="1" applyFill="1" applyBorder="1" applyAlignment="1">
      <x:alignment vertical="center" wrapText="1"/>
    </x:xf>
    <x:xf numFmtId="0" fontId="2" fillId="4" borderId="4" xfId="0" applyNumberFormat="1" applyFont="1" applyFill="1" applyBorder="1" applyAlignment="1">
      <x:alignment vertical="center"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0" borderId="7" xfId="0" applyNumberFormat="1" applyFont="1" applyFill="1" applyBorder="1" applyAlignment="1">
      <x:alignment vertical="top" wrapText="1"/>
    </x:xf>
    <x:xf numFmtId="0" fontId="3" fillId="0" borderId="8" xfId="0" applyNumberFormat="1" applyFont="1" applyFill="1" applyBorder="1" applyAlignment="1">
      <x:alignment vertical="top" wrapText="1"/>
    </x:xf>
    <x:xf numFmtId="0" fontId="3" fillId="0" borderId="9" xfId="0" applyNumberFormat="1" applyFont="1" applyFill="1" applyBorder="1" applyAlignment="1">
      <x:alignment vertical="top" wrapText="1"/>
    </x:xf>
    <x:xf numFmtId="0" fontId="3" fillId="0" borderId="10" xfId="0" applyNumberFormat="1" applyFont="1" applyFill="1" applyBorder="1" applyAlignment="1">
      <x:alignment vertical="top" wrapText="1"/>
    </x:xf>
    <x:xf numFmtId="0" fontId="2" fillId="2" borderId="11" xfId="0" applyNumberFormat="1" applyFont="1" applyFill="1" applyBorder="1" applyAlignment="1">
      <x:alignment vertical="center" wrapText="1"/>
    </x:xf>
    <x:xf numFmtId="0" fontId="2" fillId="2" borderId="12" xfId="0" applyNumberFormat="1" applyFont="1" applyFill="1" applyBorder="1" applyAlignment="1">
      <x:alignment vertical="center" wrapText="1"/>
    </x:xf>
    <x:xf numFmtId="0" fontId="2" fillId="3" borderId="12" xfId="0" applyNumberFormat="1" applyFont="1" applyFill="1" applyBorder="1" applyAlignment="1">
      <x:alignment vertical="center" wrapText="1"/>
    </x:xf>
    <x:xf numFmtId="0" fontId="2" fillId="4" borderId="12" xfId="0" applyNumberFormat="1" applyFont="1" applyFill="1" applyBorder="1" applyAlignment="1">
      <x:alignment vertical="center" wrapText="1"/>
    </x:xf>
    <x:xf numFmtId="0" fontId="2" fillId="4" borderId="13" xfId="0" applyNumberFormat="1" applyFont="1" applyFill="1" applyBorder="1" applyAlignment="1">
      <x:alignment vertical="center" wrapText="1"/>
    </x:xf>
    <x:xf numFmtId="0" fontId="3" fillId="0" borderId="14" xfId="0" applyNumberFormat="1" applyFont="1" applyFill="1" applyBorder="1" applyAlignment="1">
      <x:alignment vertical="top" wrapText="1"/>
    </x:xf>
    <x:xf numFmtId="0" fontId="3" fillId="0" borderId="15" xfId="0" applyNumberFormat="1" applyFont="1" applyFill="1" applyBorder="1" applyAlignment="1">
      <x:alignment vertical="top" wrapText="1"/>
    </x:xf>
    <x:xf numFmtId="0" fontId="3" fillId="0" borderId="16"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8"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5" borderId="9" xfId="0" applyNumberFormat="1" applyFont="1" applyFill="1" applyBorder="1" applyAlignment="1">
      <x:alignment vertical="top" wrapText="1"/>
    </x:xf>
    <x:xf numFmtId="0" fontId="3" fillId="5" borderId="15"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10" xfId="0" applyNumberFormat="1" applyFont="1" applyFill="1" applyBorder="1" applyAlignment="1">
      <x:alignment vertical="top" wrapText="1"/>
    </x:xf>
    <x:xf numFmtId="0" fontId="3" fillId="5" borderId="16" xfId="0" applyNumberFormat="1" applyFont="1" applyFill="1" applyBorder="1" applyAlignment="1">
      <x:alignment vertical="top" wrapText="1"/>
    </x:xf>
    <x:xf numFmtId="0" fontId="3" fillId="5" borderId="19" xfId="0" applyNumberFormat="1" applyFont="1" applyFill="1" applyBorder="1" applyAlignment="1">
      <x:alignment vertical="top" wrapText="1"/>
    </x:xf>
    <x:xf numFmtId="0" fontId="4" fillId="2" borderId="0" xfId="0" applyNumberFormat="1" applyFont="1" applyFill="1" applyBorder="1" applyAlignment="1">
      <x:alignment vertical="center" wrapText="1"/>
    </x:xf>
    <x:xf numFmtId="0" fontId="4" fillId="3"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2" borderId="1" xfId="0" applyNumberFormat="1" applyFont="1" applyFill="1" applyBorder="1" applyAlignment="1">
      <x:alignment vertical="center" wrapText="1"/>
    </x:xf>
    <x:xf numFmtId="0" fontId="4" fillId="3" borderId="1" xfId="0" applyNumberFormat="1" applyFont="1" applyFill="1" applyBorder="1" applyAlignment="1">
      <x:alignment vertical="center" wrapText="1"/>
    </x:xf>
    <x:xf numFmtId="0" fontId="4" fillId="4" borderId="1" xfId="0" applyNumberFormat="1" applyFont="1" applyFill="1" applyBorder="1" applyAlignment="1">
      <x:alignment vertical="center" wrapText="1"/>
    </x:xf>
    <x:xf numFmtId="0" fontId="4" fillId="2" borderId="0"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2" borderId="20" xfId="0" applyNumberFormat="1" applyFont="1" applyFill="1" applyBorder="1" applyAlignment="1">
      <x:alignment vertical="top" wrapText="1"/>
    </x:xf>
    <x:xf numFmtId="0" fontId="4" fillId="2" borderId="21" xfId="0" applyNumberFormat="1" applyFont="1" applyFill="1" applyBorder="1" applyAlignment="1">
      <x:alignment vertical="top" wrapText="1"/>
    </x:xf>
    <x:xf numFmtId="0" fontId="4" fillId="3" borderId="21" xfId="0" applyNumberFormat="1" applyFont="1" applyFill="1" applyBorder="1" applyAlignment="1">
      <x:alignment vertical="top" wrapText="1"/>
    </x:xf>
    <x:xf numFmtId="0" fontId="4" fillId="4" borderId="21" xfId="0" applyNumberFormat="1" applyFont="1" applyFill="1" applyBorder="1" applyAlignment="1">
      <x:alignment vertical="top" wrapText="1"/>
    </x:xf>
    <x:xf numFmtId="0" fontId="4" fillId="4" borderId="22" xfId="0" applyNumberFormat="1" applyFont="1" applyFill="1" applyBorder="1" applyAlignment="1">
      <x:alignment vertical="top" wrapText="1"/>
    </x:xf>
    <x:xf numFmtId="0" fontId="4" fillId="2" borderId="23" xfId="0" applyNumberFormat="1" applyFont="1" applyFill="1" applyBorder="1" applyAlignment="1">
      <x:alignment vertical="top" wrapText="1"/>
    </x:xf>
    <x:xf numFmtId="0" fontId="4" fillId="2" borderId="24" xfId="0" applyNumberFormat="1" applyFont="1" applyFill="1" applyBorder="1" applyAlignment="1">
      <x:alignment vertical="top" wrapText="1"/>
    </x:xf>
    <x:xf numFmtId="0" fontId="4" fillId="3" borderId="24" xfId="0" applyNumberFormat="1" applyFont="1" applyFill="1" applyBorder="1" applyAlignment="1">
      <x:alignment vertical="top" wrapText="1"/>
    </x:xf>
    <x:xf numFmtId="0" fontId="4" fillId="4" borderId="24" xfId="0" applyNumberFormat="1" applyFont="1" applyFill="1" applyBorder="1" applyAlignment="1">
      <x:alignment vertical="top" wrapText="1"/>
    </x:xf>
    <x:xf numFmtId="0" fontId="4" fillId="4" borderId="25"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4" fillId="5" borderId="22"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1" fillId="5" borderId="0" xfId="0" applyNumberFormat="1" applyFont="1" applyFill="1" applyBorder="1" applyAlignment="1">
      <x:alignment wrapText="1"/>
    </x:xf>
  </x:cellXfs>
  <x:cellStyles count="1">
    <x:cellStyle name="Normal" xfId="0"/>
  </x:cellStyles>
  <x:dxfs count="21">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
      <x:font>
        <x:color rgb="FF9C0006"/>
      </x:font>
      <x:fill>
        <x:patternFill patternType="solid">
          <x:bgColor rgb="FFF4CCCC"/>
        </x:patternFill>
      </x:fill>
    </x:dxf>
    <x:dxf>
      <x:font>
        <x:color rgb="FF7F6000"/>
      </x:font>
      <x:fill>
        <x:patternFill patternType="solid">
          <x:bgColor rgb="FFFFD966"/>
        </x:patternFill>
      </x:fill>
    </x:dxf>
    <x:dxf>
      <x:font>
        <x:b/>
        <x:color rgb="FF006100"/>
      </x:font>
      <x:fill>
        <x:patternFill patternType="solid">
          <x:bgColor rgb="FFC6E0B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8ecd10c924946ca" /><Relationship Type="http://schemas.openxmlformats.org/officeDocument/2006/relationships/theme" Target="/xl/theme/theme1.xml" Id="R366e2ed0c67e49dd" /><Relationship Type="http://schemas.openxmlformats.org/officeDocument/2006/relationships/sharedStrings" Target="/xl/sharedStrings.xml" Id="R9f9e4e27a3d348c3" /><Relationship Type="http://schemas.openxmlformats.org/officeDocument/2006/relationships/worksheet" Target="/xl/worksheets/sheet1.xml" Id="Rea93f306a6f74d28" /><Relationship Type="http://schemas.openxmlformats.org/officeDocument/2006/relationships/worksheet" Target="/xl/worksheets/sheet2.xml" Id="Ra5f06da2b9064213" /><Relationship Type="http://schemas.openxmlformats.org/officeDocument/2006/relationships/worksheet" Target="/xl/worksheets/sheet3.xml" Id="R7c21e5f236394c41" /><Relationship Type="http://schemas.openxmlformats.org/officeDocument/2006/relationships/worksheet" Target="/xl/worksheets/sheet4.xml" Id="Re30f4608a8dd4a83" /><Relationship Type="http://schemas.openxmlformats.org/officeDocument/2006/relationships/worksheet" Target="/xl/worksheets/sheet5.xml" Id="Rd33a9613278b485c" /><Relationship Type="http://schemas.openxmlformats.org/officeDocument/2006/relationships/worksheet" Target="/xl/worksheets/sheet6.xml" Id="Rb26aa5c443e243d7" /><Relationship Type="http://schemas.openxmlformats.org/officeDocument/2006/relationships/worksheet" Target="/xl/worksheets/sheet7.xml" Id="R2677eb53432c4862" /><Relationship Type="http://schemas.openxmlformats.org/officeDocument/2006/relationships/worksheet" Target="/xl/worksheets/sheet8.xml" Id="R6d8fbdf5e8f34193" /><Relationship Type="http://schemas.openxmlformats.org/officeDocument/2006/relationships/worksheet" Target="/xl/worksheets/sheet9.xml" Id="Re12bcc97a6fd4347" /><Relationship Type="http://schemas.openxmlformats.org/officeDocument/2006/relationships/worksheet" Target="/xl/worksheets/sheet10.xml" Id="Red34a061a9854252" /><Relationship Type="http://schemas.openxmlformats.org/officeDocument/2006/relationships/worksheet" Target="/xl/worksheets/sheet11.xml" Id="Rbbc6683a8fbd419a" /><Relationship Type="http://schemas.openxmlformats.org/officeDocument/2006/relationships/worksheet" Target="/xl/worksheets/sheet12.xml" Id="Re4c867dd73dd43eb" /><Relationship Type="http://schemas.openxmlformats.org/officeDocument/2006/relationships/worksheet" Target="/xl/worksheets/sheet13.xml" Id="R1c392c57826c4a1a" /></Relationships>
</file>

<file path=xl/tables/table1.xml><?xml version="1.0" encoding="utf-8"?>
<x:table xmlns:x="http://schemas.openxmlformats.org/spreadsheetml/2006/main" id="1" name="All210Table" displayName="All210Table" ref="A1:BD211"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2.xml><?xml version="1.0" encoding="utf-8"?>
<x:table xmlns:x="http://schemas.openxmlformats.org/spreadsheetml/2006/main" id="2" name="Anomaly30Table" displayName="Anomaly30Table" ref="A1:BD31"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3.xml><?xml version="1.0" encoding="utf-8"?>
<x:table xmlns:x="http://schemas.openxmlformats.org/spreadsheetml/2006/main" id="3" name="QueueATable" displayName="QueueATable" ref="A1:BD67"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4.xml><?xml version="1.0" encoding="utf-8"?>
<x:table xmlns:x="http://schemas.openxmlformats.org/spreadsheetml/2006/main" id="4" name="QueueBTable" displayName="QueueBTable" ref="A1:BD44"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5.xml><?xml version="1.0" encoding="utf-8"?>
<x:table xmlns:x="http://schemas.openxmlformats.org/spreadsheetml/2006/main" id="5" name="QueueCTable" displayName="QueueCTable" ref="A1:BD31"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6.xml><?xml version="1.0" encoding="utf-8"?>
<x:table xmlns:x="http://schemas.openxmlformats.org/spreadsheetml/2006/main" id="6" name="Pilot18Table" displayName="Pilot18Table" ref="A1:BD19"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7.xml><?xml version="1.0" encoding="utf-8"?>
<x:table xmlns:x="http://schemas.openxmlformats.org/spreadsheetml/2006/main" id="7" name="FormalCandidateTable" displayName="FormalCandidateTable" ref="A1:BD49" headerRowCount="1" totalsRowCount="0" totalsRowShown="0">
  <x:tableColumns count="56">
    <x:tableColumn id="1" name="date"/>
    <x:tableColumn id="2" name="canonical_project_id"/>
    <x:tableColumn id="3" name="version_round"/>
    <x:tableColumn id="4" name="report_name"/>
    <x:tableColumn id="5" name="project_name"/>
    <x:tableColumn id="6" name="question_id"/>
    <x:tableColumn id="7" name="audit_module"/>
    <x:tableColumn id="8" name="question"/>
    <x:tableColumn id="9" name="answer"/>
    <x:tableColumn id="10" name="evidence"/>
    <x:tableColumn id="11" name="source_basis"/>
    <x:tableColumn id="12" name="scarcity_check"/>
    <x:tableColumn id="13" name="verifiability_check"/>
    <x:tableColumn id="14" name="manual_check"/>
    <x:tableColumn id="15" name="人工判断"/>
    <x:tableColumn id="16" name="人工备注"/>
    <x:tableColumn id="17" name="润色后答案"/>
    <x:tableColumn id="18" name="修改类型"/>
    <x:tableColumn id="19" name="是否需要人工复核"/>
    <x:tableColumn id="20" name="AI标注备注"/>
    <x:tableColumn id="21" name="来源文件"/>
    <x:tableColumn id="22" name="审核类别"/>
    <x:tableColumn id="23" name="raw_manual_judgement"/>
    <x:tableColumn id="24" name="normalized_judgement_candidate"/>
    <x:tableColumn id="25" name="normalized_judgement_final"/>
    <x:tableColumn id="26" name="gold_review_status"/>
    <x:tableColumn id="27" name="evidence_sufficiency"/>
    <x:tableColumn id="28" name="item_quality_status"/>
    <x:tableColumn id="29" name="basis_verification_status"/>
    <x:tableColumn id="30" name="taxonomy_review_status"/>
    <x:tableColumn id="31" name="experiment_inclusion"/>
    <x:tableColumn id="32" name="review_queue_type"/>
    <x:tableColumn id="33" name="reviewer_1"/>
    <x:tableColumn id="34" name="reviewer_1_date"/>
    <x:tableColumn id="35" name="reviewer_2"/>
    <x:tableColumn id="36" name="reviewer_2_date"/>
    <x:tableColumn id="37" name="adjudicator"/>
    <x:tableColumn id="38" name="adjudication_note"/>
    <x:tableColumn id="39" name="gold_version"/>
    <x:tableColumn id="40" name="source_row_number"/>
    <x:tableColumn id="41" name="auto_mapping_rule"/>
    <x:tableColumn id="42" name="auto_flag_reason"/>
    <x:tableColumn id="43" name="human_review_note"/>
    <x:tableColumn id="44" name="audit_domain"/>
    <x:tableColumn id="45" name="cognitive_level"/>
    <x:tableColumn id="46" name="reasoning_type"/>
    <x:tableColumn id="47" name="primary_functional_capability"/>
    <x:tableColumn id="48" name="secondary_capabilities"/>
    <x:tableColumn id="49" name="knowledge_dependency"/>
    <x:tableColumn id="50" name="workflow_dependency"/>
    <x:tableColumn id="51" name="evidence_span"/>
    <x:tableColumn id="52" name="template_default_used"/>
    <x:tableColumn id="53" name="taxonomy_source_override_reason"/>
    <x:tableColumn id="54" name="classification_status"/>
    <x:tableColumn id="55" name="taxonomy_version"/>
    <x:tableColumn id="56" name="taxonomy_override_reason"/>
  </x:tableColumns>
  <x:tableStyleInfo name="TableStyleMedium2" showFirstColumn="0" showLastColumn="0" showRowStripes="1" showColumnStripes="0"/>
</x:table>
</file>

<file path=xl/tables/table8.xml><?xml version="1.0" encoding="utf-8"?>
<x:table xmlns:x="http://schemas.openxmlformats.org/spreadsheetml/2006/main" id="8" name="MappingRulesTable" displayName="MappingRulesTable" ref="A1:C12" headerRowCount="1" totalsRowCount="0" totalsRowShown="0">
  <x:tableColumns count="3">
    <x:tableColumn id="1" name="原始人工判断"/>
    <x:tableColumn id="2" name="候选映射"/>
    <x:tableColumn id="3" name="处理原则"/>
  </x:tableColumns>
  <x:tableStyleInfo name="TableStyleMedium2" showFirstColumn="0" showLastColumn="0" showRowStripes="1" showColumnStripes="0"/>
</x:table>
</file>

<file path=xl/tables/table9.xml><?xml version="1.0" encoding="utf-8"?>
<x:table xmlns:x="http://schemas.openxmlformats.org/spreadsheetml/2006/main" id="9" name="TaxonomyDefinitionsTable" displayName="TaxonomyDefinitionsTable" ref="A1:B9" headerRowCount="1" totalsRowCount="0" totalsRowShown="0">
  <x:tableColumns count="2">
    <x:tableColumn id="1" name="维度"/>
    <x:tableColumn id="2" name="枚举/说明"/>
  </x:tableColumns>
  <x:tableStyleInfo name="TableStyleMedium4" showFirstColumn="0" showLastColumn="0" showRowStripes="1" showColumnStripes="0"/>
</x:table>
</file>

<file path=xl/tables/table10.xml><?xml version="1.0" encoding="utf-8"?>
<x:table xmlns:x="http://schemas.openxmlformats.org/spreadsheetml/2006/main" id="10" name="DashboardTable" displayName="DashboardTable" ref="A1:C10" headerRowCount="1" totalsRowCount="0" totalsRowShown="0">
  <x:tableColumns count="3">
    <x:tableColumn id="1" name="指标"/>
    <x:tableColumn id="2" name="数量"/>
    <x:tableColumn id="3" name="说明"/>
  </x:tableColumns>
  <x:tableStyleInfo name="TableStyleMedium2" showFirstColumn="0" showLastColumn="0" showRowStripes="1" showColumnStripes="0"/>
</x:table>
</file>

<file path=xl/tables/table11.xml><?xml version="1.0" encoding="utf-8"?>
<x:table xmlns:x="http://schemas.openxmlformats.org/spreadsheetml/2006/main" id="11" name="ChangeLogTable" displayName="ChangeLogTable" ref="A1:D4" headerRowCount="1" totalsRowCount="0" totalsRowShown="0">
  <x:tableColumns count="4">
    <x:tableColumn id="1" name="日期"/>
    <x:tableColumn id="2" name="版本"/>
    <x:tableColumn id="3" name="变更"/>
    <x:tableColumn id="4" name="责任"/>
  </x:tableColumns>
  <x:tableStyleInfo name="TableStyleMedium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264bd39d49b4a52" /></Relationships>
</file>

<file path=xl/worksheets/_rels/sheet3.xml.rels>&#65279;<?xml version="1.0" encoding="utf-8"?><Relationships xmlns="http://schemas.openxmlformats.org/package/2006/relationships"><Relationship Type="http://schemas.openxmlformats.org/officeDocument/2006/relationships/table" Target="/xl/tables/table2.xml" Id="R174fb7916cba4a26" /></Relationships>
</file>

<file path=xl/worksheets/_rels/sheet4.xml.rels>&#65279;<?xml version="1.0" encoding="utf-8"?><Relationships xmlns="http://schemas.openxmlformats.org/package/2006/relationships"><Relationship Type="http://schemas.openxmlformats.org/officeDocument/2006/relationships/table" Target="/xl/tables/table3.xml" Id="R0c07542528984d11" /></Relationships>
</file>

<file path=xl/worksheets/_rels/sheet5.xml.rels>&#65279;<?xml version="1.0" encoding="utf-8"?><Relationships xmlns="http://schemas.openxmlformats.org/package/2006/relationships"><Relationship Type="http://schemas.openxmlformats.org/officeDocument/2006/relationships/table" Target="/xl/tables/table4.xml" Id="R2cc3859e3f894a38" /></Relationships>
</file>

<file path=xl/worksheets/_rels/sheet6.xml.rels>&#65279;<?xml version="1.0" encoding="utf-8"?><Relationships xmlns="http://schemas.openxmlformats.org/package/2006/relationships"><Relationship Type="http://schemas.openxmlformats.org/officeDocument/2006/relationships/table" Target="/xl/tables/table5.xml" Id="Rf388a9a43479441c" /></Relationships>
</file>

<file path=xl/worksheets/_rels/sheet8.xml.rels>&#65279;<?xml version="1.0" encoding="utf-8"?><Relationships xmlns="http://schemas.openxmlformats.org/package/2006/relationships"><Relationship Type="http://schemas.openxmlformats.org/officeDocument/2006/relationships/table" Target="/xl/tables/table6.xml" Id="R1a4c06af6bc2497e" /></Relationships>
</file>

<file path=xl/worksheets/_rels/sheet9.xml.rels>&#65279;<?xml version="1.0" encoding="utf-8"?><Relationships xmlns="http://schemas.openxmlformats.org/package/2006/relationships"><Relationship Type="http://schemas.openxmlformats.org/officeDocument/2006/relationships/table" Target="/xl/tables/table7.xml" Id="Rfa920e5649324961" /></Relationships>
</file>

<file path=xl/worksheets/_rels/sheet10.xml.rels>&#65279;<?xml version="1.0" encoding="utf-8"?><Relationships xmlns="http://schemas.openxmlformats.org/package/2006/relationships"><Relationship Type="http://schemas.openxmlformats.org/officeDocument/2006/relationships/table" Target="/xl/tables/table8.xml" Id="R2a9de2be0dc14c63" /></Relationships>
</file>

<file path=xl/worksheets/_rels/sheet11.xml.rels>&#65279;<?xml version="1.0" encoding="utf-8"?><Relationships xmlns="http://schemas.openxmlformats.org/package/2006/relationships"><Relationship Type="http://schemas.openxmlformats.org/officeDocument/2006/relationships/table" Target="/xl/tables/table9.xml" Id="R88e9f028483f4d27" /></Relationships>
</file>

<file path=xl/worksheets/_rels/sheet12.xml.rels>&#65279;<?xml version="1.0" encoding="utf-8"?><Relationships xmlns="http://schemas.openxmlformats.org/package/2006/relationships"><Relationship Type="http://schemas.openxmlformats.org/officeDocument/2006/relationships/table" Target="/xl/tables/table10.xml" Id="R56b590ee878a4add" /></Relationships>
</file>

<file path=xl/worksheets/_rels/sheet13.xml.rels>&#65279;<?xml version="1.0" encoding="utf-8"?><Relationships xmlns="http://schemas.openxmlformats.org/package/2006/relationships"><Relationship Type="http://schemas.openxmlformats.org/officeDocument/2006/relationships/table" Target="/xl/tables/table11.xml" Id="Rb1f342c497a743de" /></Relationships>
</file>

<file path=xl/worksheets/sheet1.xml><?xml version="1.0" encoding="utf-8"?>
<x:worksheet xmlns:x="http://schemas.openxmlformats.org/spreadsheetml/2006/main">
  <x:sheetViews>
    <x:sheetView showGridLines="0" workbookViewId="0"/>
  </x:sheetViews>
  <x:sheetFormatPr defaultRowHeight="15"/>
  <x:cols>
    <x:col min="1" max="1" width="22" hidden="0" customWidth="1"/>
    <x:col min="2" max="2" width="90" hidden="0" customWidth="1"/>
  </x:cols>
  <x:sheetData>
    <x:row r="1">
      <x:c r="A1" s="12" t="str">
        <x:v>项目</x:v>
      </x:c>
      <x:c r="B1" s="12" t="str">
        <x:v>说明</x:v>
      </x:c>
    </x:row>
    <x:row r="2" ht="38" customHeight="1">
      <x:c r="A2" s="6" t="str">
        <x:v>金标治理工作簿</x:v>
      </x:c>
      <x:c r="B2" s="6" t="str">
        <x:v>候选映射与人工复核工作台；不代表金标已完成</x:v>
      </x:c>
    </x:row>
    <x:row r="3" ht="38" customHeight="1">
      <x:c r="A3" s="6" t="str">
        <x:v>重要约束</x:v>
      </x:c>
      <x:c r="B3" s="6" t="str">
        <x:v>normalized_judgement_final 仅人工填写；任何脚本不得自动设置已冻结</x:v>
      </x:c>
    </x:row>
    <x:row r="4" ht="38" customHeight="1">
      <x:c r="A4" s="6" t="str">
        <x:v>当前状态</x:v>
      </x:c>
      <x:c r="B4" s="6" t="str">
        <x:v>210题均未复核、未冻结；未运行A/B/C/D实验或GPT评分</x:v>
      </x:c>
    </x:row>
    <x:row r="5" ht="38" customHeight="1">
      <x:c r="A5" s="6" t="str">
        <x:v>复核顺序</x:v>
      </x:c>
      <x:c r="B5" s="6" t="str">
        <x:v>30道异常题→18题趋势候选→A类→正式候选→其余候选池</x:v>
      </x:c>
    </x:row>
    <x:row r="6" ht="38" customHeight="1">
      <x:c r="A6" s="6" t="str">
        <x:v>冻结门槛</x:v>
      </x:c>
      <x:c r="B6" s="6" t="str">
        <x:v>先运行 scripts/validate_gold_freeze.py</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2026-06-17</x:v>
      </x:c>
      <x:c r="B2" s="48" t="str">
        <x:v>PL001</x:v>
      </x:c>
      <x:c r="C2" s="48" t="str">
        <x:v>V01</x:v>
      </x:c>
      <x:c r="D2" s="48" t="str">
        <x:v>佛山市亮正新材料有限公司新建项目.docx</x:v>
      </x:c>
      <x:c r="E2" s="48" t="str">
        <x:v>佛山市亮正新材料有限公司新建项目</x:v>
      </x:c>
      <x:c r="F2" s="48" t="str">
        <x:v>PL001_V01_Q01</x:v>
      </x:c>
      <x:c r="G2" s="48" t="str">
        <x:v>塑胶行业样本筛选与国民经济行业分类</x:v>
      </x:c>
      <x:c r="H2" s="48" t="str">
        <x:v>请结合项目产品、原辅材料和生产工艺，判断该报告行业类别是否基本合理。</x:v>
      </x:c>
      <x:c r="I2" s="48"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J2" s="48"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48" t="str">
        <x:v>报告原文；Dify工作流_标准库；标准库/经验库</x:v>
      </x:c>
      <x:c r="L2" s="48" t="str">
        <x:v>该题用于修正原Excel混入非塑胶行业项目的问题，体现样本筛选和行业分类审查价值。</x:v>
      </x:c>
      <x:c r="M2" s="48" t="str">
        <x:v>可由报告基本情况、产品方案、原辅材料和工艺流程共同验证。</x:v>
      </x:c>
      <x:c r="N2" s="48" t="str">
        <x:v>True</x:v>
      </x:c>
      <x:c r="O2" s="48" t="str">
        <x:v>选取判断相关数据无误，通过表2-2，2-3了解到属于纸、膜类韩品且设备生产线含有涂布线；</x:v>
      </x:c>
      <x:c r="P2" s="48" t="str">
        <x:v>人工核定无误</x:v>
      </x:c>
      <x:c r="Q2" s="48"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R2" s="48" t="str">
        <x:v>暂不修改</x:v>
      </x:c>
      <x:c r="S2" s="48" t="str">
        <x:v>否</x:v>
      </x:c>
      <x:c r="T2" s="48" t="str">
        <x:v>亮正材料为人工标注示范样本，本轮不改动。</x:v>
      </x:c>
      <x:c r="U2" s="48" t="str">
        <x:v>seed_qa_塑胶行业筛选版_30个国民经济行业分类的人工标记</x:v>
      </x:c>
      <x:c r="V2" s="48" t="str">
        <x:v>国民经济行业分类</x:v>
      </x:c>
      <x:c r="W2" s="48" t="str">
        <x:v>选取判断相关数据无误，通过表2-2，2-3了解到属于纸、膜类韩品且设备生产线含有涂布线；</x:v>
      </x:c>
      <x:c r="X2" s="48" t="str">
        <x:v>无误</x:v>
      </x:c>
      <x:c r="Y2" s="64"/>
      <x:c r="Z2" s="64" t="str">
        <x:v>未复核</x:v>
      </x:c>
      <x:c r="AA2" s="64" t="str">
        <x:v>部分充分</x:v>
      </x:c>
      <x:c r="AB2" s="64" t="str">
        <x:v>字段错位</x:v>
      </x:c>
      <x:c r="AC2" s="64" t="str">
        <x:v>部分核验</x:v>
      </x:c>
      <x:c r="AD2" s="64" t="str">
        <x:v>自动默认</x:v>
      </x:c>
      <x:c r="AE2" s="64" t="str">
        <x:v>候选池</x:v>
      </x:c>
      <x:c r="AF2" s="64" t="str">
        <x:v>C_题目或材料问题</x:v>
      </x:c>
      <x:c r="AG2" s="64"/>
      <x:c r="AH2" s="64"/>
      <x:c r="AI2" s="64"/>
      <x:c r="AJ2" s="64"/>
      <x:c r="AK2" s="64"/>
      <x:c r="AL2" s="64"/>
      <x:c r="AM2" s="64"/>
      <x:c r="AN2" s="48" t="str">
        <x:v>2</x:v>
      </x:c>
      <x:c r="AO2" s="48" t="str">
        <x:v>LONG_TEXT_CONTAINS_POSITIVE_CONCLUSION</x:v>
      </x:c>
      <x:c r="AP2" s="48" t="str">
        <x:v>长说明占用结论字段；仅提取候选结论，必须人工确认；人工判断字段出现数值或长说明；存在报告证据，但尚未经人工逐项核验；已列依据来源，但未在本阶段逐条核验</x:v>
      </x:c>
      <x:c r="AQ2" s="64"/>
      <x:c r="AR2" s="48" t="str">
        <x:v>industry_classification</x:v>
      </x:c>
      <x:c r="AS2" s="48" t="str">
        <x:v>L3_analysis</x:v>
      </x:c>
      <x:c r="AT2" s="48" t="str">
        <x:v>multi_evidence_synthesis</x:v>
      </x:c>
      <x:c r="AU2" s="48" t="str">
        <x:v>evidence_integration</x:v>
      </x:c>
      <x:c r="AV2" s="48" t="str">
        <x:v>report_grounding；basis_grounding</x:v>
      </x:c>
      <x:c r="AW2" s="48" t="str">
        <x:v>high</x:v>
      </x:c>
      <x:c r="AX2" s="48" t="str">
        <x:v>high</x:v>
      </x:c>
      <x:c r="AY2" s="48" t="str">
        <x:v>cross_section</x:v>
      </x:c>
      <x:c r="AZ2" s="48" t="str">
        <x:v>True</x:v>
      </x:c>
      <x:c r="BA2" s="48"/>
      <x:c r="BB2" s="48" t="str">
        <x:v>auto_default</x:v>
      </x:c>
      <x:c r="BC2" s="48" t="str">
        <x:v>v1</x:v>
      </x:c>
      <x:c r="BD2" s="68"/>
    </x:row>
    <x:row r="3" ht="36" customHeight="1">
      <x:c r="A3" s="47" t="str">
        <x:v>2026-07-24</x:v>
      </x:c>
      <x:c r="B3" s="48" t="str">
        <x:v>PL001</x:v>
      </x:c>
      <x:c r="C3" s="48" t="str">
        <x:v>V01</x:v>
      </x:c>
      <x:c r="D3" s="48" t="str">
        <x:v>PL001_佛山市亮正新材料有限公司新建项目</x:v>
      </x:c>
      <x:c r="E3" s="48" t="str">
        <x:v>佛山市亮正新材料有限公司新建项目</x:v>
      </x:c>
      <x:c r="F3" s="48" t="str">
        <x:v>PL001_V01_Q03</x:v>
      </x:c>
      <x:c r="G3" s="48" t="str">
        <x:v>环评投资核算</x:v>
      </x:c>
      <x:c r="H3" s="48" t="str">
        <x:v>请根据报告中的总投资、环保投资和环保工程投资明细，判断环保投资核算是否前后一致、比例是否正确。</x:v>
      </x:c>
      <x:c r="I3" s="48" t="str">
        <x:v>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x:v>
      </x:c>
      <x:c r="J3" s="48" t="str">
        <x:v>一、建设项目基本情况：总投资50万元、环保投资10万元、占比20%。来源：解析文本拼接_01_001-020(4).md</x:v>
      </x:c>
      <x:c r="K3" s="48" t="str">
        <x:v>报告原文-环保投资明细表</x:v>
      </x:c>
      <x:c r="L3" s="48" t="str">
        <x:v>2</x:v>
      </x:c>
      <x:c r="M3" s="48" t="str">
        <x:v>2</x:v>
      </x:c>
      <x:c r="N3" s="48" t="str">
        <x:v>False</x:v>
      </x:c>
      <x:c r="O3" s="48" t="str">
        <x:v>需复核</x:v>
      </x:c>
      <x:c r="P3" s="48"/>
      <x:c r="Q3" s="48"/>
      <x:c r="R3" s="48"/>
      <x:c r="S3" s="48" t="str">
        <x:v>是</x:v>
      </x:c>
      <x:c r="T3" s="48"/>
      <x:c r="U3" s="48" t="str">
        <x:v>30个PL_环评投资核算QA</x:v>
      </x:c>
      <x:c r="V3" s="48" t="str">
        <x:v>环评投资概算</x:v>
      </x:c>
      <x:c r="W3" s="48" t="str">
        <x:v>需复核</x:v>
      </x:c>
      <x:c r="X3" s="48" t="str">
        <x:v>证据不足</x:v>
      </x:c>
      <x:c r="Y3" s="64"/>
      <x:c r="Z3" s="64" t="str">
        <x:v>未复核</x:v>
      </x:c>
      <x:c r="AA3" s="64" t="str">
        <x:v>不足</x:v>
      </x:c>
      <x:c r="AB3" s="64" t="str">
        <x:v>有效</x:v>
      </x:c>
      <x:c r="AC3" s="64" t="str">
        <x:v>不需要外部依据</x:v>
      </x:c>
      <x:c r="AD3" s="64" t="str">
        <x:v>自动默认</x:v>
      </x:c>
      <x:c r="AE3" s="64" t="str">
        <x:v>候选池</x:v>
      </x:c>
      <x:c r="AF3" s="64" t="str">
        <x:v>B_证据不足</x:v>
      </x:c>
      <x:c r="AG3" s="64"/>
      <x:c r="AH3" s="64"/>
      <x:c r="AI3" s="64"/>
      <x:c r="AJ3" s="64"/>
      <x:c r="AK3" s="64"/>
      <x:c r="AL3" s="64"/>
      <x:c r="AM3" s="64"/>
      <x:c r="AN3" s="48" t="str">
        <x:v>3</x:v>
      </x:c>
      <x:c r="AO3" s="48" t="str">
        <x:v>MAP_需复核+EVIDENCE_INSUFFICIENCY_SIGNAL</x:v>
      </x:c>
      <x:c r="AP3" s="48" t="str">
        <x:v>原结论明确要求人工复核；命中证据不足候选词：未检索到、无法核对；投资复核主要依据报告内金额与算式</x:v>
      </x:c>
      <x:c r="AQ3" s="64"/>
      <x:c r="AR3" s="48" t="str">
        <x:v>environmental_investment</x:v>
      </x:c>
      <x:c r="AS3" s="48" t="str">
        <x:v>L2_application</x:v>
      </x:c>
      <x:c r="AT3" s="48" t="str">
        <x:v>quantitative_verification</x:v>
      </x:c>
      <x:c r="AU3" s="48" t="str">
        <x:v>numerical_accuracy</x:v>
      </x:c>
      <x:c r="AV3" s="48" t="str">
        <x:v>report_grounding；procedural_reasoning</x:v>
      </x:c>
      <x:c r="AW3" s="48" t="str">
        <x:v>low</x:v>
      </x:c>
      <x:c r="AX3" s="48" t="str">
        <x:v>medium</x:v>
      </x:c>
      <x:c r="AY3" s="48" t="str">
        <x:v>cross_section</x:v>
      </x:c>
      <x:c r="AZ3" s="48" t="str">
        <x:v>True</x:v>
      </x:c>
      <x:c r="BA3" s="48"/>
      <x:c r="BB3" s="48" t="str">
        <x:v>auto_default</x:v>
      </x:c>
      <x:c r="BC3" s="48" t="str">
        <x:v>v1</x:v>
      </x:c>
      <x:c r="BD3" s="68"/>
    </x:row>
    <x:row r="4" ht="36" customHeight="1">
      <x:c r="A4" s="47" t="str">
        <x:v>2026-07-28</x:v>
      </x:c>
      <x:c r="B4" s="48" t="str">
        <x:v>PL001</x:v>
      </x:c>
      <x:c r="C4" s="48" t="str">
        <x:v>V01</x:v>
      </x:c>
      <x:c r="D4" s="48" t="str">
        <x:v>佛山市亮正新材料有限公司新建项目环境影响报告表</x:v>
      </x:c>
      <x:c r="E4" s="48" t="str">
        <x:v>佛山市亮正新材料有限公司新建项目</x:v>
      </x:c>
      <x:c r="F4" s="48" t="str">
        <x:v>PL001_EnvQuality_Q01</x:v>
      </x:c>
      <x:c r="G4" s="48" t="str">
        <x:v>大气及地表水环境质量现状数据引用</x:v>
      </x:c>
      <x:c r="H4" s="48" t="str">
        <x:v>请根据报告引用的环境质量公报及现状数据，判断大气和地表水环境质量现状数据引用是否准确。</x:v>
      </x:c>
      <x:c r="I4"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 s="48" t="str">
        <x:v>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4" s="48" t="str">
        <x:v>生态环境状况公报知识库; 收纳水体地表水执行标准</x:v>
      </x:c>
      <x:c r="L4" s="48" t="str">
        <x:v>2</x:v>
      </x:c>
      <x:c r="M4" s="48" t="str">
        <x:v>2</x:v>
      </x:c>
      <x:c r="N4" s="48" t="str">
        <x:v>False</x:v>
      </x:c>
      <x:c r="O4" s="48" t="str">
        <x:v>正确</x:v>
      </x:c>
      <x:c r="P4" s="48" t="str">
        <x:v>大气:正确; 地表水:正确; 报告日期:2023-07</x:v>
      </x:c>
      <x:c r="Q4" s="48"/>
      <x:c r="R4" s="48"/>
      <x:c r="S4" s="48" t="str">
        <x:v>是</x:v>
      </x:c>
      <x:c r="T4" s="48" t="str">
        <x:v>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x:v>
      </x:c>
      <x:c r="U4" s="48" t="str">
        <x:v>30个环评_大气及地表水环境质量现状数据引用复核QA</x:v>
      </x:c>
      <x:c r="V4" s="48" t="str">
        <x:v>环境质量数据引用</x:v>
      </x:c>
      <x:c r="W4" s="48" t="str">
        <x:v>正确</x:v>
      </x:c>
      <x:c r="X4" s="48" t="str">
        <x:v>无误</x:v>
      </x:c>
      <x:c r="Y4" s="64"/>
      <x:c r="Z4" s="64" t="str">
        <x:v>未复核</x:v>
      </x:c>
      <x:c r="AA4" s="64" t="str">
        <x:v>部分充分</x:v>
      </x:c>
      <x:c r="AB4" s="64" t="str">
        <x:v>有效</x:v>
      </x:c>
      <x:c r="AC4" s="64" t="str">
        <x:v>部分核验</x:v>
      </x:c>
      <x:c r="AD4" s="64" t="str">
        <x:v>自动默认</x:v>
      </x:c>
      <x:c r="AE4" s="64" t="str">
        <x:v>候选池</x:v>
      </x:c>
      <x:c r="AF4" s="64" t="str">
        <x:v>A_仅待终审</x:v>
      </x:c>
      <x:c r="AG4" s="64"/>
      <x:c r="AH4" s="64"/>
      <x:c r="AI4" s="64"/>
      <x:c r="AJ4" s="64"/>
      <x:c r="AK4" s="64"/>
      <x:c r="AL4" s="64"/>
      <x:c r="AM4" s="64"/>
      <x:c r="AN4" s="48" t="str">
        <x:v>4</x:v>
      </x:c>
      <x:c r="AO4" s="48" t="str">
        <x:v>MAP_正确</x:v>
      </x:c>
      <x:c r="AP4" s="48" t="str">
        <x:v>存在报告证据，但尚未经人工逐项核验；已列依据来源，但未在本阶段逐条核验</x:v>
      </x:c>
      <x:c r="AQ4" s="64"/>
      <x:c r="AR4" s="48" t="str">
        <x:v>environmental_quality_data</x:v>
      </x:c>
      <x:c r="AS4" s="48" t="str">
        <x:v>L3_analysis</x:v>
      </x:c>
      <x:c r="AT4" s="48" t="str">
        <x:v>consistency_comparison</x:v>
      </x:c>
      <x:c r="AU4" s="48" t="str">
        <x:v>evidence_integration</x:v>
      </x:c>
      <x:c r="AV4" s="48" t="str">
        <x:v>report_grounding；basis_grounding</x:v>
      </x:c>
      <x:c r="AW4" s="48" t="str">
        <x:v>high</x:v>
      </x:c>
      <x:c r="AX4" s="48" t="str">
        <x:v>high</x:v>
      </x:c>
      <x:c r="AY4" s="48" t="str">
        <x:v>report_plus_external</x:v>
      </x:c>
      <x:c r="AZ4" s="48" t="str">
        <x:v>True</x:v>
      </x:c>
      <x:c r="BA4" s="48"/>
      <x:c r="BB4" s="48" t="str">
        <x:v>auto_default</x:v>
      </x:c>
      <x:c r="BC4" s="48" t="str">
        <x:v>v1</x:v>
      </x:c>
      <x:c r="BD4" s="68"/>
    </x:row>
    <x:row r="5" ht="36" customHeight="1">
      <x:c r="A5" s="47" t="str">
        <x:v>2026-07-27</x:v>
      </x:c>
      <x:c r="B5" s="48" t="str">
        <x:v>PL001</x:v>
      </x:c>
      <x:c r="C5" s="48" t="str">
        <x:v>V01</x:v>
      </x:c>
      <x:c r="D5" s="48" t="str">
        <x:v>PL001_佛山市亮正新材料有限公司新建项目_01_核查材料.docx</x:v>
      </x:c>
      <x:c r="E5" s="48" t="str">
        <x:v>佛山市亮正新材料有限公司新建项目</x:v>
      </x:c>
      <x:c r="F5" s="48" t="str">
        <x:v>PL001_Emission_水污</x:v>
      </x:c>
      <x:c r="G5" s="48" t="str">
        <x:v>污染物排放标准-水污染物排放标准</x:v>
      </x:c>
      <x:c r="H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5" s="48" t="str">
        <x:v>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x:v>
      </x:c>
      <x:c r="J5" s="48" t="str">
        <x:v>水标准原文："本项目生活污水经独立生活污水处理设施处理后达到《城镇污水处理厂污染物排放标准》（GB18918-2002）二级标准后排入古齐涌，然后排至新涌大河，最后汇入顺德支流。"</x:v>
      </x:c>
      <x:c r="K5" s="48" t="str">
        <x:v>emission-standard-kb.jsonl; DB44/26-2001; DB44/2367-2022; GB31572-2015; GB14554-93; GB12348-2008; GB18597-2023; GB18599-2020</x:v>
      </x:c>
      <x:c r="L5" s="48" t="str">
        <x:v>2</x:v>
      </x:c>
      <x:c r="M5" s="48" t="str">
        <x:v>2</x:v>
      </x:c>
      <x:c r="N5" s="48" t="str">
        <x:v>False</x:v>
      </x:c>
      <x:c r="O5" s="48" t="str">
        <x:v>存在错误</x:v>
      </x:c>
      <x:c r="P5" s="48" t="str">
        <x:v>水:存在错误；气:存在缺漏；噪声:存在缺漏；固废:存在缺漏</x:v>
      </x:c>
      <x:c r="Q5" s="48"/>
      <x:c r="R5" s="48"/>
      <x:c r="S5" s="48" t="str">
        <x:v>是</x:v>
      </x:c>
      <x:c r="T5" s="48" t="str">
        <x:v>原综合排放标准问答对拆分而来</x:v>
      </x:c>
      <x:c r="U5" s="48" t="str">
        <x:v>30份环评_污染物排放控制执行标准复核QA(拆分版)</x:v>
      </x:c>
      <x:c r="V5" s="48" t="str">
        <x:v>水污染物排放标准</x:v>
      </x:c>
      <x:c r="W5" s="48" t="str">
        <x:v>存在错误</x:v>
      </x:c>
      <x:c r="X5" s="48" t="str">
        <x:v>存在错误</x:v>
      </x:c>
      <x:c r="Y5" s="64"/>
      <x:c r="Z5" s="64" t="str">
        <x:v>未复核</x:v>
      </x:c>
      <x:c r="AA5" s="64" t="str">
        <x:v>不足</x:v>
      </x:c>
      <x:c r="AB5" s="64" t="str">
        <x:v>有效</x:v>
      </x:c>
      <x:c r="AC5" s="64" t="str">
        <x:v>部分核验</x:v>
      </x:c>
      <x:c r="AD5" s="64" t="str">
        <x:v>自动默认</x:v>
      </x:c>
      <x:c r="AE5" s="64" t="str">
        <x:v>候选池</x:v>
      </x:c>
      <x:c r="AF5" s="64" t="str">
        <x:v>B_证据不足</x:v>
      </x:c>
      <x:c r="AG5" s="64"/>
      <x:c r="AH5" s="64"/>
      <x:c r="AI5" s="64"/>
      <x:c r="AJ5" s="64"/>
      <x:c r="AK5" s="64"/>
      <x:c r="AL5" s="64"/>
      <x:c r="AM5" s="64"/>
      <x:c r="AN5" s="48" t="str">
        <x:v>5</x:v>
      </x:c>
      <x:c r="AO5" s="48" t="str">
        <x:v>MAP_存在错误</x:v>
      </x:c>
      <x:c r="AP5" s="48" t="str">
        <x:v>命中证据不足候选词：未见；已列依据来源，但未在本阶段逐条核验</x:v>
      </x:c>
      <x:c r="AQ5" s="64"/>
      <x:c r="AR5" s="48" t="str">
        <x:v>water_emission_standard</x:v>
      </x:c>
      <x:c r="AS5" s="48" t="str">
        <x:v>L3_analysis</x:v>
      </x:c>
      <x:c r="AT5" s="48" t="str">
        <x:v>rule_applicability</x:v>
      </x:c>
      <x:c r="AU5" s="48" t="str">
        <x:v>basis_grounding</x:v>
      </x:c>
      <x:c r="AV5" s="48" t="str">
        <x:v>report_grounding；procedural_reasoning</x:v>
      </x:c>
      <x:c r="AW5" s="48" t="str">
        <x:v>high</x:v>
      </x:c>
      <x:c r="AX5" s="48" t="str">
        <x:v>high</x:v>
      </x:c>
      <x:c r="AY5" s="48" t="str">
        <x:v>report_plus_external</x:v>
      </x:c>
      <x:c r="AZ5" s="48" t="str">
        <x:v>True</x:v>
      </x:c>
      <x:c r="BA5" s="48"/>
      <x:c r="BB5" s="48" t="str">
        <x:v>auto_default</x:v>
      </x:c>
      <x:c r="BC5" s="48" t="str">
        <x:v>v1</x:v>
      </x:c>
      <x:c r="BD5" s="68"/>
    </x:row>
    <x:row r="6" ht="36" customHeight="1">
      <x:c r="A6" s="47" t="str">
        <x:v>2026-07-27</x:v>
      </x:c>
      <x:c r="B6" s="48" t="str">
        <x:v>PL001</x:v>
      </x:c>
      <x:c r="C6" s="48" t="str">
        <x:v>V01</x:v>
      </x:c>
      <x:c r="D6" s="48" t="str">
        <x:v>PL001_佛山市亮正新材料有限公司新建项目_01_核查材料.docx</x:v>
      </x:c>
      <x:c r="E6" s="48" t="str">
        <x:v>佛山市亮正新材料有限公司新建项目</x:v>
      </x:c>
      <x:c r="F6" s="48" t="str">
        <x:v>PL001_Emission_大气</x:v>
      </x:c>
      <x:c r="G6" s="48" t="str">
        <x:v>污染物排放标准-大气污染物排放标准</x:v>
      </x:c>
      <x:c r="H6" s="48" t="str">
        <x:v>请根据项目行业类别、生产工艺和污染因子，判断大气污染物排放标准选取是否合理。要求分析：污染源覆盖是否完整（列出所有大气污染源及对应标准），是否存在缺漏的污染源或标准。</x:v>
      </x:c>
      <x:c r="I6" s="48" t="str">
        <x:v>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x:v>
      </x:c>
      <x:c r="J6" s="48" t="str">
        <x:v>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x:v>
      </x:c>
      <x:c r="K6" s="48" t="str">
        <x:v>emission-standard-kb.jsonl; DB44/26-2001; DB44/2367-2022; GB31572-2015; GB14554-93; GB12348-2008; GB18597-2023; GB18599-2020</x:v>
      </x:c>
      <x:c r="L6" s="48" t="str">
        <x:v>2</x:v>
      </x:c>
      <x:c r="M6" s="48" t="str">
        <x:v>2</x:v>
      </x:c>
      <x:c r="N6" s="48" t="str">
        <x:v>False</x:v>
      </x:c>
      <x:c r="O6" s="48" t="str">
        <x:v>存在缺漏</x:v>
      </x:c>
      <x:c r="P6" s="48" t="str">
        <x:v>水:存在错误；气:存在缺漏；噪声:存在缺漏；固废:存在缺漏</x:v>
      </x:c>
      <x:c r="Q6" s="48"/>
      <x:c r="R6" s="48"/>
      <x:c r="S6" s="48" t="str">
        <x:v>是</x:v>
      </x:c>
      <x:c r="T6" s="48" t="str">
        <x:v>原综合排放标准问答对拆分而来</x:v>
      </x:c>
      <x:c r="U6" s="48" t="str">
        <x:v>30份环评_污染物排放控制执行标准复核QA(拆分版)</x:v>
      </x:c>
      <x:c r="V6" s="48" t="str">
        <x:v>大气污染物排放标准</x:v>
      </x:c>
      <x:c r="W6" s="48" t="str">
        <x:v>存在缺漏</x:v>
      </x:c>
      <x:c r="X6" s="48" t="str">
        <x:v>存在缺漏</x:v>
      </x:c>
      <x:c r="Y6" s="64"/>
      <x:c r="Z6" s="64" t="str">
        <x:v>未复核</x:v>
      </x:c>
      <x:c r="AA6" s="64" t="str">
        <x:v>部分充分</x:v>
      </x:c>
      <x:c r="AB6" s="64" t="str">
        <x:v>有效</x:v>
      </x:c>
      <x:c r="AC6" s="64" t="str">
        <x:v>部分核验</x:v>
      </x:c>
      <x:c r="AD6" s="64" t="str">
        <x:v>自动默认</x:v>
      </x:c>
      <x:c r="AE6" s="64" t="str">
        <x:v>候选池</x:v>
      </x:c>
      <x:c r="AF6" s="64" t="str">
        <x:v>A_仅待终审</x:v>
      </x:c>
      <x:c r="AG6" s="64"/>
      <x:c r="AH6" s="64"/>
      <x:c r="AI6" s="64"/>
      <x:c r="AJ6" s="64"/>
      <x:c r="AK6" s="64"/>
      <x:c r="AL6" s="64"/>
      <x:c r="AM6" s="64"/>
      <x:c r="AN6" s="48" t="str">
        <x:v>6</x:v>
      </x:c>
      <x:c r="AO6" s="48" t="str">
        <x:v>MAP_存在缺漏</x:v>
      </x:c>
      <x:c r="AP6" s="48" t="str">
        <x:v>存在报告证据，但尚未经人工逐项核验；已列依据来源，但未在本阶段逐条核验</x:v>
      </x:c>
      <x:c r="AQ6" s="64"/>
      <x:c r="AR6" s="48" t="str">
        <x:v>air_emission_standard</x:v>
      </x:c>
      <x:c r="AS6" s="48" t="str">
        <x:v>L3_analysis</x:v>
      </x:c>
      <x:c r="AT6" s="48" t="str">
        <x:v>multi_evidence_synthesis</x:v>
      </x:c>
      <x:c r="AU6" s="48" t="str">
        <x:v>basis_grounding</x:v>
      </x:c>
      <x:c r="AV6" s="48" t="str">
        <x:v>report_grounding；evidence_integration</x:v>
      </x:c>
      <x:c r="AW6" s="48" t="str">
        <x:v>high</x:v>
      </x:c>
      <x:c r="AX6" s="48" t="str">
        <x:v>high</x:v>
      </x:c>
      <x:c r="AY6" s="48" t="str">
        <x:v>report_plus_external</x:v>
      </x:c>
      <x:c r="AZ6" s="48" t="str">
        <x:v>True</x:v>
      </x:c>
      <x:c r="BA6" s="48"/>
      <x:c r="BB6" s="48" t="str">
        <x:v>auto_default</x:v>
      </x:c>
      <x:c r="BC6" s="48" t="str">
        <x:v>v1</x:v>
      </x:c>
      <x:c r="BD6" s="68"/>
    </x:row>
    <x:row r="7" ht="36" customHeight="1">
      <x:c r="A7" s="47" t="str">
        <x:v>2026-07-27</x:v>
      </x:c>
      <x:c r="B7" s="48" t="str">
        <x:v>PL001</x:v>
      </x:c>
      <x:c r="C7" s="48" t="str">
        <x:v>V01</x:v>
      </x:c>
      <x:c r="D7" s="48" t="str">
        <x:v>PL001_佛山市亮正新材料有限公司新建项目_01_核查材料.docx</x:v>
      </x:c>
      <x:c r="E7" s="48" t="str">
        <x:v>佛山市亮正新材料有限公司新建项目</x:v>
      </x:c>
      <x:c r="F7" s="48" t="str">
        <x:v>PL001_Emission_噪声</x:v>
      </x:c>
      <x:c r="G7" s="48" t="str">
        <x:v>污染物排放标准-噪声排放标准</x:v>
      </x:c>
      <x:c r="H7" s="48" t="str">
        <x:v>请根据项目所属声环境功能区类别，判断噪声排放标准选取是否合理。要求总结声功能区类型、厂界执行标准（GB12348-2008）及昼夜限值，并与环评编制内容进行一致性分析。</x:v>
      </x:c>
      <x:c r="I7" s="48" t="str">
        <x:v>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x:v>
      </x:c>
      <x:c r="J7" s="48" t="str">
        <x:v>噪声标准原文："项目厂界外1m执行《工业企业厂界环境噪声排放标准》（GB12348-2008）中的2类标准：昼间≤60dB(A)、夜间≤50dB(A)。"</x:v>
      </x:c>
      <x:c r="K7" s="48" t="str">
        <x:v>emission-standard-kb.jsonl; DB44/26-2001; DB44/2367-2022; GB31572-2015; GB14554-93; GB12348-2008; GB18597-2023; GB18599-2020</x:v>
      </x:c>
      <x:c r="L7" s="48" t="str">
        <x:v>2</x:v>
      </x:c>
      <x:c r="M7" s="48" t="str">
        <x:v>2</x:v>
      </x:c>
      <x:c r="N7" s="48" t="str">
        <x:v>False</x:v>
      </x:c>
      <x:c r="O7" s="48" t="str">
        <x:v>存在缺漏</x:v>
      </x:c>
      <x:c r="P7" s="48" t="str">
        <x:v>水:存在错误；气:存在缺漏；噪声:存在缺漏；固废:存在缺漏</x:v>
      </x:c>
      <x:c r="Q7" s="48"/>
      <x:c r="R7" s="48"/>
      <x:c r="S7" s="48" t="str">
        <x:v>是</x:v>
      </x:c>
      <x:c r="T7" s="48" t="str">
        <x:v>原综合排放标准问答对拆分而来</x:v>
      </x:c>
      <x:c r="U7" s="48" t="str">
        <x:v>30份环评_污染物排放控制执行标准复核QA(拆分版)</x:v>
      </x:c>
      <x:c r="V7" s="48" t="str">
        <x:v>噪声排放标准</x:v>
      </x:c>
      <x:c r="W7" s="48" t="str">
        <x:v>存在缺漏</x:v>
      </x:c>
      <x:c r="X7" s="48" t="str">
        <x:v>存在缺漏</x:v>
      </x:c>
      <x:c r="Y7" s="64"/>
      <x:c r="Z7" s="64" t="str">
        <x:v>未复核</x:v>
      </x:c>
      <x:c r="AA7" s="64" t="str">
        <x:v>不足</x:v>
      </x:c>
      <x:c r="AB7" s="64" t="str">
        <x:v>有效</x:v>
      </x:c>
      <x:c r="AC7" s="64" t="str">
        <x:v>部分核验</x:v>
      </x:c>
      <x:c r="AD7" s="64" t="str">
        <x:v>自动默认</x:v>
      </x:c>
      <x:c r="AE7" s="64" t="str">
        <x:v>候选池</x:v>
      </x:c>
      <x:c r="AF7" s="64" t="str">
        <x:v>B_证据不足</x:v>
      </x:c>
      <x:c r="AG7" s="64"/>
      <x:c r="AH7" s="64"/>
      <x:c r="AI7" s="64"/>
      <x:c r="AJ7" s="64"/>
      <x:c r="AK7" s="64"/>
      <x:c r="AL7" s="64"/>
      <x:c r="AM7" s="64"/>
      <x:c r="AN7" s="48" t="str">
        <x:v>7</x:v>
      </x:c>
      <x:c r="AO7" s="48" t="str">
        <x:v>MAP_存在缺漏</x:v>
      </x:c>
      <x:c r="AP7" s="48" t="str">
        <x:v>命中证据不足候选词：无法判断；已列依据来源，但未在本阶段逐条核验</x:v>
      </x:c>
      <x:c r="AQ7" s="64"/>
      <x:c r="AR7" s="48" t="str">
        <x:v>noise_emission_standard</x:v>
      </x:c>
      <x:c r="AS7" s="48" t="str">
        <x:v>L2_application</x:v>
      </x:c>
      <x:c r="AT7" s="48" t="str">
        <x:v>rule_applicability</x:v>
      </x:c>
      <x:c r="AU7" s="48" t="str">
        <x:v>basis_grounding</x:v>
      </x:c>
      <x:c r="AV7" s="48" t="str">
        <x:v>report_grounding</x:v>
      </x:c>
      <x:c r="AW7" s="48" t="str">
        <x:v>high</x:v>
      </x:c>
      <x:c r="AX7" s="48" t="str">
        <x:v>medium</x:v>
      </x:c>
      <x:c r="AY7" s="48" t="str">
        <x:v>report_plus_external</x:v>
      </x:c>
      <x:c r="AZ7" s="48" t="str">
        <x:v>True</x:v>
      </x:c>
      <x:c r="BA7" s="48"/>
      <x:c r="BB7" s="48" t="str">
        <x:v>auto_default</x:v>
      </x:c>
      <x:c r="BC7" s="48" t="str">
        <x:v>v1</x:v>
      </x:c>
      <x:c r="BD7" s="68"/>
    </x:row>
    <x:row r="8" ht="36" customHeight="1">
      <x:c r="A8" s="47" t="str">
        <x:v>2026-07-27</x:v>
      </x:c>
      <x:c r="B8" s="48" t="str">
        <x:v>PL001</x:v>
      </x:c>
      <x:c r="C8" s="48" t="str">
        <x:v>V01</x:v>
      </x:c>
      <x:c r="D8" s="48" t="str">
        <x:v>PL001_佛山市亮正新材料有限公司新建项目_01_核查材料.docx</x:v>
      </x:c>
      <x:c r="E8" s="48" t="str">
        <x:v>佛山市亮正新材料有限公司新建项目</x:v>
      </x:c>
      <x:c r="F8" s="48" t="str">
        <x:v>PL001_Emission_固体</x:v>
      </x:c>
      <x:c r="G8" s="48" t="str">
        <x:v>污染物排放标准-固体废物控制标准</x:v>
      </x:c>
      <x:c r="H8" s="48" t="str">
        <x:v>请根据项目产生的固体废物和危险废物类型，判断固体废物控制标准选取是否合理。要求总结一般工业固体废物和危险废物执行标准的标准名称及编号，分析是否缺少必要标准条目。</x:v>
      </x:c>
      <x:c r="I8"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8" s="4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8" s="48" t="str">
        <x:v>emission-standard-kb.jsonl; DB44/26-2001; DB44/2367-2022; GB31572-2015; GB14554-93; GB12348-2008; GB18597-2023; GB18599-2020</x:v>
      </x:c>
      <x:c r="L8" s="48" t="str">
        <x:v>2</x:v>
      </x:c>
      <x:c r="M8" s="48" t="str">
        <x:v>2</x:v>
      </x:c>
      <x:c r="N8" s="48" t="str">
        <x:v>False</x:v>
      </x:c>
      <x:c r="O8" s="48" t="str">
        <x:v>无误</x:v>
      </x:c>
      <x:c r="P8" s="48" t="str">
        <x:v>水:存在错误；气:存在缺漏；噪声:存在缺漏；固废:存在缺漏</x:v>
      </x:c>
      <x:c r="Q8" s="48"/>
      <x:c r="R8" s="48"/>
      <x:c r="S8" s="48" t="str">
        <x:v>否</x:v>
      </x:c>
      <x:c r="T8" s="48" t="str">
        <x:v>修正：GB18599-2020不在知识库必须满足的标准清单中，原判定依据已更正。原综合排放标准问答对拆分而来</x:v>
      </x:c>
      <x:c r="U8" s="48" t="str">
        <x:v>30份环评_污染物排放控制执行标准复核QA(拆分版)</x:v>
      </x:c>
      <x:c r="V8" s="48" t="str">
        <x:v>固体废物控制标准</x:v>
      </x:c>
      <x:c r="W8" s="48" t="str">
        <x:v>无误</x:v>
      </x:c>
      <x:c r="X8" s="48" t="str">
        <x:v>无误</x:v>
      </x:c>
      <x:c r="Y8" s="64"/>
      <x:c r="Z8" s="64" t="str">
        <x:v>未复核</x:v>
      </x:c>
      <x:c r="AA8" s="64" t="str">
        <x:v>部分充分</x:v>
      </x:c>
      <x:c r="AB8" s="64" t="str">
        <x:v>有效</x:v>
      </x:c>
      <x:c r="AC8" s="64" t="str">
        <x:v>部分核验</x:v>
      </x:c>
      <x:c r="AD8" s="64" t="str">
        <x:v>自动默认</x:v>
      </x:c>
      <x:c r="AE8" s="64" t="str">
        <x:v>候选池</x:v>
      </x:c>
      <x:c r="AF8" s="64" t="str">
        <x:v>待分流</x:v>
      </x:c>
      <x:c r="AG8" s="64"/>
      <x:c r="AH8" s="64"/>
      <x:c r="AI8" s="64"/>
      <x:c r="AJ8" s="64"/>
      <x:c r="AK8" s="64"/>
      <x:c r="AL8" s="64"/>
      <x:c r="AM8" s="64"/>
      <x:c r="AN8" s="48" t="str">
        <x:v>8</x:v>
      </x:c>
      <x:c r="AO8" s="48" t="str">
        <x:v>MAP_无误</x:v>
      </x:c>
      <x:c r="AP8" s="48" t="str">
        <x:v>存在报告证据，但尚未经人工逐项核验；已列依据来源，但未在本阶段逐条核验</x:v>
      </x:c>
      <x:c r="AQ8" s="64"/>
      <x:c r="AR8" s="48" t="str">
        <x:v>solid_waste_standard</x:v>
      </x:c>
      <x:c r="AS8" s="48" t="str">
        <x:v>L2_application</x:v>
      </x:c>
      <x:c r="AT8" s="48" t="str">
        <x:v>rule_applicability</x:v>
      </x:c>
      <x:c r="AU8" s="48" t="str">
        <x:v>basis_grounding</x:v>
      </x:c>
      <x:c r="AV8" s="48" t="str">
        <x:v>report_grounding</x:v>
      </x:c>
      <x:c r="AW8" s="48" t="str">
        <x:v>high</x:v>
      </x:c>
      <x:c r="AX8" s="48" t="str">
        <x:v>medium</x:v>
      </x:c>
      <x:c r="AY8" s="48" t="str">
        <x:v>report_plus_external</x:v>
      </x:c>
      <x:c r="AZ8" s="48" t="str">
        <x:v>True</x:v>
      </x:c>
      <x:c r="BA8" s="48"/>
      <x:c r="BB8" s="48" t="str">
        <x:v>auto_default</x:v>
      </x:c>
      <x:c r="BC8" s="48" t="str">
        <x:v>v1</x:v>
      </x:c>
      <x:c r="BD8" s="68"/>
    </x:row>
    <x:row r="9" ht="36" customHeight="1">
      <x:c r="A9" s="47" t="str">
        <x:v>2026-06-17</x:v>
      </x:c>
      <x:c r="B9" s="48" t="str">
        <x:v>PL002</x:v>
      </x:c>
      <x:c r="C9" s="48" t="str">
        <x:v>V01</x:v>
      </x:c>
      <x:c r="D9" s="48" t="str">
        <x:v>佛山市顺德区启卓工程塑料实业有限公司搬迁项目.docx</x:v>
      </x:c>
      <x:c r="E9" s="48" t="str">
        <x:v>佛山市顺德区启卓工程塑料实业有限公司搬迁项目</x:v>
      </x:c>
      <x:c r="F9" s="48" t="str">
        <x:v>PL002_V01_Q01</x:v>
      </x:c>
      <x:c r="G9" s="48" t="str">
        <x:v>塑胶行业样本筛选与国民经济行业分类</x:v>
      </x:c>
      <x:c r="H9" s="48" t="str">
        <x:v>请结合项目产品、原辅材料和生产工艺，判断该报告是否适合作为塑胶行业种子问答样本，并判断行业类别是否基本合理。</x:v>
      </x:c>
      <x:c r="I9" s="48" t="str">
        <x:v>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x:v>
      </x:c>
      <x:c r="J9" s="4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9" s="48" t="str">
        <x:v>报告原文；Dify工作流_标准库；标准库/经验库</x:v>
      </x:c>
      <x:c r="L9" s="48" t="str">
        <x:v>该题用于修正原Excel混入非塑胶行业项目的问题，体现样本筛选和行业分类审查价值。</x:v>
      </x:c>
      <x:c r="M9" s="48" t="str">
        <x:v>可由报告基本情况、产品方案、原辅材料和工艺流程共同验证。</x:v>
      </x:c>
      <x:c r="N9" s="48" t="str">
        <x:v>True</x:v>
      </x:c>
      <x:c r="O9" s="48" t="str">
        <x:v>112</x:v>
      </x:c>
      <x:c r="P9" s="48" t="str">
        <x:v>112</x:v>
      </x:c>
      <x:c r="Q9" s="48" t="str">
        <x:v>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v>
      </x:c>
      <x:c r="R9" s="48" t="str">
        <x:v>表达优化</x:v>
      </x:c>
      <x:c r="S9" s="48" t="str">
        <x:v>否</x:v>
      </x:c>
      <x:c r="T9" s="48" t="str">
        <x:v>按亮正样本格式补充“判断—依据—审核意见”，保留原结论。</x:v>
      </x:c>
      <x:c r="U9" s="48" t="str">
        <x:v>seed_qa_塑胶行业筛选版_30个国民经济行业分类的人工标记</x:v>
      </x:c>
      <x:c r="V9" s="48" t="str">
        <x:v>国民经济行业分类</x:v>
      </x:c>
      <x:c r="W9" s="48" t="str">
        <x:v>112</x:v>
      </x:c>
      <x:c r="X9" s="48" t="str">
        <x:v>待判断</x:v>
      </x:c>
      <x:c r="Y9" s="64"/>
      <x:c r="Z9" s="64" t="str">
        <x:v>未复核</x:v>
      </x:c>
      <x:c r="AA9" s="64" t="str">
        <x:v>部分充分</x:v>
      </x:c>
      <x:c r="AB9" s="64" t="str">
        <x:v>字段错位</x:v>
      </x:c>
      <x:c r="AC9" s="64" t="str">
        <x:v>部分核验</x:v>
      </x:c>
      <x:c r="AD9" s="64" t="str">
        <x:v>自动默认</x:v>
      </x:c>
      <x:c r="AE9" s="64" t="str">
        <x:v>候选池</x:v>
      </x:c>
      <x:c r="AF9" s="64" t="str">
        <x:v>C_题目或材料问题</x:v>
      </x:c>
      <x:c r="AG9" s="64"/>
      <x:c r="AH9" s="64"/>
      <x:c r="AI9" s="64"/>
      <x:c r="AJ9" s="64"/>
      <x:c r="AK9" s="64"/>
      <x:c r="AL9" s="64"/>
      <x:c r="AM9" s="64"/>
      <x:c r="AN9" s="48" t="str">
        <x:v>9</x:v>
      </x:c>
      <x:c r="AO9" s="48" t="str">
        <x:v>MAP_112</x:v>
      </x:c>
      <x:c r="AP9" s="48" t="str">
        <x:v>数值112占用结论字段：疑似字段错位；人工判断字段出现数值或长说明；存在报告证据，但尚未经人工逐项核验；已列依据来源，但未在本阶段逐条核验</x:v>
      </x:c>
      <x:c r="AQ9" s="64"/>
      <x:c r="AR9" s="48" t="str">
        <x:v>industry_classification</x:v>
      </x:c>
      <x:c r="AS9" s="48" t="str">
        <x:v>L3_analysis</x:v>
      </x:c>
      <x:c r="AT9" s="48" t="str">
        <x:v>multi_evidence_synthesis</x:v>
      </x:c>
      <x:c r="AU9" s="48" t="str">
        <x:v>evidence_integration</x:v>
      </x:c>
      <x:c r="AV9" s="48" t="str">
        <x:v>report_grounding；basis_grounding</x:v>
      </x:c>
      <x:c r="AW9" s="48" t="str">
        <x:v>high</x:v>
      </x:c>
      <x:c r="AX9" s="48" t="str">
        <x:v>high</x:v>
      </x:c>
      <x:c r="AY9" s="48" t="str">
        <x:v>cross_section</x:v>
      </x:c>
      <x:c r="AZ9" s="48" t="str">
        <x:v>True</x:v>
      </x:c>
      <x:c r="BA9" s="48"/>
      <x:c r="BB9" s="48" t="str">
        <x:v>auto_default</x:v>
      </x:c>
      <x:c r="BC9" s="48" t="str">
        <x:v>v1</x:v>
      </x:c>
      <x:c r="BD9" s="68"/>
    </x:row>
    <x:row r="10" ht="36" customHeight="1">
      <x:c r="A10" s="47" t="str">
        <x:v>2026-07-24</x:v>
      </x:c>
      <x:c r="B10" s="48" t="str">
        <x:v>PL002</x:v>
      </x:c>
      <x:c r="C10" s="48" t="str">
        <x:v>V01</x:v>
      </x:c>
      <x:c r="D10" s="48" t="str">
        <x:v>PL002_佛山市顺德区启卓工程塑料实业有限公司搬迁项目</x:v>
      </x:c>
      <x:c r="E10" s="48" t="str">
        <x:v>佛山市顺德区启卓工程塑料实业有限公司搬迁项目</x:v>
      </x:c>
      <x:c r="F10" s="48" t="str">
        <x:v>PL002_V02_Q03</x:v>
      </x:c>
      <x:c r="G10" s="48" t="str">
        <x:v>环评投资核算</x:v>
      </x:c>
      <x:c r="H10" s="48" t="str">
        <x:v>请根据报告中的总投资、环保投资和环保工程投资明细，判断环保投资核算是否前后一致、比例是否正确。</x:v>
      </x:c>
      <x:c r="I10" s="48" t="str">
        <x:v>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10" s="48" t="str">
        <x:v>一、建设项目基本情况：总投资150万元、环保投资15万元、占比10%。来源：解析文本拼接_01_001-020(4).md</x:v>
      </x:c>
      <x:c r="K10" s="48" t="str">
        <x:v>报告原文-环保投资明细表</x:v>
      </x:c>
      <x:c r="L10" s="48" t="str">
        <x:v>2</x:v>
      </x:c>
      <x:c r="M10" s="48" t="str">
        <x:v>2</x:v>
      </x:c>
      <x:c r="N10" s="48" t="str">
        <x:v>False</x:v>
      </x:c>
      <x:c r="O10" s="48" t="str">
        <x:v>需复核</x:v>
      </x:c>
      <x:c r="P10" s="48"/>
      <x:c r="Q10" s="48"/>
      <x:c r="R10" s="48"/>
      <x:c r="S10" s="48" t="str">
        <x:v>是</x:v>
      </x:c>
      <x:c r="T10" s="48"/>
      <x:c r="U10" s="48" t="str">
        <x:v>30个PL_环评投资核算QA</x:v>
      </x:c>
      <x:c r="V10" s="48" t="str">
        <x:v>环评投资概算</x:v>
      </x:c>
      <x:c r="W10" s="48" t="str">
        <x:v>需复核</x:v>
      </x:c>
      <x:c r="X10" s="48" t="str">
        <x:v>证据不足</x:v>
      </x:c>
      <x:c r="Y10" s="64"/>
      <x:c r="Z10" s="64" t="str">
        <x:v>未复核</x:v>
      </x:c>
      <x:c r="AA10" s="64" t="str">
        <x:v>不足</x:v>
      </x:c>
      <x:c r="AB10" s="64" t="str">
        <x:v>有效</x:v>
      </x:c>
      <x:c r="AC10" s="64" t="str">
        <x:v>不需要外部依据</x:v>
      </x:c>
      <x:c r="AD10" s="64" t="str">
        <x:v>自动默认</x:v>
      </x:c>
      <x:c r="AE10" s="64" t="str">
        <x:v>候选池</x:v>
      </x:c>
      <x:c r="AF10" s="64" t="str">
        <x:v>B_证据不足</x:v>
      </x:c>
      <x:c r="AG10" s="64"/>
      <x:c r="AH10" s="64"/>
      <x:c r="AI10" s="64"/>
      <x:c r="AJ10" s="64"/>
      <x:c r="AK10" s="64"/>
      <x:c r="AL10" s="64"/>
      <x:c r="AM10" s="64"/>
      <x:c r="AN10" s="48" t="str">
        <x:v>10</x:v>
      </x:c>
      <x:c r="AO10" s="48" t="str">
        <x:v>MAP_需复核+EVIDENCE_INSUFFICIENCY_SIGNAL</x:v>
      </x:c>
      <x:c r="AP10" s="48" t="str">
        <x:v>原结论明确要求人工复核；命中证据不足候选词：未检索到、无法核对；投资复核主要依据报告内金额与算式</x:v>
      </x:c>
      <x:c r="AQ10" s="64"/>
      <x:c r="AR10" s="48" t="str">
        <x:v>environmental_investment</x:v>
      </x:c>
      <x:c r="AS10" s="48" t="str">
        <x:v>L2_application</x:v>
      </x:c>
      <x:c r="AT10" s="48" t="str">
        <x:v>quantitative_verification</x:v>
      </x:c>
      <x:c r="AU10" s="48" t="str">
        <x:v>numerical_accuracy</x:v>
      </x:c>
      <x:c r="AV10" s="48" t="str">
        <x:v>report_grounding；procedural_reasoning</x:v>
      </x:c>
      <x:c r="AW10" s="48" t="str">
        <x:v>low</x:v>
      </x:c>
      <x:c r="AX10" s="48" t="str">
        <x:v>medium</x:v>
      </x:c>
      <x:c r="AY10" s="48" t="str">
        <x:v>cross_section</x:v>
      </x:c>
      <x:c r="AZ10" s="48" t="str">
        <x:v>True</x:v>
      </x:c>
      <x:c r="BA10" s="48"/>
      <x:c r="BB10" s="48" t="str">
        <x:v>auto_default</x:v>
      </x:c>
      <x:c r="BC10" s="48" t="str">
        <x:v>v1</x:v>
      </x:c>
      <x:c r="BD10" s="68"/>
    </x:row>
    <x:row r="11" ht="36" customHeight="1">
      <x:c r="A11" s="47" t="str">
        <x:v>2026-07-28</x:v>
      </x:c>
      <x:c r="B11" s="48" t="str">
        <x:v>PL002</x:v>
      </x:c>
      <x:c r="C11" s="48" t="str">
        <x:v>V01</x:v>
      </x:c>
      <x:c r="D11" s="48" t="str">
        <x:v>佛山市顺德区启卓工程塑料实业有限公司搬迁项目环境影响报告表</x:v>
      </x:c>
      <x:c r="E11" s="48" t="str">
        <x:v>佛山市顺德区启卓工程塑料实业有限公司搬迁项目</x:v>
      </x:c>
      <x:c r="F11" s="48" t="str">
        <x:v>PL002_EnvQuality_Q01</x:v>
      </x:c>
      <x:c r="G11" s="48" t="str">
        <x:v>大气及地表水环境质量现状数据引用</x:v>
      </x:c>
      <x:c r="H11" s="48" t="str">
        <x:v>请根据报告引用的环境质量公报及现状数据，判断大气和地表水环境质量现状数据引用是否准确。</x:v>
      </x:c>
      <x:c r="I11"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11" s="4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11" s="48" t="str">
        <x:v>生态环境状况公报知识库; 收纳水体地表水执行标准</x:v>
      </x:c>
      <x:c r="L11" s="48" t="str">
        <x:v>2</x:v>
      </x:c>
      <x:c r="M11" s="48" t="str">
        <x:v>2</x:v>
      </x:c>
      <x:c r="N11" s="48" t="str">
        <x:v>False</x:v>
      </x:c>
      <x:c r="O11" s="48" t="str">
        <x:v>正确</x:v>
      </x:c>
      <x:c r="P11" s="48" t="str">
        <x:v>大气:正确; 地表水:正确; 报告日期:2023-07</x:v>
      </x:c>
      <x:c r="Q11" s="48"/>
      <x:c r="R11" s="48"/>
      <x:c r="S11" s="48" t="str">
        <x:v>是</x:v>
      </x:c>
      <x:c r="T11" s="48" t="str">
        <x:v>各项引用数据与公报一致，无需修正</x:v>
      </x:c>
      <x:c r="U11" s="48" t="str">
        <x:v>30个环评_大气及地表水环境质量现状数据引用复核QA</x:v>
      </x:c>
      <x:c r="V11" s="48" t="str">
        <x:v>环境质量数据引用</x:v>
      </x:c>
      <x:c r="W11" s="48" t="str">
        <x:v>正确</x:v>
      </x:c>
      <x:c r="X11" s="48" t="str">
        <x:v>无误</x:v>
      </x:c>
      <x:c r="Y11" s="64"/>
      <x:c r="Z11" s="64" t="str">
        <x:v>未复核</x:v>
      </x:c>
      <x:c r="AA11" s="64" t="str">
        <x:v>部分充分</x:v>
      </x:c>
      <x:c r="AB11" s="64" t="str">
        <x:v>有效</x:v>
      </x:c>
      <x:c r="AC11" s="64" t="str">
        <x:v>部分核验</x:v>
      </x:c>
      <x:c r="AD11" s="64" t="str">
        <x:v>自动默认</x:v>
      </x:c>
      <x:c r="AE11" s="64" t="str">
        <x:v>候选池</x:v>
      </x:c>
      <x:c r="AF11" s="64" t="str">
        <x:v>A_仅待终审</x:v>
      </x:c>
      <x:c r="AG11" s="64"/>
      <x:c r="AH11" s="64"/>
      <x:c r="AI11" s="64"/>
      <x:c r="AJ11" s="64"/>
      <x:c r="AK11" s="64"/>
      <x:c r="AL11" s="64"/>
      <x:c r="AM11" s="64"/>
      <x:c r="AN11" s="48" t="str">
        <x:v>11</x:v>
      </x:c>
      <x:c r="AO11" s="48" t="str">
        <x:v>MAP_正确</x:v>
      </x:c>
      <x:c r="AP11" s="48" t="str">
        <x:v>存在报告证据，但尚未经人工逐项核验；已列依据来源，但未在本阶段逐条核验</x:v>
      </x:c>
      <x:c r="AQ11" s="64"/>
      <x:c r="AR11" s="48" t="str">
        <x:v>environmental_quality_data</x:v>
      </x:c>
      <x:c r="AS11" s="48" t="str">
        <x:v>L3_analysis</x:v>
      </x:c>
      <x:c r="AT11" s="48" t="str">
        <x:v>consistency_comparison</x:v>
      </x:c>
      <x:c r="AU11" s="48" t="str">
        <x:v>evidence_integration</x:v>
      </x:c>
      <x:c r="AV11" s="48" t="str">
        <x:v>report_grounding；basis_grounding</x:v>
      </x:c>
      <x:c r="AW11" s="48" t="str">
        <x:v>high</x:v>
      </x:c>
      <x:c r="AX11" s="48" t="str">
        <x:v>high</x:v>
      </x:c>
      <x:c r="AY11" s="48" t="str">
        <x:v>report_plus_external</x:v>
      </x:c>
      <x:c r="AZ11" s="48" t="str">
        <x:v>True</x:v>
      </x:c>
      <x:c r="BA11" s="48"/>
      <x:c r="BB11" s="48" t="str">
        <x:v>auto_default</x:v>
      </x:c>
      <x:c r="BC11" s="48" t="str">
        <x:v>v1</x:v>
      </x:c>
      <x:c r="BD11" s="68"/>
    </x:row>
    <x:row r="12" ht="36" customHeight="1">
      <x:c r="A12" s="47" t="str">
        <x:v>2026-07-27</x:v>
      </x:c>
      <x:c r="B12" s="48" t="str">
        <x:v>PL002</x:v>
      </x:c>
      <x:c r="C12" s="48" t="str">
        <x:v>V01</x:v>
      </x:c>
      <x:c r="D12" s="48" t="str">
        <x:v>PL002_佛山市顺德区启卓工程塑料实业有限公司搬迁项目_01_核查材料.docx</x:v>
      </x:c>
      <x:c r="E12" s="48" t="str">
        <x:v>佛山市顺德区启卓工程塑料实业有限公司搬迁项目</x:v>
      </x:c>
      <x:c r="F12" s="48" t="str">
        <x:v>PL002_Emission_水污</x:v>
      </x:c>
      <x:c r="G12" s="48" t="str">
        <x:v>污染物排放标准-水污染物排放标准</x:v>
      </x:c>
      <x:c r="H1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2" s="48" t="str">
        <x:v>1、水污染物排放标准中生活污水排放执行标准：无误；
2、水污染物排放标准结论的过程分析内容：无误。生活污水经三级化粪池处理后执行DB44/26-2001第二时段三级标准（CODcr≤500mg/L、BOD5≤300mg/L），通过市政管网排至杏坛镇生活污水处理厂，污水处理厂尾水执行GB18918-2002一级A标准及DB44/26-2001第二时段一级标准的较严值。标准选取完整准确，预处理标准和纳管标准层次清晰。</x:v>
      </x:c>
      <x:c r="J12" s="4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12" s="48" t="str">
        <x:v>emission-standard-kb.jsonl; DB44/26-2001; DB44/2367-2022; GB31572-2015; GB14554-93; GB12348-2008; GB18597-2023; GB18599-2020</x:v>
      </x:c>
      <x:c r="L12" s="48" t="str">
        <x:v>2</x:v>
      </x:c>
      <x:c r="M12" s="48" t="str">
        <x:v>2</x:v>
      </x:c>
      <x:c r="N12" s="48" t="str">
        <x:v>False</x:v>
      </x:c>
      <x:c r="O12" s="48" t="str">
        <x:v>无误</x:v>
      </x:c>
      <x:c r="P12" s="48" t="str">
        <x:v>水:无误；气:无误；噪声:无误；固废:存在缺漏</x:v>
      </x:c>
      <x:c r="Q12" s="48"/>
      <x:c r="R12" s="48"/>
      <x:c r="S12" s="48" t="str">
        <x:v>否</x:v>
      </x:c>
      <x:c r="T12" s="48" t="str">
        <x:v>原综合排放标准问答对拆分而来</x:v>
      </x:c>
      <x:c r="U12" s="48" t="str">
        <x:v>30份环评_污染物排放控制执行标准复核QA(拆分版)</x:v>
      </x:c>
      <x:c r="V12" s="48" t="str">
        <x:v>水污染物排放标准</x:v>
      </x:c>
      <x:c r="W12" s="48" t="str">
        <x:v>无误</x:v>
      </x:c>
      <x:c r="X12" s="48" t="str">
        <x:v>无误</x:v>
      </x:c>
      <x:c r="Y12" s="64"/>
      <x:c r="Z12" s="64" t="str">
        <x:v>未复核</x:v>
      </x:c>
      <x:c r="AA12" s="64" t="str">
        <x:v>部分充分</x:v>
      </x:c>
      <x:c r="AB12" s="64" t="str">
        <x:v>有效</x:v>
      </x:c>
      <x:c r="AC12" s="64" t="str">
        <x:v>部分核验</x:v>
      </x:c>
      <x:c r="AD12" s="64" t="str">
        <x:v>自动默认</x:v>
      </x:c>
      <x:c r="AE12" s="64" t="str">
        <x:v>候选池</x:v>
      </x:c>
      <x:c r="AF12" s="64" t="str">
        <x:v>待分流</x:v>
      </x:c>
      <x:c r="AG12" s="64"/>
      <x:c r="AH12" s="64"/>
      <x:c r="AI12" s="64"/>
      <x:c r="AJ12" s="64"/>
      <x:c r="AK12" s="64"/>
      <x:c r="AL12" s="64"/>
      <x:c r="AM12" s="64"/>
      <x:c r="AN12" s="48" t="str">
        <x:v>12</x:v>
      </x:c>
      <x:c r="AO12" s="48" t="str">
        <x:v>MAP_无误</x:v>
      </x:c>
      <x:c r="AP12" s="48" t="str">
        <x:v>存在报告证据，但尚未经人工逐项核验；已列依据来源，但未在本阶段逐条核验</x:v>
      </x:c>
      <x:c r="AQ12" s="64"/>
      <x:c r="AR12" s="48" t="str">
        <x:v>water_emission_standard</x:v>
      </x:c>
      <x:c r="AS12" s="48" t="str">
        <x:v>L3_analysis</x:v>
      </x:c>
      <x:c r="AT12" s="48" t="str">
        <x:v>rule_applicability</x:v>
      </x:c>
      <x:c r="AU12" s="48" t="str">
        <x:v>basis_grounding</x:v>
      </x:c>
      <x:c r="AV12" s="48" t="str">
        <x:v>report_grounding；procedural_reasoning</x:v>
      </x:c>
      <x:c r="AW12" s="48" t="str">
        <x:v>high</x:v>
      </x:c>
      <x:c r="AX12" s="48" t="str">
        <x:v>high</x:v>
      </x:c>
      <x:c r="AY12" s="48" t="str">
        <x:v>report_plus_external</x:v>
      </x:c>
      <x:c r="AZ12" s="48" t="str">
        <x:v>True</x:v>
      </x:c>
      <x:c r="BA12" s="48"/>
      <x:c r="BB12" s="48" t="str">
        <x:v>auto_default</x:v>
      </x:c>
      <x:c r="BC12" s="48" t="str">
        <x:v>v1</x:v>
      </x:c>
      <x:c r="BD12" s="68"/>
    </x:row>
    <x:row r="13" ht="36" customHeight="1">
      <x:c r="A13" s="47" t="str">
        <x:v>2026-07-27</x:v>
      </x:c>
      <x:c r="B13" s="48" t="str">
        <x:v>PL002</x:v>
      </x:c>
      <x:c r="C13" s="48" t="str">
        <x:v>V01</x:v>
      </x:c>
      <x:c r="D13" s="48" t="str">
        <x:v>PL002_佛山市顺德区启卓工程塑料实业有限公司搬迁项目_01_核查材料.docx</x:v>
      </x:c>
      <x:c r="E13" s="48" t="str">
        <x:v>佛山市顺德区启卓工程塑料实业有限公司搬迁项目</x:v>
      </x:c>
      <x:c r="F13" s="48" t="str">
        <x:v>PL002_Emission_大气</x:v>
      </x:c>
      <x:c r="G13" s="48" t="str">
        <x:v>污染物排放标准-大气污染物排放标准</x:v>
      </x:c>
      <x:c r="H13" s="48" t="str">
        <x:v>请根据项目行业类别、生产工艺和污染因子，判断大气污染物排放标准选取是否合理。要求分析：污染源覆盖是否完整（列出所有大气污染源及对应标准），是否存在缺漏的污染源或标准。</x:v>
      </x:c>
      <x:c r="I13" s="48" t="str">
        <x:v>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x:v>
      </x:c>
      <x:c r="J13" s="48" t="str">
        <x:v>大气标准原文："挤出、抽检工序产生的非甲烷总烃执行《合成树脂工业污染物排放标准》（GB31572-2015）表5大气污染物特别排放限值要求及表9企业边界大气污染物浓度限值要求。"</x:v>
      </x:c>
      <x:c r="K13" s="48" t="str">
        <x:v>emission-standard-kb.jsonl; DB44/26-2001; DB44/2367-2022; GB31572-2015; GB14554-93; GB12348-2008; GB18597-2023; GB18599-2020</x:v>
      </x:c>
      <x:c r="L13" s="48" t="str">
        <x:v>2</x:v>
      </x:c>
      <x:c r="M13" s="48" t="str">
        <x:v>2</x:v>
      </x:c>
      <x:c r="N13" s="48" t="str">
        <x:v>False</x:v>
      </x:c>
      <x:c r="O13" s="48" t="str">
        <x:v>无误</x:v>
      </x:c>
      <x:c r="P13" s="48" t="str">
        <x:v>水:无误；气:无误；噪声:无误；固废:存在缺漏</x:v>
      </x:c>
      <x:c r="Q13" s="48"/>
      <x:c r="R13" s="48"/>
      <x:c r="S13" s="48" t="str">
        <x:v>否</x:v>
      </x:c>
      <x:c r="T13" s="48" t="str">
        <x:v>原综合排放标准问答对拆分而来</x:v>
      </x:c>
      <x:c r="U13" s="48" t="str">
        <x:v>30份环评_污染物排放控制执行标准复核QA(拆分版)</x:v>
      </x:c>
      <x:c r="V13" s="48" t="str">
        <x:v>大气污染物排放标准</x:v>
      </x:c>
      <x:c r="W13" s="48" t="str">
        <x:v>无误</x:v>
      </x:c>
      <x:c r="X13" s="48" t="str">
        <x:v>无误</x:v>
      </x:c>
      <x:c r="Y13" s="64"/>
      <x:c r="Z13" s="64" t="str">
        <x:v>未复核</x:v>
      </x:c>
      <x:c r="AA13" s="64" t="str">
        <x:v>部分充分</x:v>
      </x:c>
      <x:c r="AB13" s="64" t="str">
        <x:v>有效</x:v>
      </x:c>
      <x:c r="AC13" s="64" t="str">
        <x:v>部分核验</x:v>
      </x:c>
      <x:c r="AD13" s="64" t="str">
        <x:v>自动默认</x:v>
      </x:c>
      <x:c r="AE13" s="64" t="str">
        <x:v>候选池</x:v>
      </x:c>
      <x:c r="AF13" s="64" t="str">
        <x:v>待分流</x:v>
      </x:c>
      <x:c r="AG13" s="64"/>
      <x:c r="AH13" s="64"/>
      <x:c r="AI13" s="64"/>
      <x:c r="AJ13" s="64"/>
      <x:c r="AK13" s="64"/>
      <x:c r="AL13" s="64"/>
      <x:c r="AM13" s="64"/>
      <x:c r="AN13" s="48" t="str">
        <x:v>13</x:v>
      </x:c>
      <x:c r="AO13" s="48" t="str">
        <x:v>MAP_无误</x:v>
      </x:c>
      <x:c r="AP13" s="48" t="str">
        <x:v>存在报告证据，但尚未经人工逐项核验；已列依据来源，但未在本阶段逐条核验</x:v>
      </x:c>
      <x:c r="AQ13" s="64"/>
      <x:c r="AR13" s="48" t="str">
        <x:v>air_emission_standard</x:v>
      </x:c>
      <x:c r="AS13" s="48" t="str">
        <x:v>L3_analysis</x:v>
      </x:c>
      <x:c r="AT13" s="48" t="str">
        <x:v>multi_evidence_synthesis</x:v>
      </x:c>
      <x:c r="AU13" s="48" t="str">
        <x:v>basis_grounding</x:v>
      </x:c>
      <x:c r="AV13" s="48" t="str">
        <x:v>report_grounding；evidence_integration</x:v>
      </x:c>
      <x:c r="AW13" s="48" t="str">
        <x:v>high</x:v>
      </x:c>
      <x:c r="AX13" s="48" t="str">
        <x:v>high</x:v>
      </x:c>
      <x:c r="AY13" s="48" t="str">
        <x:v>report_plus_external</x:v>
      </x:c>
      <x:c r="AZ13" s="48" t="str">
        <x:v>True</x:v>
      </x:c>
      <x:c r="BA13" s="48"/>
      <x:c r="BB13" s="48" t="str">
        <x:v>auto_default</x:v>
      </x:c>
      <x:c r="BC13" s="48" t="str">
        <x:v>v1</x:v>
      </x:c>
      <x:c r="BD13" s="68"/>
    </x:row>
    <x:row r="14" ht="36" customHeight="1">
      <x:c r="A14" s="47" t="str">
        <x:v>2026-07-27</x:v>
      </x:c>
      <x:c r="B14" s="48" t="str">
        <x:v>PL002</x:v>
      </x:c>
      <x:c r="C14" s="48" t="str">
        <x:v>V01</x:v>
      </x:c>
      <x:c r="D14" s="48" t="str">
        <x:v>PL002_佛山市顺德区启卓工程塑料实业有限公司搬迁项目_01_核查材料.docx</x:v>
      </x:c>
      <x:c r="E14" s="48" t="str">
        <x:v>佛山市顺德区启卓工程塑料实业有限公司搬迁项目</x:v>
      </x:c>
      <x:c r="F14" s="48" t="str">
        <x:v>PL002_Emission_噪声</x:v>
      </x:c>
      <x:c r="G14" s="48" t="str">
        <x:v>污染物排放标准-噪声排放标准</x:v>
      </x:c>
      <x:c r="H14" s="48" t="str">
        <x:v>请根据项目所属声环境功能区类别，判断噪声排放标准选取是否合理。要求总结声功能区类型、厂界执行标准（GB12348-2008）及昼夜限值，并与环评编制内容进行一致性分析。</x:v>
      </x:c>
      <x:c r="I14" s="48" t="str">
        <x:v>1、噪声排放标准中执行标准与排放限值内容：无误；
2、无误。项目厂界执行GB12348-2008中3类标准（昼间≤65dB(A)、夜间≤55dB(A)），与项目所在的工业区声功能区划相符。</x:v>
      </x:c>
      <x:c r="J14" s="48" t="str">
        <x:v>噪声标准原文："项目厂界外1m执行《工业企业厂界环境噪声排放标准》（GB12348-2008）中的3类标准：昼间≤65dB(A)、夜间≤55dB(A)。"</x:v>
      </x:c>
      <x:c r="K14" s="48" t="str">
        <x:v>emission-standard-kb.jsonl; DB44/26-2001; DB44/2367-2022; GB31572-2015; GB14554-93; GB12348-2008; GB18597-2023; GB18599-2020</x:v>
      </x:c>
      <x:c r="L14" s="48" t="str">
        <x:v>2</x:v>
      </x:c>
      <x:c r="M14" s="48" t="str">
        <x:v>2</x:v>
      </x:c>
      <x:c r="N14" s="48" t="str">
        <x:v>False</x:v>
      </x:c>
      <x:c r="O14" s="48" t="str">
        <x:v>无误</x:v>
      </x:c>
      <x:c r="P14" s="48" t="str">
        <x:v>水:无误；气:无误；噪声:无误；固废:存在缺漏</x:v>
      </x:c>
      <x:c r="Q14" s="48"/>
      <x:c r="R14" s="48"/>
      <x:c r="S14" s="48" t="str">
        <x:v>否</x:v>
      </x:c>
      <x:c r="T14" s="48" t="str">
        <x:v>原综合排放标准问答对拆分而来</x:v>
      </x:c>
      <x:c r="U14" s="48" t="str">
        <x:v>30份环评_污染物排放控制执行标准复核QA(拆分版)</x:v>
      </x:c>
      <x:c r="V14" s="48" t="str">
        <x:v>噪声排放标准</x:v>
      </x:c>
      <x:c r="W14" s="48" t="str">
        <x:v>无误</x:v>
      </x:c>
      <x:c r="X14" s="48" t="str">
        <x:v>无误</x:v>
      </x:c>
      <x:c r="Y14" s="64"/>
      <x:c r="Z14" s="64" t="str">
        <x:v>未复核</x:v>
      </x:c>
      <x:c r="AA14" s="64" t="str">
        <x:v>部分充分</x:v>
      </x:c>
      <x:c r="AB14" s="64" t="str">
        <x:v>有效</x:v>
      </x:c>
      <x:c r="AC14" s="64" t="str">
        <x:v>部分核验</x:v>
      </x:c>
      <x:c r="AD14" s="64" t="str">
        <x:v>自动默认</x:v>
      </x:c>
      <x:c r="AE14" s="64" t="str">
        <x:v>候选池</x:v>
      </x:c>
      <x:c r="AF14" s="64" t="str">
        <x:v>待分流</x:v>
      </x:c>
      <x:c r="AG14" s="64"/>
      <x:c r="AH14" s="64"/>
      <x:c r="AI14" s="64"/>
      <x:c r="AJ14" s="64"/>
      <x:c r="AK14" s="64"/>
      <x:c r="AL14" s="64"/>
      <x:c r="AM14" s="64"/>
      <x:c r="AN14" s="48" t="str">
        <x:v>14</x:v>
      </x:c>
      <x:c r="AO14" s="48" t="str">
        <x:v>MAP_无误</x:v>
      </x:c>
      <x:c r="AP14" s="48" t="str">
        <x:v>存在报告证据，但尚未经人工逐项核验；已列依据来源，但未在本阶段逐条核验</x:v>
      </x:c>
      <x:c r="AQ14" s="64"/>
      <x:c r="AR14" s="48" t="str">
        <x:v>noise_emission_standard</x:v>
      </x:c>
      <x:c r="AS14" s="48" t="str">
        <x:v>L2_application</x:v>
      </x:c>
      <x:c r="AT14" s="48" t="str">
        <x:v>rule_applicability</x:v>
      </x:c>
      <x:c r="AU14" s="48" t="str">
        <x:v>basis_grounding</x:v>
      </x:c>
      <x:c r="AV14" s="48" t="str">
        <x:v>report_grounding</x:v>
      </x:c>
      <x:c r="AW14" s="48" t="str">
        <x:v>high</x:v>
      </x:c>
      <x:c r="AX14" s="48" t="str">
        <x:v>medium</x:v>
      </x:c>
      <x:c r="AY14" s="48" t="str">
        <x:v>report_plus_external</x:v>
      </x:c>
      <x:c r="AZ14" s="48" t="str">
        <x:v>True</x:v>
      </x:c>
      <x:c r="BA14" s="48"/>
      <x:c r="BB14" s="48" t="str">
        <x:v>auto_default</x:v>
      </x:c>
      <x:c r="BC14" s="48" t="str">
        <x:v>v1</x:v>
      </x:c>
      <x:c r="BD14" s="68"/>
    </x:row>
    <x:row r="15" ht="36" customHeight="1">
      <x:c r="A15" s="47" t="str">
        <x:v>2026-07-27</x:v>
      </x:c>
      <x:c r="B15" s="48" t="str">
        <x:v>PL002</x:v>
      </x:c>
      <x:c r="C15" s="48" t="str">
        <x:v>V01</x:v>
      </x:c>
      <x:c r="D15" s="48" t="str">
        <x:v>PL002_佛山市顺德区启卓工程塑料实业有限公司搬迁项目_01_核查材料.docx</x:v>
      </x:c>
      <x:c r="E15" s="48" t="str">
        <x:v>佛山市顺德区启卓工程塑料实业有限公司搬迁项目</x:v>
      </x:c>
      <x:c r="F15" s="48" t="str">
        <x:v>PL002_Emission_固体</x:v>
      </x:c>
      <x:c r="G15" s="48" t="str">
        <x:v>污染物排放标准-固体废物控制标准</x:v>
      </x:c>
      <x:c r="H15" s="48" t="str">
        <x:v>请根据项目产生的固体废物和危险废物类型，判断固体废物控制标准选取是否合理。要求总结一般工业固体废物和危险废物执行标准的标准名称及编号，分析是否缺少必要标准条目。</x:v>
      </x:c>
      <x:c r="I15"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5" s="4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15" s="48" t="str">
        <x:v>emission-standard-kb.jsonl; DB44/26-2001; DB44/2367-2022; GB31572-2015; GB14554-93; GB12348-2008; GB18597-2023; GB18599-2020</x:v>
      </x:c>
      <x:c r="L15" s="48" t="str">
        <x:v>2</x:v>
      </x:c>
      <x:c r="M15" s="48" t="str">
        <x:v>2</x:v>
      </x:c>
      <x:c r="N15" s="48" t="str">
        <x:v>False</x:v>
      </x:c>
      <x:c r="O15" s="48" t="str">
        <x:v>无误</x:v>
      </x:c>
      <x:c r="P15" s="48" t="str">
        <x:v>水:无误；气:无误；噪声:无误；固废:存在缺漏</x:v>
      </x:c>
      <x:c r="Q15" s="48"/>
      <x:c r="R15" s="48"/>
      <x:c r="S15" s="48" t="str">
        <x:v>否</x:v>
      </x:c>
      <x:c r="T15" s="48" t="str">
        <x:v>修正：GB18599-2020不在知识库必须满足的标准清单中，原判定依据已更正。原综合排放标准问答对拆分而来</x:v>
      </x:c>
      <x:c r="U15" s="48" t="str">
        <x:v>30份环评_污染物排放控制执行标准复核QA(拆分版)</x:v>
      </x:c>
      <x:c r="V15" s="48" t="str">
        <x:v>固体废物控制标准</x:v>
      </x:c>
      <x:c r="W15" s="48" t="str">
        <x:v>无误</x:v>
      </x:c>
      <x:c r="X15" s="48" t="str">
        <x:v>无误</x:v>
      </x:c>
      <x:c r="Y15" s="64"/>
      <x:c r="Z15" s="64" t="str">
        <x:v>未复核</x:v>
      </x:c>
      <x:c r="AA15" s="64" t="str">
        <x:v>部分充分</x:v>
      </x:c>
      <x:c r="AB15" s="64" t="str">
        <x:v>有效</x:v>
      </x:c>
      <x:c r="AC15" s="64" t="str">
        <x:v>部分核验</x:v>
      </x:c>
      <x:c r="AD15" s="64" t="str">
        <x:v>自动默认</x:v>
      </x:c>
      <x:c r="AE15" s="64" t="str">
        <x:v>候选池</x:v>
      </x:c>
      <x:c r="AF15" s="64" t="str">
        <x:v>待分流</x:v>
      </x:c>
      <x:c r="AG15" s="64"/>
      <x:c r="AH15" s="64"/>
      <x:c r="AI15" s="64"/>
      <x:c r="AJ15" s="64"/>
      <x:c r="AK15" s="64"/>
      <x:c r="AL15" s="64"/>
      <x:c r="AM15" s="64"/>
      <x:c r="AN15" s="48" t="str">
        <x:v>15</x:v>
      </x:c>
      <x:c r="AO15" s="48" t="str">
        <x:v>MAP_无误</x:v>
      </x:c>
      <x:c r="AP15" s="48" t="str">
        <x:v>存在报告证据，但尚未经人工逐项核验；已列依据来源，但未在本阶段逐条核验</x:v>
      </x:c>
      <x:c r="AQ15" s="64"/>
      <x:c r="AR15" s="48" t="str">
        <x:v>solid_waste_standard</x:v>
      </x:c>
      <x:c r="AS15" s="48" t="str">
        <x:v>L2_application</x:v>
      </x:c>
      <x:c r="AT15" s="48" t="str">
        <x:v>rule_applicability</x:v>
      </x:c>
      <x:c r="AU15" s="48" t="str">
        <x:v>basis_grounding</x:v>
      </x:c>
      <x:c r="AV15" s="48" t="str">
        <x:v>report_grounding</x:v>
      </x:c>
      <x:c r="AW15" s="48" t="str">
        <x:v>high</x:v>
      </x:c>
      <x:c r="AX15" s="48" t="str">
        <x:v>medium</x:v>
      </x:c>
      <x:c r="AY15" s="48" t="str">
        <x:v>report_plus_external</x:v>
      </x:c>
      <x:c r="AZ15" s="48" t="str">
        <x:v>True</x:v>
      </x:c>
      <x:c r="BA15" s="48"/>
      <x:c r="BB15" s="48" t="str">
        <x:v>auto_default</x:v>
      </x:c>
      <x:c r="BC15" s="48" t="str">
        <x:v>v1</x:v>
      </x:c>
      <x:c r="BD15" s="68"/>
    </x:row>
    <x:row r="16" ht="36" customHeight="1">
      <x:c r="A16" s="47" t="str">
        <x:v>2026-06-17</x:v>
      </x:c>
      <x:c r="B16" s="48" t="str">
        <x:v>PL003</x:v>
      </x:c>
      <x:c r="C16" s="48" t="str">
        <x:v>V01</x:v>
      </x:c>
      <x:c r="D16" s="48" t="str">
        <x:v>佛山市顺德区康明新材料厂新建项目.docx</x:v>
      </x:c>
      <x:c r="E16" s="48" t="str">
        <x:v>佛山市顺德区康明新材料厂新建项目</x:v>
      </x:c>
      <x:c r="F16" s="48" t="str">
        <x:v>PL003_V01_Q01</x:v>
      </x:c>
      <x:c r="G16" s="48" t="str">
        <x:v>塑胶行业样本筛选与国民经济行业分类</x:v>
      </x:c>
      <x:c r="H16" s="48" t="str">
        <x:v>请结合项目产品、原辅材料和生产工艺，判断该报告行业类别是否基本合理。</x:v>
      </x:c>
      <x:c r="I16" s="48" t="str">
        <x:v>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x:v>
      </x:c>
      <x:c r="J16" s="48"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16" s="48" t="str">
        <x:v>报告原文；Dify工作流_标准库；标准库/经验库</x:v>
      </x:c>
      <x:c r="L16" s="48" t="str">
        <x:v>该题用于修正原Excel混入非塑胶行业项目的问题，体现样本筛选和行业分类审查价值。</x:v>
      </x:c>
      <x:c r="M16" s="48" t="str">
        <x:v>可由报告基本情况、产品方案、原辅材料和工艺流程共同验证。</x:v>
      </x:c>
      <x:c r="N16" s="48" t="str">
        <x:v>True</x:v>
      </x:c>
      <x:c r="O16" s="48" t="str">
        <x:v>112</x:v>
      </x:c>
      <x:c r="P16" s="48" t="str">
        <x:v>112</x:v>
      </x:c>
      <x:c r="Q16" s="48" t="str">
        <x:v>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v>
      </x:c>
      <x:c r="R16" s="48" t="str">
        <x:v>表达优化</x:v>
      </x:c>
      <x:c r="S16" s="48" t="str">
        <x:v>否</x:v>
      </x:c>
      <x:c r="T16" s="48" t="str">
        <x:v>按亮正样本格式补充“判断—依据—审核意见”，保留原结论。</x:v>
      </x:c>
      <x:c r="U16" s="48" t="str">
        <x:v>seed_qa_塑胶行业筛选版_30个国民经济行业分类的人工标记</x:v>
      </x:c>
      <x:c r="V16" s="48" t="str">
        <x:v>国民经济行业分类</x:v>
      </x:c>
      <x:c r="W16" s="48" t="str">
        <x:v>112</x:v>
      </x:c>
      <x:c r="X16" s="48" t="str">
        <x:v>待判断</x:v>
      </x:c>
      <x:c r="Y16" s="64"/>
      <x:c r="Z16" s="64" t="str">
        <x:v>未复核</x:v>
      </x:c>
      <x:c r="AA16" s="64" t="str">
        <x:v>部分充分</x:v>
      </x:c>
      <x:c r="AB16" s="64" t="str">
        <x:v>字段错位</x:v>
      </x:c>
      <x:c r="AC16" s="64" t="str">
        <x:v>部分核验</x:v>
      </x:c>
      <x:c r="AD16" s="64" t="str">
        <x:v>自动默认</x:v>
      </x:c>
      <x:c r="AE16" s="64" t="str">
        <x:v>候选池</x:v>
      </x:c>
      <x:c r="AF16" s="64" t="str">
        <x:v>C_题目或材料问题</x:v>
      </x:c>
      <x:c r="AG16" s="64"/>
      <x:c r="AH16" s="64"/>
      <x:c r="AI16" s="64"/>
      <x:c r="AJ16" s="64"/>
      <x:c r="AK16" s="64"/>
      <x:c r="AL16" s="64"/>
      <x:c r="AM16" s="64"/>
      <x:c r="AN16" s="48" t="str">
        <x:v>16</x:v>
      </x:c>
      <x:c r="AO16" s="48" t="str">
        <x:v>MAP_112</x:v>
      </x:c>
      <x:c r="AP16" s="48" t="str">
        <x:v>数值112占用结论字段：疑似字段错位；人工判断字段出现数值或长说明；存在报告证据，但尚未经人工逐项核验；已列依据来源，但未在本阶段逐条核验</x:v>
      </x:c>
      <x:c r="AQ16" s="64"/>
      <x:c r="AR16" s="48" t="str">
        <x:v>industry_classification</x:v>
      </x:c>
      <x:c r="AS16" s="48" t="str">
        <x:v>L3_analysis</x:v>
      </x:c>
      <x:c r="AT16" s="48" t="str">
        <x:v>multi_evidence_synthesis</x:v>
      </x:c>
      <x:c r="AU16" s="48" t="str">
        <x:v>evidence_integration</x:v>
      </x:c>
      <x:c r="AV16" s="48" t="str">
        <x:v>report_grounding；basis_grounding</x:v>
      </x:c>
      <x:c r="AW16" s="48" t="str">
        <x:v>high</x:v>
      </x:c>
      <x:c r="AX16" s="48" t="str">
        <x:v>high</x:v>
      </x:c>
      <x:c r="AY16" s="48" t="str">
        <x:v>cross_section</x:v>
      </x:c>
      <x:c r="AZ16" s="48" t="str">
        <x:v>True</x:v>
      </x:c>
      <x:c r="BA16" s="48"/>
      <x:c r="BB16" s="48" t="str">
        <x:v>auto_default</x:v>
      </x:c>
      <x:c r="BC16" s="48" t="str">
        <x:v>v1</x:v>
      </x:c>
      <x:c r="BD16" s="68"/>
    </x:row>
    <x:row r="17" ht="36" customHeight="1">
      <x:c r="A17" s="47" t="str">
        <x:v>2026-07-24</x:v>
      </x:c>
      <x:c r="B17" s="48" t="str">
        <x:v>PL003</x:v>
      </x:c>
      <x:c r="C17" s="48" t="str">
        <x:v>V01</x:v>
      </x:c>
      <x:c r="D17" s="48" t="str">
        <x:v>PL003_佛山市顺德区康明新材料厂新建项目</x:v>
      </x:c>
      <x:c r="E17" s="48" t="str">
        <x:v>佛山市顺德区康明新材料厂新建项目</x:v>
      </x:c>
      <x:c r="F17" s="48" t="str">
        <x:v>PL003_V01_Q03</x:v>
      </x:c>
      <x:c r="G17" s="48" t="str">
        <x:v>环评投资核算</x:v>
      </x:c>
      <x:c r="H17" s="48" t="str">
        <x:v>请根据报告中的总投资、环保投资和环保工程投资明细，判断环保投资核算是否前后一致、比例是否正确。</x:v>
      </x:c>
      <x:c r="I17" s="48" t="str">
        <x:v>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x:v>
      </x:c>
      <x:c r="J17" s="48" t="str">
        <x:v>一、建设项目基本情况；表2-9：总投资100万元、环保投资15万元、占比15%；分项合计15万元。来源：解析文本拼接_01_001-020(4).md</x:v>
      </x:c>
      <x:c r="K17" s="48" t="str">
        <x:v>报告原文-环保投资明细表</x:v>
      </x:c>
      <x:c r="L17" s="48" t="str">
        <x:v>2</x:v>
      </x:c>
      <x:c r="M17" s="48" t="str">
        <x:v>2</x:v>
      </x:c>
      <x:c r="N17" s="48" t="str">
        <x:v>False</x:v>
      </x:c>
      <x:c r="O17" s="48" t="str">
        <x:v>正确</x:v>
      </x:c>
      <x:c r="P17" s="48"/>
      <x:c r="Q17" s="48"/>
      <x:c r="R17" s="48"/>
      <x:c r="S17" s="48" t="str">
        <x:v>否</x:v>
      </x:c>
      <x:c r="T17" s="48"/>
      <x:c r="U17" s="48" t="str">
        <x:v>30个PL_环评投资核算QA</x:v>
      </x:c>
      <x:c r="V17" s="48" t="str">
        <x:v>环评投资概算</x:v>
      </x:c>
      <x:c r="W17" s="48" t="str">
        <x:v>正确</x:v>
      </x:c>
      <x:c r="X17" s="48" t="str">
        <x:v>无误</x:v>
      </x:c>
      <x:c r="Y17" s="64"/>
      <x:c r="Z17" s="64" t="str">
        <x:v>未复核</x:v>
      </x:c>
      <x:c r="AA17" s="64" t="str">
        <x:v>部分充分</x:v>
      </x:c>
      <x:c r="AB17" s="64" t="str">
        <x:v>有效</x:v>
      </x:c>
      <x:c r="AC17" s="64" t="str">
        <x:v>不需要外部依据</x:v>
      </x:c>
      <x:c r="AD17" s="64" t="str">
        <x:v>自动默认</x:v>
      </x:c>
      <x:c r="AE17" s="64" t="str">
        <x:v>候选池</x:v>
      </x:c>
      <x:c r="AF17" s="64" t="str">
        <x:v>待分流</x:v>
      </x:c>
      <x:c r="AG17" s="64"/>
      <x:c r="AH17" s="64"/>
      <x:c r="AI17" s="64"/>
      <x:c r="AJ17" s="64"/>
      <x:c r="AK17" s="64"/>
      <x:c r="AL17" s="64"/>
      <x:c r="AM17" s="64"/>
      <x:c r="AN17" s="48" t="str">
        <x:v>17</x:v>
      </x:c>
      <x:c r="AO17" s="48" t="str">
        <x:v>MAP_正确</x:v>
      </x:c>
      <x:c r="AP17" s="48" t="str">
        <x:v>存在报告证据，但尚未经人工逐项核验；投资复核主要依据报告内金额与算式</x:v>
      </x:c>
      <x:c r="AQ17" s="64"/>
      <x:c r="AR17" s="48" t="str">
        <x:v>environmental_investment</x:v>
      </x:c>
      <x:c r="AS17" s="48" t="str">
        <x:v>L2_application</x:v>
      </x:c>
      <x:c r="AT17" s="48" t="str">
        <x:v>quantitative_verification</x:v>
      </x:c>
      <x:c r="AU17" s="48" t="str">
        <x:v>numerical_accuracy</x:v>
      </x:c>
      <x:c r="AV17" s="48" t="str">
        <x:v>report_grounding；procedural_reasoning</x:v>
      </x:c>
      <x:c r="AW17" s="48" t="str">
        <x:v>low</x:v>
      </x:c>
      <x:c r="AX17" s="48" t="str">
        <x:v>medium</x:v>
      </x:c>
      <x:c r="AY17" s="48" t="str">
        <x:v>cross_section</x:v>
      </x:c>
      <x:c r="AZ17" s="48" t="str">
        <x:v>True</x:v>
      </x:c>
      <x:c r="BA17" s="48"/>
      <x:c r="BB17" s="48" t="str">
        <x:v>auto_default</x:v>
      </x:c>
      <x:c r="BC17" s="48" t="str">
        <x:v>v1</x:v>
      </x:c>
      <x:c r="BD17" s="68"/>
    </x:row>
    <x:row r="18" ht="36" customHeight="1">
      <x:c r="A18" s="47" t="str">
        <x:v>2026-07-28</x:v>
      </x:c>
      <x:c r="B18" s="48" t="str">
        <x:v>PL003</x:v>
      </x:c>
      <x:c r="C18" s="48" t="str">
        <x:v>V01</x:v>
      </x:c>
      <x:c r="D18" s="48" t="str">
        <x:v>佛山市顺德区康明新材料厂新建项目环境影响报告表</x:v>
      </x:c>
      <x:c r="E18" s="48" t="str">
        <x:v>佛山市顺德区康明新材料厂新建项目</x:v>
      </x:c>
      <x:c r="F18" s="48" t="str">
        <x:v>PL003_EnvQuality_Q01</x:v>
      </x:c>
      <x:c r="G18" s="48" t="str">
        <x:v>大气及地表水环境质量现状数据引用</x:v>
      </x:c>
      <x:c r="H18" s="48" t="str">
        <x:v>请根据报告引用的环境质量公报及现状数据，判断大气和地表水环境质量现状数据引用是否准确。</x:v>
      </x:c>
      <x:c r="I18" s="4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18" s="48" t="str">
        <x:v>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x:v>
      </x:c>
      <x:c r="K18" s="48" t="str">
        <x:v>生态环境状况公报知识库; 收纳水体地表水执行标准</x:v>
      </x:c>
      <x:c r="L18" s="48" t="str">
        <x:v>2</x:v>
      </x:c>
      <x:c r="M18" s="48" t="str">
        <x:v>2</x:v>
      </x:c>
      <x:c r="N18" s="48" t="str">
        <x:v>False</x:v>
      </x:c>
      <x:c r="O18" s="48" t="str">
        <x:v>正确</x:v>
      </x:c>
      <x:c r="P18" s="48" t="str">
        <x:v>大气:正确; 地表水:正确; 报告日期:2024-03</x:v>
      </x:c>
      <x:c r="Q18" s="48"/>
      <x:c r="R18" s="48"/>
      <x:c r="S18" s="48" t="str">
        <x:v>是</x:v>
      </x:c>
      <x:c r="T18" s="48" t="str">
        <x:v>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x:v>
      </x:c>
      <x:c r="U18" s="48" t="str">
        <x:v>30个环评_大气及地表水环境质量现状数据引用复核QA</x:v>
      </x:c>
      <x:c r="V18" s="48" t="str">
        <x:v>环境质量数据引用</x:v>
      </x:c>
      <x:c r="W18" s="48" t="str">
        <x:v>正确</x:v>
      </x:c>
      <x:c r="X18" s="48" t="str">
        <x:v>无误</x:v>
      </x:c>
      <x:c r="Y18" s="64"/>
      <x:c r="Z18" s="64" t="str">
        <x:v>未复核</x:v>
      </x:c>
      <x:c r="AA18" s="64" t="str">
        <x:v>部分充分</x:v>
      </x:c>
      <x:c r="AB18" s="64" t="str">
        <x:v>有效</x:v>
      </x:c>
      <x:c r="AC18" s="64" t="str">
        <x:v>部分核验</x:v>
      </x:c>
      <x:c r="AD18" s="64" t="str">
        <x:v>自动默认</x:v>
      </x:c>
      <x:c r="AE18" s="64" t="str">
        <x:v>候选池</x:v>
      </x:c>
      <x:c r="AF18" s="64" t="str">
        <x:v>A_仅待终审</x:v>
      </x:c>
      <x:c r="AG18" s="64"/>
      <x:c r="AH18" s="64"/>
      <x:c r="AI18" s="64"/>
      <x:c r="AJ18" s="64"/>
      <x:c r="AK18" s="64"/>
      <x:c r="AL18" s="64"/>
      <x:c r="AM18" s="64"/>
      <x:c r="AN18" s="48" t="str">
        <x:v>18</x:v>
      </x:c>
      <x:c r="AO18" s="48" t="str">
        <x:v>MAP_正确</x:v>
      </x:c>
      <x:c r="AP18" s="48" t="str">
        <x:v>存在报告证据，但尚未经人工逐项核验；已列依据来源，但未在本阶段逐条核验</x:v>
      </x:c>
      <x:c r="AQ18" s="64"/>
      <x:c r="AR18" s="48" t="str">
        <x:v>environmental_quality_data</x:v>
      </x:c>
      <x:c r="AS18" s="48" t="str">
        <x:v>L3_analysis</x:v>
      </x:c>
      <x:c r="AT18" s="48" t="str">
        <x:v>consistency_comparison</x:v>
      </x:c>
      <x:c r="AU18" s="48" t="str">
        <x:v>evidence_integration</x:v>
      </x:c>
      <x:c r="AV18" s="48" t="str">
        <x:v>report_grounding；basis_grounding</x:v>
      </x:c>
      <x:c r="AW18" s="48" t="str">
        <x:v>high</x:v>
      </x:c>
      <x:c r="AX18" s="48" t="str">
        <x:v>high</x:v>
      </x:c>
      <x:c r="AY18" s="48" t="str">
        <x:v>report_plus_external</x:v>
      </x:c>
      <x:c r="AZ18" s="48" t="str">
        <x:v>True</x:v>
      </x:c>
      <x:c r="BA18" s="48"/>
      <x:c r="BB18" s="48" t="str">
        <x:v>auto_default</x:v>
      </x:c>
      <x:c r="BC18" s="48" t="str">
        <x:v>v1</x:v>
      </x:c>
      <x:c r="BD18" s="68"/>
    </x:row>
    <x:row r="19" ht="36" customHeight="1">
      <x:c r="A19" s="47" t="str">
        <x:v>2026-07-27</x:v>
      </x:c>
      <x:c r="B19" s="48" t="str">
        <x:v>PL003</x:v>
      </x:c>
      <x:c r="C19" s="48" t="str">
        <x:v>V01</x:v>
      </x:c>
      <x:c r="D19" s="48" t="str">
        <x:v>PL003_佛山市顺德区康明新材料厂新建项目_01_核查材料.docx</x:v>
      </x:c>
      <x:c r="E19" s="48" t="str">
        <x:v>佛山市顺德区康明新材料厂新建项目</x:v>
      </x:c>
      <x:c r="F19" s="48" t="str">
        <x:v>PL003_Emission_水污</x:v>
      </x:c>
      <x:c r="G19" s="48" t="str">
        <x:v>污染物排放标准-水污染物排放标准</x:v>
      </x:c>
      <x:c r="H1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9" s="48" t="str">
        <x:v>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x:v>
      </x:c>
      <x:c r="J19" s="48" t="str">
        <x:v>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x:v>
      </x:c>
      <x:c r="K19" s="48" t="str">
        <x:v>emission-standard-kb.jsonl; DB44/26-2001; DB44/2367-2022; GB31572-2015; GB14554-93; GB12348-2008; GB18597-2023; GB18599-2020</x:v>
      </x:c>
      <x:c r="L19" s="48" t="str">
        <x:v>2</x:v>
      </x:c>
      <x:c r="M19" s="48" t="str">
        <x:v>2</x:v>
      </x:c>
      <x:c r="N19" s="48" t="str">
        <x:v>False</x:v>
      </x:c>
      <x:c r="O19" s="48" t="str">
        <x:v>无误</x:v>
      </x:c>
      <x:c r="P19" s="48" t="str">
        <x:v>水:无误；气:存在错误；噪声:无误；固废:存在缺漏</x:v>
      </x:c>
      <x:c r="Q19" s="48"/>
      <x:c r="R19" s="48"/>
      <x:c r="S19" s="48" t="str">
        <x:v>否</x:v>
      </x:c>
      <x:c r="T19" s="48" t="str">
        <x:v>原综合排放标准问答对拆分而来</x:v>
      </x:c>
      <x:c r="U19" s="48" t="str">
        <x:v>30份环评_污染物排放控制执行标准复核QA(拆分版)</x:v>
      </x:c>
      <x:c r="V19" s="48" t="str">
        <x:v>水污染物排放标准</x:v>
      </x:c>
      <x:c r="W19" s="48" t="str">
        <x:v>无误</x:v>
      </x:c>
      <x:c r="X19" s="48" t="str">
        <x:v>无误</x:v>
      </x:c>
      <x:c r="Y19" s="64"/>
      <x:c r="Z19" s="64" t="str">
        <x:v>未复核</x:v>
      </x:c>
      <x:c r="AA19" s="64" t="str">
        <x:v>部分充分</x:v>
      </x:c>
      <x:c r="AB19" s="64" t="str">
        <x:v>有效</x:v>
      </x:c>
      <x:c r="AC19" s="64" t="str">
        <x:v>部分核验</x:v>
      </x:c>
      <x:c r="AD19" s="64" t="str">
        <x:v>自动默认</x:v>
      </x:c>
      <x:c r="AE19" s="64" t="str">
        <x:v>候选池</x:v>
      </x:c>
      <x:c r="AF19" s="64" t="str">
        <x:v>待分流</x:v>
      </x:c>
      <x:c r="AG19" s="64"/>
      <x:c r="AH19" s="64"/>
      <x:c r="AI19" s="64"/>
      <x:c r="AJ19" s="64"/>
      <x:c r="AK19" s="64"/>
      <x:c r="AL19" s="64"/>
      <x:c r="AM19" s="64"/>
      <x:c r="AN19" s="48" t="str">
        <x:v>19</x:v>
      </x:c>
      <x:c r="AO19" s="48" t="str">
        <x:v>MAP_无误</x:v>
      </x:c>
      <x:c r="AP19" s="48" t="str">
        <x:v>存在报告证据，但尚未经人工逐项核验；已列依据来源，但未在本阶段逐条核验</x:v>
      </x:c>
      <x:c r="AQ19" s="64"/>
      <x:c r="AR19" s="48" t="str">
        <x:v>water_emission_standard</x:v>
      </x:c>
      <x:c r="AS19" s="48" t="str">
        <x:v>L3_analysis</x:v>
      </x:c>
      <x:c r="AT19" s="48" t="str">
        <x:v>rule_applicability</x:v>
      </x:c>
      <x:c r="AU19" s="48" t="str">
        <x:v>basis_grounding</x:v>
      </x:c>
      <x:c r="AV19" s="48" t="str">
        <x:v>report_grounding；procedural_reasoning</x:v>
      </x:c>
      <x:c r="AW19" s="48" t="str">
        <x:v>high</x:v>
      </x:c>
      <x:c r="AX19" s="48" t="str">
        <x:v>high</x:v>
      </x:c>
      <x:c r="AY19" s="48" t="str">
        <x:v>report_plus_external</x:v>
      </x:c>
      <x:c r="AZ19" s="48" t="str">
        <x:v>True</x:v>
      </x:c>
      <x:c r="BA19" s="48"/>
      <x:c r="BB19" s="48" t="str">
        <x:v>auto_default</x:v>
      </x:c>
      <x:c r="BC19" s="48" t="str">
        <x:v>v1</x:v>
      </x:c>
      <x:c r="BD19" s="68"/>
    </x:row>
    <x:row r="20" ht="36" customHeight="1">
      <x:c r="A20" s="47" t="str">
        <x:v>2026-07-27</x:v>
      </x:c>
      <x:c r="B20" s="48" t="str">
        <x:v>PL003</x:v>
      </x:c>
      <x:c r="C20" s="48" t="str">
        <x:v>V01</x:v>
      </x:c>
      <x:c r="D20" s="48" t="str">
        <x:v>PL003_佛山市顺德区康明新材料厂新建项目_01_核查材料.docx</x:v>
      </x:c>
      <x:c r="E20" s="48" t="str">
        <x:v>佛山市顺德区康明新材料厂新建项目</x:v>
      </x:c>
      <x:c r="F20" s="48" t="str">
        <x:v>PL003_Emission_大气</x:v>
      </x:c>
      <x:c r="G20" s="48" t="str">
        <x:v>污染物排放标准-大气污染物排放标准</x:v>
      </x:c>
      <x:c r="H20" s="48" t="str">
        <x:v>请根据项目行业类别、生产工艺和污染因子，判断大气污染物排放标准选取是否合理。要求分析：污染源覆盖是否完整（列出所有大气污染源及对应标准），是否存在缺漏的污染源或标准。</x:v>
      </x:c>
      <x:c r="I20" s="48" t="str">
        <x:v>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x:v>
      </x:c>
      <x:c r="J20" s="48" t="str">
        <x:v>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x:v>
      </x:c>
      <x:c r="K20" s="48" t="str">
        <x:v>emission-standard-kb.jsonl; DB44/26-2001; DB44/2367-2022; GB31572-2015; GB14554-93; GB12348-2008; GB18597-2023; GB18599-2020</x:v>
      </x:c>
      <x:c r="L20" s="48" t="str">
        <x:v>2</x:v>
      </x:c>
      <x:c r="M20" s="48" t="str">
        <x:v>2</x:v>
      </x:c>
      <x:c r="N20" s="48" t="str">
        <x:v>False</x:v>
      </x:c>
      <x:c r="O20" s="48" t="str">
        <x:v>存在错误</x:v>
      </x:c>
      <x:c r="P20" s="48" t="str">
        <x:v>水:无误；气:存在错误；噪声:无误；固废:存在缺漏</x:v>
      </x:c>
      <x:c r="Q20" s="48"/>
      <x:c r="R20" s="48"/>
      <x:c r="S20" s="48" t="str">
        <x:v>是</x:v>
      </x:c>
      <x:c r="T20" s="48" t="str">
        <x:v>原综合排放标准问答对拆分而来</x:v>
      </x:c>
      <x:c r="U20" s="48" t="str">
        <x:v>30份环评_污染物排放控制执行标准复核QA(拆分版)</x:v>
      </x:c>
      <x:c r="V20" s="48" t="str">
        <x:v>大气污染物排放标准</x:v>
      </x:c>
      <x:c r="W20" s="48" t="str">
        <x:v>存在错误</x:v>
      </x:c>
      <x:c r="X20" s="48" t="str">
        <x:v>存在错误</x:v>
      </x:c>
      <x:c r="Y20" s="64"/>
      <x:c r="Z20" s="64" t="str">
        <x:v>未复核</x:v>
      </x:c>
      <x:c r="AA20" s="64" t="str">
        <x:v>部分充分</x:v>
      </x:c>
      <x:c r="AB20" s="64" t="str">
        <x:v>有效</x:v>
      </x:c>
      <x:c r="AC20" s="64" t="str">
        <x:v>部分核验</x:v>
      </x:c>
      <x:c r="AD20" s="64" t="str">
        <x:v>自动默认</x:v>
      </x:c>
      <x:c r="AE20" s="64" t="str">
        <x:v>候选池</x:v>
      </x:c>
      <x:c r="AF20" s="64" t="str">
        <x:v>A_仅待终审</x:v>
      </x:c>
      <x:c r="AG20" s="64"/>
      <x:c r="AH20" s="64"/>
      <x:c r="AI20" s="64"/>
      <x:c r="AJ20" s="64"/>
      <x:c r="AK20" s="64"/>
      <x:c r="AL20" s="64"/>
      <x:c r="AM20" s="64"/>
      <x:c r="AN20" s="48" t="str">
        <x:v>20</x:v>
      </x:c>
      <x:c r="AO20" s="48" t="str">
        <x:v>MAP_存在错误</x:v>
      </x:c>
      <x:c r="AP20" s="48" t="str">
        <x:v>存在报告证据，但尚未经人工逐项核验；已列依据来源，但未在本阶段逐条核验</x:v>
      </x:c>
      <x:c r="AQ20" s="64"/>
      <x:c r="AR20" s="48" t="str">
        <x:v>air_emission_standard</x:v>
      </x:c>
      <x:c r="AS20" s="48" t="str">
        <x:v>L3_analysis</x:v>
      </x:c>
      <x:c r="AT20" s="48" t="str">
        <x:v>multi_evidence_synthesis</x:v>
      </x:c>
      <x:c r="AU20" s="48" t="str">
        <x:v>basis_grounding</x:v>
      </x:c>
      <x:c r="AV20" s="48" t="str">
        <x:v>report_grounding；evidence_integration</x:v>
      </x:c>
      <x:c r="AW20" s="48" t="str">
        <x:v>high</x:v>
      </x:c>
      <x:c r="AX20" s="48" t="str">
        <x:v>high</x:v>
      </x:c>
      <x:c r="AY20" s="48" t="str">
        <x:v>report_plus_external</x:v>
      </x:c>
      <x:c r="AZ20" s="48" t="str">
        <x:v>True</x:v>
      </x:c>
      <x:c r="BA20" s="48"/>
      <x:c r="BB20" s="48" t="str">
        <x:v>auto_default</x:v>
      </x:c>
      <x:c r="BC20" s="48" t="str">
        <x:v>v1</x:v>
      </x:c>
      <x:c r="BD20" s="68"/>
    </x:row>
    <x:row r="21" ht="36" customHeight="1">
      <x:c r="A21" s="47" t="str">
        <x:v>2026-07-27</x:v>
      </x:c>
      <x:c r="B21" s="48" t="str">
        <x:v>PL003</x:v>
      </x:c>
      <x:c r="C21" s="48" t="str">
        <x:v>V01</x:v>
      </x:c>
      <x:c r="D21" s="48" t="str">
        <x:v>PL003_佛山市顺德区康明新材料厂新建项目_01_核查材料.docx</x:v>
      </x:c>
      <x:c r="E21" s="48" t="str">
        <x:v>佛山市顺德区康明新材料厂新建项目</x:v>
      </x:c>
      <x:c r="F21" s="48" t="str">
        <x:v>PL003_Emission_噪声</x:v>
      </x:c>
      <x:c r="G21" s="48" t="str">
        <x:v>污染物排放标准-噪声排放标准</x:v>
      </x:c>
      <x:c r="H21" s="48" t="str">
        <x:v>请根据项目所属声环境功能区类别，判断噪声排放标准选取是否合理。要求总结声功能区类型、厂界执行标准（GB12348-2008）及昼夜限值，并与环评编制内容进行一致性分析。</x:v>
      </x:c>
      <x:c r="I21" s="48" t="str">
        <x:v>1、噪声排放标准中执行标准与排放限值内容：无误；
2、无误。项目边界噪声执行GB12348-2008中3类区标准，与工业区声功能区划相符。</x:v>
      </x:c>
      <x:c r="J21" s="48" t="str">
        <x:v>噪声标准原文："本项目营运期边界噪声执行《工业企业厂界环境噪声排放标准》（GB12348-2008）3类区标准。"</x:v>
      </x:c>
      <x:c r="K21" s="48" t="str">
        <x:v>emission-standard-kb.jsonl; DB44/26-2001; DB44/2367-2022; GB31572-2015; GB14554-93; GB12348-2008; GB18597-2023; GB18599-2020</x:v>
      </x:c>
      <x:c r="L21" s="48" t="str">
        <x:v>2</x:v>
      </x:c>
      <x:c r="M21" s="48" t="str">
        <x:v>2</x:v>
      </x:c>
      <x:c r="N21" s="48" t="str">
        <x:v>False</x:v>
      </x:c>
      <x:c r="O21" s="48" t="str">
        <x:v>无误</x:v>
      </x:c>
      <x:c r="P21" s="48" t="str">
        <x:v>水:无误；气:存在错误；噪声:无误；固废:存在缺漏</x:v>
      </x:c>
      <x:c r="Q21" s="48"/>
      <x:c r="R21" s="48"/>
      <x:c r="S21" s="48" t="str">
        <x:v>否</x:v>
      </x:c>
      <x:c r="T21" s="48" t="str">
        <x:v>原综合排放标准问答对拆分而来</x:v>
      </x:c>
      <x:c r="U21" s="48" t="str">
        <x:v>30份环评_污染物排放控制执行标准复核QA(拆分版)</x:v>
      </x:c>
      <x:c r="V21" s="48" t="str">
        <x:v>噪声排放标准</x:v>
      </x:c>
      <x:c r="W21" s="48" t="str">
        <x:v>无误</x:v>
      </x:c>
      <x:c r="X21" s="48" t="str">
        <x:v>无误</x:v>
      </x:c>
      <x:c r="Y21" s="64"/>
      <x:c r="Z21" s="64" t="str">
        <x:v>未复核</x:v>
      </x:c>
      <x:c r="AA21" s="64" t="str">
        <x:v>部分充分</x:v>
      </x:c>
      <x:c r="AB21" s="64" t="str">
        <x:v>有效</x:v>
      </x:c>
      <x:c r="AC21" s="64" t="str">
        <x:v>部分核验</x:v>
      </x:c>
      <x:c r="AD21" s="64" t="str">
        <x:v>自动默认</x:v>
      </x:c>
      <x:c r="AE21" s="64" t="str">
        <x:v>候选池</x:v>
      </x:c>
      <x:c r="AF21" s="64" t="str">
        <x:v>待分流</x:v>
      </x:c>
      <x:c r="AG21" s="64"/>
      <x:c r="AH21" s="64"/>
      <x:c r="AI21" s="64"/>
      <x:c r="AJ21" s="64"/>
      <x:c r="AK21" s="64"/>
      <x:c r="AL21" s="64"/>
      <x:c r="AM21" s="64"/>
      <x:c r="AN21" s="48" t="str">
        <x:v>21</x:v>
      </x:c>
      <x:c r="AO21" s="48" t="str">
        <x:v>MAP_无误</x:v>
      </x:c>
      <x:c r="AP21" s="48" t="str">
        <x:v>存在报告证据，但尚未经人工逐项核验；已列依据来源，但未在本阶段逐条核验</x:v>
      </x:c>
      <x:c r="AQ21" s="64"/>
      <x:c r="AR21" s="48" t="str">
        <x:v>noise_emission_standard</x:v>
      </x:c>
      <x:c r="AS21" s="48" t="str">
        <x:v>L2_application</x:v>
      </x:c>
      <x:c r="AT21" s="48" t="str">
        <x:v>rule_applicability</x:v>
      </x:c>
      <x:c r="AU21" s="48" t="str">
        <x:v>basis_grounding</x:v>
      </x:c>
      <x:c r="AV21" s="48" t="str">
        <x:v>report_grounding</x:v>
      </x:c>
      <x:c r="AW21" s="48" t="str">
        <x:v>high</x:v>
      </x:c>
      <x:c r="AX21" s="48" t="str">
        <x:v>medium</x:v>
      </x:c>
      <x:c r="AY21" s="48" t="str">
        <x:v>report_plus_external</x:v>
      </x:c>
      <x:c r="AZ21" s="48" t="str">
        <x:v>True</x:v>
      </x:c>
      <x:c r="BA21" s="48"/>
      <x:c r="BB21" s="48" t="str">
        <x:v>auto_default</x:v>
      </x:c>
      <x:c r="BC21" s="48" t="str">
        <x:v>v1</x:v>
      </x:c>
      <x:c r="BD21" s="68"/>
    </x:row>
    <x:row r="22" ht="36" customHeight="1">
      <x:c r="A22" s="47" t="str">
        <x:v>2026-07-27</x:v>
      </x:c>
      <x:c r="B22" s="48" t="str">
        <x:v>PL003</x:v>
      </x:c>
      <x:c r="C22" s="48" t="str">
        <x:v>V01</x:v>
      </x:c>
      <x:c r="D22" s="48" t="str">
        <x:v>PL003_佛山市顺德区康明新材料厂新建项目_01_核查材料.docx</x:v>
      </x:c>
      <x:c r="E22" s="48" t="str">
        <x:v>佛山市顺德区康明新材料厂新建项目</x:v>
      </x:c>
      <x:c r="F22" s="48" t="str">
        <x:v>PL003_Emission_固体</x:v>
      </x:c>
      <x:c r="G22" s="48" t="str">
        <x:v>污染物排放标准-固体废物控制标准</x:v>
      </x:c>
      <x:c r="H22" s="48" t="str">
        <x:v>请根据项目产生的固体废物和危险废物类型，判断固体废物控制标准选取是否合理。要求总结一般工业固体废物和危险废物执行标准的标准名称及编号，分析是否缺少必要标准条目。</x:v>
      </x:c>
      <x:c r="I22"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22" s="48" t="str">
        <x:v>固废标准原文："项目生产过程中产生的固体废物执行《中华人民共和国固体废物污染环境防治法》（2020修订）、《国家危险废物名录》（2021年）、《固体废物鉴别标准 通则》（GB34330-2017）、《危险废物贮存污染控制标准》（GB18597-2023）、《一般固体废物分类和代码》（GB/T39198-2020）。"</x:v>
      </x:c>
      <x:c r="K22" s="48" t="str">
        <x:v>emission-standard-kb.jsonl; DB44/26-2001; DB44/2367-2022; GB31572-2015; GB14554-93; GB12348-2008; GB18597-2023; GB18599-2020</x:v>
      </x:c>
      <x:c r="L22" s="48" t="str">
        <x:v>2</x:v>
      </x:c>
      <x:c r="M22" s="48" t="str">
        <x:v>2</x:v>
      </x:c>
      <x:c r="N22" s="48" t="str">
        <x:v>False</x:v>
      </x:c>
      <x:c r="O22" s="48" t="str">
        <x:v>无误</x:v>
      </x:c>
      <x:c r="P22" s="48" t="str">
        <x:v>水:无误；气:存在错误；噪声:无误；固废:存在缺漏</x:v>
      </x:c>
      <x:c r="Q22" s="48"/>
      <x:c r="R22" s="48"/>
      <x:c r="S22" s="48" t="str">
        <x:v>否</x:v>
      </x:c>
      <x:c r="T22" s="48" t="str">
        <x:v>修正：GB18599-2020不在知识库必须满足的标准清单中，原判定依据已更正。原综合排放标准问答对拆分而来</x:v>
      </x:c>
      <x:c r="U22" s="48" t="str">
        <x:v>30份环评_污染物排放控制执行标准复核QA(拆分版)</x:v>
      </x:c>
      <x:c r="V22" s="48" t="str">
        <x:v>固体废物控制标准</x:v>
      </x:c>
      <x:c r="W22" s="48" t="str">
        <x:v>无误</x:v>
      </x:c>
      <x:c r="X22" s="48" t="str">
        <x:v>无误</x:v>
      </x:c>
      <x:c r="Y22" s="64"/>
      <x:c r="Z22" s="64" t="str">
        <x:v>未复核</x:v>
      </x:c>
      <x:c r="AA22" s="64" t="str">
        <x:v>部分充分</x:v>
      </x:c>
      <x:c r="AB22" s="64" t="str">
        <x:v>有效</x:v>
      </x:c>
      <x:c r="AC22" s="64" t="str">
        <x:v>部分核验</x:v>
      </x:c>
      <x:c r="AD22" s="64" t="str">
        <x:v>自动默认</x:v>
      </x:c>
      <x:c r="AE22" s="64" t="str">
        <x:v>候选池</x:v>
      </x:c>
      <x:c r="AF22" s="64" t="str">
        <x:v>待分流</x:v>
      </x:c>
      <x:c r="AG22" s="64"/>
      <x:c r="AH22" s="64"/>
      <x:c r="AI22" s="64"/>
      <x:c r="AJ22" s="64"/>
      <x:c r="AK22" s="64"/>
      <x:c r="AL22" s="64"/>
      <x:c r="AM22" s="64"/>
      <x:c r="AN22" s="48" t="str">
        <x:v>22</x:v>
      </x:c>
      <x:c r="AO22" s="48" t="str">
        <x:v>MAP_无误</x:v>
      </x:c>
      <x:c r="AP22" s="48" t="str">
        <x:v>存在报告证据，但尚未经人工逐项核验；已列依据来源，但未在本阶段逐条核验</x:v>
      </x:c>
      <x:c r="AQ22" s="64"/>
      <x:c r="AR22" s="48" t="str">
        <x:v>solid_waste_standard</x:v>
      </x:c>
      <x:c r="AS22" s="48" t="str">
        <x:v>L2_application</x:v>
      </x:c>
      <x:c r="AT22" s="48" t="str">
        <x:v>rule_applicability</x:v>
      </x:c>
      <x:c r="AU22" s="48" t="str">
        <x:v>basis_grounding</x:v>
      </x:c>
      <x:c r="AV22" s="48" t="str">
        <x:v>report_grounding</x:v>
      </x:c>
      <x:c r="AW22" s="48" t="str">
        <x:v>high</x:v>
      </x:c>
      <x:c r="AX22" s="48" t="str">
        <x:v>medium</x:v>
      </x:c>
      <x:c r="AY22" s="48" t="str">
        <x:v>report_plus_external</x:v>
      </x:c>
      <x:c r="AZ22" s="48" t="str">
        <x:v>True</x:v>
      </x:c>
      <x:c r="BA22" s="48"/>
      <x:c r="BB22" s="48" t="str">
        <x:v>auto_default</x:v>
      </x:c>
      <x:c r="BC22" s="48" t="str">
        <x:v>v1</x:v>
      </x:c>
      <x:c r="BD22" s="68"/>
    </x:row>
    <x:row r="23" ht="36" customHeight="1">
      <x:c r="A23" s="47" t="str">
        <x:v>2026-06-17</x:v>
      </x:c>
      <x:c r="B23" s="48" t="str">
        <x:v>PL004</x:v>
      </x:c>
      <x:c r="C23" s="48" t="str">
        <x:v>V01</x:v>
      </x:c>
      <x:c r="D23" s="48" t="str">
        <x:v>恒励新材料科技（佛山）有限公司新建项目.docx</x:v>
      </x:c>
      <x:c r="E23" s="48" t="str">
        <x:v>恒励新材料科技(佛山)有限公司新建项目</x:v>
      </x:c>
      <x:c r="F23" s="48" t="str">
        <x:v>PL004_V01_Q01</x:v>
      </x:c>
      <x:c r="G23" s="48" t="str">
        <x:v>塑胶行业样本筛选与国民经济行业分类</x:v>
      </x:c>
      <x:c r="H23" s="48" t="str">
        <x:v>请结合项目产品、原辅材料和生产工艺，判断该报告行业类别是否基本合理。</x:v>
      </x:c>
      <x:c r="I23" s="48" t="str">
        <x:v>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x:v>
      </x:c>
      <x:c r="J23" s="48"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23" s="48" t="str">
        <x:v>报告原文；Dify工作流_标准库；标准库/经验库</x:v>
      </x:c>
      <x:c r="L23" s="48" t="str">
        <x:v>该题用于修正原Excel混入非塑胶行业项目的问题，体现样本筛选和行业分类审查价值。</x:v>
      </x:c>
      <x:c r="M23" s="48" t="str">
        <x:v>可由报告基本情况、产品方案、原辅材料和工艺流程共同验证。</x:v>
      </x:c>
      <x:c r="N23" s="48" t="str">
        <x:v>True</x:v>
      </x:c>
      <x:c r="O23" s="48" t="str">
        <x:v>112</x:v>
      </x:c>
      <x:c r="P23" s="48" t="str">
        <x:v>112</x:v>
      </x:c>
      <x:c r="Q23" s="48" t="str">
        <x:v>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v>
      </x:c>
      <x:c r="R23" s="48" t="str">
        <x:v>表达优化</x:v>
      </x:c>
      <x:c r="S23" s="48" t="str">
        <x:v>否</x:v>
      </x:c>
      <x:c r="T23" s="48" t="str">
        <x:v>按亮正样本格式补充“判断—依据—审核意见”，保留原结论。</x:v>
      </x:c>
      <x:c r="U23" s="48" t="str">
        <x:v>seed_qa_塑胶行业筛选版_30个国民经济行业分类的人工标记</x:v>
      </x:c>
      <x:c r="V23" s="48" t="str">
        <x:v>国民经济行业分类</x:v>
      </x:c>
      <x:c r="W23" s="48" t="str">
        <x:v>112</x:v>
      </x:c>
      <x:c r="X23" s="48" t="str">
        <x:v>待判断</x:v>
      </x:c>
      <x:c r="Y23" s="64"/>
      <x:c r="Z23" s="64" t="str">
        <x:v>未复核</x:v>
      </x:c>
      <x:c r="AA23" s="64" t="str">
        <x:v>部分充分</x:v>
      </x:c>
      <x:c r="AB23" s="64" t="str">
        <x:v>字段错位</x:v>
      </x:c>
      <x:c r="AC23" s="64" t="str">
        <x:v>部分核验</x:v>
      </x:c>
      <x:c r="AD23" s="64" t="str">
        <x:v>自动默认</x:v>
      </x:c>
      <x:c r="AE23" s="64" t="str">
        <x:v>候选池</x:v>
      </x:c>
      <x:c r="AF23" s="64" t="str">
        <x:v>C_题目或材料问题</x:v>
      </x:c>
      <x:c r="AG23" s="64"/>
      <x:c r="AH23" s="64"/>
      <x:c r="AI23" s="64"/>
      <x:c r="AJ23" s="64"/>
      <x:c r="AK23" s="64"/>
      <x:c r="AL23" s="64"/>
      <x:c r="AM23" s="64"/>
      <x:c r="AN23" s="48" t="str">
        <x:v>23</x:v>
      </x:c>
      <x:c r="AO23" s="48" t="str">
        <x:v>MAP_112</x:v>
      </x:c>
      <x:c r="AP23" s="48" t="str">
        <x:v>数值112占用结论字段：疑似字段错位；人工判断字段出现数值或长说明；存在报告证据，但尚未经人工逐项核验；已列依据来源，但未在本阶段逐条核验</x:v>
      </x:c>
      <x:c r="AQ23" s="64"/>
      <x:c r="AR23" s="48" t="str">
        <x:v>industry_classification</x:v>
      </x:c>
      <x:c r="AS23" s="48" t="str">
        <x:v>L3_analysis</x:v>
      </x:c>
      <x:c r="AT23" s="48" t="str">
        <x:v>multi_evidence_synthesis</x:v>
      </x:c>
      <x:c r="AU23" s="48" t="str">
        <x:v>evidence_integration</x:v>
      </x:c>
      <x:c r="AV23" s="48" t="str">
        <x:v>report_grounding；basis_grounding</x:v>
      </x:c>
      <x:c r="AW23" s="48" t="str">
        <x:v>high</x:v>
      </x:c>
      <x:c r="AX23" s="48" t="str">
        <x:v>high</x:v>
      </x:c>
      <x:c r="AY23" s="48" t="str">
        <x:v>cross_section</x:v>
      </x:c>
      <x:c r="AZ23" s="48" t="str">
        <x:v>True</x:v>
      </x:c>
      <x:c r="BA23" s="48"/>
      <x:c r="BB23" s="48" t="str">
        <x:v>auto_default</x:v>
      </x:c>
      <x:c r="BC23" s="48" t="str">
        <x:v>v1</x:v>
      </x:c>
      <x:c r="BD23" s="68"/>
    </x:row>
    <x:row r="24" ht="36" customHeight="1">
      <x:c r="A24" s="47" t="str">
        <x:v>2026-07-24</x:v>
      </x:c>
      <x:c r="B24" s="48" t="str">
        <x:v>PL004</x:v>
      </x:c>
      <x:c r="C24" s="48" t="str">
        <x:v>V01</x:v>
      </x:c>
      <x:c r="D24" s="48" t="str">
        <x:v>PL004_恒励新材料科技（佛山）有限公司新建项目</x:v>
      </x:c>
      <x:c r="E24" s="48" t="str">
        <x:v>恒励新材料科技（佛山）有限公司新建项目</x:v>
      </x:c>
      <x:c r="F24" s="48" t="str">
        <x:v>PL004_V01_Q03</x:v>
      </x:c>
      <x:c r="G24" s="48" t="str">
        <x:v>环评投资核算</x:v>
      </x:c>
      <x:c r="H24" s="48" t="str">
        <x:v>请根据报告中的总投资、环保投资和环保工程投资明细，判断环保投资核算是否前后一致、比例是否正确。</x:v>
      </x:c>
      <x:c r="I24" s="48"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24" s="48" t="str">
        <x:v>一、建设项目基本情况：总投资100万元、环保投资10万元、占比10%。来源：解析文本拼接_01_001-020(4).md</x:v>
      </x:c>
      <x:c r="K24" s="48" t="str">
        <x:v>报告原文-环保投资明细表</x:v>
      </x:c>
      <x:c r="L24" s="48" t="str">
        <x:v>2</x:v>
      </x:c>
      <x:c r="M24" s="48" t="str">
        <x:v>2</x:v>
      </x:c>
      <x:c r="N24" s="48" t="str">
        <x:v>False</x:v>
      </x:c>
      <x:c r="O24" s="48" t="str">
        <x:v>需复核</x:v>
      </x:c>
      <x:c r="P24" s="48"/>
      <x:c r="Q24" s="48"/>
      <x:c r="R24" s="48"/>
      <x:c r="S24" s="48" t="str">
        <x:v>是</x:v>
      </x:c>
      <x:c r="T24" s="48"/>
      <x:c r="U24" s="48" t="str">
        <x:v>30个PL_环评投资核算QA</x:v>
      </x:c>
      <x:c r="V24" s="48" t="str">
        <x:v>环评投资概算</x:v>
      </x:c>
      <x:c r="W24" s="48" t="str">
        <x:v>需复核</x:v>
      </x:c>
      <x:c r="X24" s="48" t="str">
        <x:v>证据不足</x:v>
      </x:c>
      <x:c r="Y24" s="64"/>
      <x:c r="Z24" s="64" t="str">
        <x:v>未复核</x:v>
      </x:c>
      <x:c r="AA24" s="64" t="str">
        <x:v>不足</x:v>
      </x:c>
      <x:c r="AB24" s="64" t="str">
        <x:v>有效</x:v>
      </x:c>
      <x:c r="AC24" s="64" t="str">
        <x:v>不需要外部依据</x:v>
      </x:c>
      <x:c r="AD24" s="64" t="str">
        <x:v>自动默认</x:v>
      </x:c>
      <x:c r="AE24" s="64" t="str">
        <x:v>候选池</x:v>
      </x:c>
      <x:c r="AF24" s="64" t="str">
        <x:v>B_证据不足</x:v>
      </x:c>
      <x:c r="AG24" s="64"/>
      <x:c r="AH24" s="64"/>
      <x:c r="AI24" s="64"/>
      <x:c r="AJ24" s="64"/>
      <x:c r="AK24" s="64"/>
      <x:c r="AL24" s="64"/>
      <x:c r="AM24" s="64"/>
      <x:c r="AN24" s="48" t="str">
        <x:v>24</x:v>
      </x:c>
      <x:c r="AO24" s="48" t="str">
        <x:v>MAP_需复核+EVIDENCE_INSUFFICIENCY_SIGNAL</x:v>
      </x:c>
      <x:c r="AP24" s="48" t="str">
        <x:v>原结论明确要求人工复核；命中证据不足候选词：未检索到、无法核对；投资复核主要依据报告内金额与算式</x:v>
      </x:c>
      <x:c r="AQ24" s="64"/>
      <x:c r="AR24" s="48" t="str">
        <x:v>environmental_investment</x:v>
      </x:c>
      <x:c r="AS24" s="48" t="str">
        <x:v>L2_application</x:v>
      </x:c>
      <x:c r="AT24" s="48" t="str">
        <x:v>quantitative_verification</x:v>
      </x:c>
      <x:c r="AU24" s="48" t="str">
        <x:v>numerical_accuracy</x:v>
      </x:c>
      <x:c r="AV24" s="48" t="str">
        <x:v>report_grounding；procedural_reasoning</x:v>
      </x:c>
      <x:c r="AW24" s="48" t="str">
        <x:v>low</x:v>
      </x:c>
      <x:c r="AX24" s="48" t="str">
        <x:v>medium</x:v>
      </x:c>
      <x:c r="AY24" s="48" t="str">
        <x:v>cross_section</x:v>
      </x:c>
      <x:c r="AZ24" s="48" t="str">
        <x:v>True</x:v>
      </x:c>
      <x:c r="BA24" s="48"/>
      <x:c r="BB24" s="48" t="str">
        <x:v>auto_default</x:v>
      </x:c>
      <x:c r="BC24" s="48" t="str">
        <x:v>v1</x:v>
      </x:c>
      <x:c r="BD24" s="68"/>
    </x:row>
    <x:row r="25" ht="36" customHeight="1">
      <x:c r="A25" s="47" t="str">
        <x:v>2026-07-28</x:v>
      </x:c>
      <x:c r="B25" s="48" t="str">
        <x:v>PL004</x:v>
      </x:c>
      <x:c r="C25" s="48" t="str">
        <x:v>V01</x:v>
      </x:c>
      <x:c r="D25" s="48" t="str">
        <x:v>恒励新材料科技(佛山)有限公司新建项目环境影响报告表</x:v>
      </x:c>
      <x:c r="E25" s="48" t="str">
        <x:v>恒励新材料科技(佛山)有限公司新建项目</x:v>
      </x:c>
      <x:c r="F25" s="48" t="str">
        <x:v>PL004_EnvQuality_Q01</x:v>
      </x:c>
      <x:c r="G25" s="48" t="str">
        <x:v>大气及地表水环境质量现状数据引用</x:v>
      </x:c>
      <x:c r="H25" s="48" t="str">
        <x:v>请根据报告引用的环境质量公报及现状数据，判断大气和地表水环境质量现状数据引用是否准确。</x:v>
      </x:c>
      <x:c r="I25"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25" s="4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25" s="48" t="str">
        <x:v>生态环境状况公报知识库; 收纳水体地表水执行标准</x:v>
      </x:c>
      <x:c r="L25" s="48" t="str">
        <x:v>2</x:v>
      </x:c>
      <x:c r="M25" s="48" t="str">
        <x:v>2</x:v>
      </x:c>
      <x:c r="N25" s="48" t="str">
        <x:v>False</x:v>
      </x:c>
      <x:c r="O25" s="48" t="str">
        <x:v>正确</x:v>
      </x:c>
      <x:c r="P25" s="48" t="str">
        <x:v>大气:正确; 地表水:正确; 报告日期:2023-07</x:v>
      </x:c>
      <x:c r="Q25" s="48"/>
      <x:c r="R25" s="48"/>
      <x:c r="S25" s="48" t="str">
        <x:v>是</x:v>
      </x:c>
      <x:c r="T25" s="48" t="str">
        <x:v>各项引用数据与公报一致，无需修正</x:v>
      </x:c>
      <x:c r="U25" s="48" t="str">
        <x:v>30个环评_大气及地表水环境质量现状数据引用复核QA</x:v>
      </x:c>
      <x:c r="V25" s="48" t="str">
        <x:v>环境质量数据引用</x:v>
      </x:c>
      <x:c r="W25" s="48" t="str">
        <x:v>正确</x:v>
      </x:c>
      <x:c r="X25" s="48" t="str">
        <x:v>无误</x:v>
      </x:c>
      <x:c r="Y25" s="64"/>
      <x:c r="Z25" s="64" t="str">
        <x:v>未复核</x:v>
      </x:c>
      <x:c r="AA25" s="64" t="str">
        <x:v>部分充分</x:v>
      </x:c>
      <x:c r="AB25" s="64" t="str">
        <x:v>有效</x:v>
      </x:c>
      <x:c r="AC25" s="64" t="str">
        <x:v>部分核验</x:v>
      </x:c>
      <x:c r="AD25" s="64" t="str">
        <x:v>自动默认</x:v>
      </x:c>
      <x:c r="AE25" s="64" t="str">
        <x:v>候选池</x:v>
      </x:c>
      <x:c r="AF25" s="64" t="str">
        <x:v>A_仅待终审</x:v>
      </x:c>
      <x:c r="AG25" s="64"/>
      <x:c r="AH25" s="64"/>
      <x:c r="AI25" s="64"/>
      <x:c r="AJ25" s="64"/>
      <x:c r="AK25" s="64"/>
      <x:c r="AL25" s="64"/>
      <x:c r="AM25" s="64"/>
      <x:c r="AN25" s="48" t="str">
        <x:v>25</x:v>
      </x:c>
      <x:c r="AO25" s="48" t="str">
        <x:v>MAP_正确</x:v>
      </x:c>
      <x:c r="AP25" s="48" t="str">
        <x:v>存在报告证据，但尚未经人工逐项核验；已列依据来源，但未在本阶段逐条核验</x:v>
      </x:c>
      <x:c r="AQ25" s="64"/>
      <x:c r="AR25" s="48" t="str">
        <x:v>environmental_quality_data</x:v>
      </x:c>
      <x:c r="AS25" s="48" t="str">
        <x:v>L3_analysis</x:v>
      </x:c>
      <x:c r="AT25" s="48" t="str">
        <x:v>consistency_comparison</x:v>
      </x:c>
      <x:c r="AU25" s="48" t="str">
        <x:v>evidence_integration</x:v>
      </x:c>
      <x:c r="AV25" s="48" t="str">
        <x:v>report_grounding；basis_grounding</x:v>
      </x:c>
      <x:c r="AW25" s="48" t="str">
        <x:v>high</x:v>
      </x:c>
      <x:c r="AX25" s="48" t="str">
        <x:v>high</x:v>
      </x:c>
      <x:c r="AY25" s="48" t="str">
        <x:v>report_plus_external</x:v>
      </x:c>
      <x:c r="AZ25" s="48" t="str">
        <x:v>True</x:v>
      </x:c>
      <x:c r="BA25" s="48"/>
      <x:c r="BB25" s="48" t="str">
        <x:v>auto_default</x:v>
      </x:c>
      <x:c r="BC25" s="48" t="str">
        <x:v>v1</x:v>
      </x:c>
      <x:c r="BD25" s="68"/>
    </x:row>
    <x:row r="26" ht="36" customHeight="1">
      <x:c r="A26" s="47" t="str">
        <x:v>2026-07-27</x:v>
      </x:c>
      <x:c r="B26" s="48" t="str">
        <x:v>PL004</x:v>
      </x:c>
      <x:c r="C26" s="48" t="str">
        <x:v>V01</x:v>
      </x:c>
      <x:c r="D26" s="48" t="str">
        <x:v>PL004_恒励新材料科技(佛山)有限公司新建项目_01_核查材料.docx</x:v>
      </x:c>
      <x:c r="E26" s="48" t="str">
        <x:v>恒励新材料科技(佛山)有限公司新建项目</x:v>
      </x:c>
      <x:c r="F26" s="48" t="str">
        <x:v>PL004_Emission_水污</x:v>
      </x:c>
      <x:c r="G26" s="48" t="str">
        <x:v>污染物排放标准-水污染物排放标准</x:v>
      </x:c>
      <x:c r="H2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6" s="48" t="str">
        <x:v>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c r="J26" s="4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26" s="48" t="str">
        <x:v>emission-standard-kb.jsonl; DB44/26-2001; DB44/2367-2022; GB31572-2015; GB14554-93; GB12348-2008; GB18597-2023; GB18599-2020</x:v>
      </x:c>
      <x:c r="L26" s="48" t="str">
        <x:v>2</x:v>
      </x:c>
      <x:c r="M26" s="48" t="str">
        <x:v>2</x:v>
      </x:c>
      <x:c r="N26" s="48" t="str">
        <x:v>False</x:v>
      </x:c>
      <x:c r="O26" s="48" t="str">
        <x:v>无误</x:v>
      </x:c>
      <x:c r="P26" s="48" t="str">
        <x:v>水:无误；气:存在缺漏；噪声:无误；固废:存在缺漏</x:v>
      </x:c>
      <x:c r="Q26" s="48"/>
      <x:c r="R26" s="48"/>
      <x:c r="S26" s="48" t="str">
        <x:v>否</x:v>
      </x:c>
      <x:c r="T26" s="48" t="str">
        <x:v>原综合排放标准问答对拆分而来</x:v>
      </x:c>
      <x:c r="U26" s="48" t="str">
        <x:v>30份环评_污染物排放控制执行标准复核QA(拆分版)</x:v>
      </x:c>
      <x:c r="V26" s="48" t="str">
        <x:v>水污染物排放标准</x:v>
      </x:c>
      <x:c r="W26" s="48" t="str">
        <x:v>无误</x:v>
      </x:c>
      <x:c r="X26" s="48" t="str">
        <x:v>无误</x:v>
      </x:c>
      <x:c r="Y26" s="64"/>
      <x:c r="Z26" s="64" t="str">
        <x:v>未复核</x:v>
      </x:c>
      <x:c r="AA26" s="64" t="str">
        <x:v>部分充分</x:v>
      </x:c>
      <x:c r="AB26" s="64" t="str">
        <x:v>有效</x:v>
      </x:c>
      <x:c r="AC26" s="64" t="str">
        <x:v>部分核验</x:v>
      </x:c>
      <x:c r="AD26" s="64" t="str">
        <x:v>自动默认</x:v>
      </x:c>
      <x:c r="AE26" s="64" t="str">
        <x:v>候选池</x:v>
      </x:c>
      <x:c r="AF26" s="64" t="str">
        <x:v>待分流</x:v>
      </x:c>
      <x:c r="AG26" s="64"/>
      <x:c r="AH26" s="64"/>
      <x:c r="AI26" s="64"/>
      <x:c r="AJ26" s="64"/>
      <x:c r="AK26" s="64"/>
      <x:c r="AL26" s="64"/>
      <x:c r="AM26" s="64"/>
      <x:c r="AN26" s="48" t="str">
        <x:v>26</x:v>
      </x:c>
      <x:c r="AO26" s="48" t="str">
        <x:v>MAP_无误</x:v>
      </x:c>
      <x:c r="AP26" s="48" t="str">
        <x:v>存在报告证据，但尚未经人工逐项核验；已列依据来源，但未在本阶段逐条核验</x:v>
      </x:c>
      <x:c r="AQ26" s="64"/>
      <x:c r="AR26" s="48" t="str">
        <x:v>water_emission_standard</x:v>
      </x:c>
      <x:c r="AS26" s="48" t="str">
        <x:v>L3_analysis</x:v>
      </x:c>
      <x:c r="AT26" s="48" t="str">
        <x:v>rule_applicability</x:v>
      </x:c>
      <x:c r="AU26" s="48" t="str">
        <x:v>basis_grounding</x:v>
      </x:c>
      <x:c r="AV26" s="48" t="str">
        <x:v>report_grounding；procedural_reasoning</x:v>
      </x:c>
      <x:c r="AW26" s="48" t="str">
        <x:v>high</x:v>
      </x:c>
      <x:c r="AX26" s="48" t="str">
        <x:v>high</x:v>
      </x:c>
      <x:c r="AY26" s="48" t="str">
        <x:v>report_plus_external</x:v>
      </x:c>
      <x:c r="AZ26" s="48" t="str">
        <x:v>True</x:v>
      </x:c>
      <x:c r="BA26" s="48"/>
      <x:c r="BB26" s="48" t="str">
        <x:v>auto_default</x:v>
      </x:c>
      <x:c r="BC26" s="48" t="str">
        <x:v>v1</x:v>
      </x:c>
      <x:c r="BD26" s="68"/>
    </x:row>
    <x:row r="27" ht="36" customHeight="1">
      <x:c r="A27" s="47" t="str">
        <x:v>2026-07-27</x:v>
      </x:c>
      <x:c r="B27" s="48" t="str">
        <x:v>PL004</x:v>
      </x:c>
      <x:c r="C27" s="48" t="str">
        <x:v>V01</x:v>
      </x:c>
      <x:c r="D27" s="48" t="str">
        <x:v>PL004_恒励新材料科技(佛山)有限公司新建项目_01_核查材料.docx</x:v>
      </x:c>
      <x:c r="E27" s="48" t="str">
        <x:v>恒励新材料科技(佛山)有限公司新建项目</x:v>
      </x:c>
      <x:c r="F27" s="48" t="str">
        <x:v>PL004_Emission_大气</x:v>
      </x:c>
      <x:c r="G27" s="48" t="str">
        <x:v>污染物排放标准-大气污染物排放标准</x:v>
      </x:c>
      <x:c r="H27" s="48" t="str">
        <x:v>请根据项目行业类别、生产工艺和污染因子，判断大气污染物排放标准选取是否合理。要求分析：污染源覆盖是否完整（列出所有大气污染源及对应标准），是否存在缺漏的污染源或标准。</x:v>
      </x:c>
      <x:c r="I27" s="48" t="str">
        <x:v>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x:v>
      </x:c>
      <x:c r="J27" s="48" t="str">
        <x:v>大气标准原文："挤出工序产生的非甲烷总烃执行《合成树脂工业污染物排放标准》（GB31572-2015）表4大气污染物排放限值要求及表9企业边界大气污染物浓度限值要求。"</x:v>
      </x:c>
      <x:c r="K27" s="48" t="str">
        <x:v>emission-standard-kb.jsonl; DB44/26-2001; DB44/2367-2022; GB31572-2015; GB14554-93; GB12348-2008; GB18597-2023; GB18599-2020</x:v>
      </x:c>
      <x:c r="L27" s="48" t="str">
        <x:v>2</x:v>
      </x:c>
      <x:c r="M27" s="48" t="str">
        <x:v>2</x:v>
      </x:c>
      <x:c r="N27" s="48" t="str">
        <x:v>False</x:v>
      </x:c>
      <x:c r="O27" s="48" t="str">
        <x:v>存在缺漏</x:v>
      </x:c>
      <x:c r="P27" s="48" t="str">
        <x:v>水:无误；气:存在缺漏；噪声:无误；固废:存在缺漏</x:v>
      </x:c>
      <x:c r="Q27" s="48"/>
      <x:c r="R27" s="48"/>
      <x:c r="S27" s="48" t="str">
        <x:v>是</x:v>
      </x:c>
      <x:c r="T27" s="48" t="str">
        <x:v>原综合排放标准问答对拆分而来</x:v>
      </x:c>
      <x:c r="U27" s="48" t="str">
        <x:v>30份环评_污染物排放控制执行标准复核QA(拆分版)</x:v>
      </x:c>
      <x:c r="V27" s="48" t="str">
        <x:v>大气污染物排放标准</x:v>
      </x:c>
      <x:c r="W27" s="48" t="str">
        <x:v>存在缺漏</x:v>
      </x:c>
      <x:c r="X27" s="48" t="str">
        <x:v>存在缺漏</x:v>
      </x:c>
      <x:c r="Y27" s="64"/>
      <x:c r="Z27" s="64" t="str">
        <x:v>未复核</x:v>
      </x:c>
      <x:c r="AA27" s="64" t="str">
        <x:v>部分充分</x:v>
      </x:c>
      <x:c r="AB27" s="64" t="str">
        <x:v>有效</x:v>
      </x:c>
      <x:c r="AC27" s="64" t="str">
        <x:v>部分核验</x:v>
      </x:c>
      <x:c r="AD27" s="64" t="str">
        <x:v>自动默认</x:v>
      </x:c>
      <x:c r="AE27" s="64" t="str">
        <x:v>候选池</x:v>
      </x:c>
      <x:c r="AF27" s="64" t="str">
        <x:v>A_仅待终审</x:v>
      </x:c>
      <x:c r="AG27" s="64"/>
      <x:c r="AH27" s="64"/>
      <x:c r="AI27" s="64"/>
      <x:c r="AJ27" s="64"/>
      <x:c r="AK27" s="64"/>
      <x:c r="AL27" s="64"/>
      <x:c r="AM27" s="64"/>
      <x:c r="AN27" s="48" t="str">
        <x:v>27</x:v>
      </x:c>
      <x:c r="AO27" s="48" t="str">
        <x:v>MAP_存在缺漏</x:v>
      </x:c>
      <x:c r="AP27" s="48" t="str">
        <x:v>存在报告证据，但尚未经人工逐项核验；已列依据来源，但未在本阶段逐条核验</x:v>
      </x:c>
      <x:c r="AQ27" s="64"/>
      <x:c r="AR27" s="48" t="str">
        <x:v>air_emission_standard</x:v>
      </x:c>
      <x:c r="AS27" s="48" t="str">
        <x:v>L3_analysis</x:v>
      </x:c>
      <x:c r="AT27" s="48" t="str">
        <x:v>multi_evidence_synthesis</x:v>
      </x:c>
      <x:c r="AU27" s="48" t="str">
        <x:v>basis_grounding</x:v>
      </x:c>
      <x:c r="AV27" s="48" t="str">
        <x:v>report_grounding；evidence_integration</x:v>
      </x:c>
      <x:c r="AW27" s="48" t="str">
        <x:v>high</x:v>
      </x:c>
      <x:c r="AX27" s="48" t="str">
        <x:v>high</x:v>
      </x:c>
      <x:c r="AY27" s="48" t="str">
        <x:v>report_plus_external</x:v>
      </x:c>
      <x:c r="AZ27" s="48" t="str">
        <x:v>True</x:v>
      </x:c>
      <x:c r="BA27" s="48"/>
      <x:c r="BB27" s="48" t="str">
        <x:v>auto_default</x:v>
      </x:c>
      <x:c r="BC27" s="48" t="str">
        <x:v>v1</x:v>
      </x:c>
      <x:c r="BD27" s="68"/>
    </x:row>
    <x:row r="28" ht="36" customHeight="1">
      <x:c r="A28" s="47" t="str">
        <x:v>2026-07-27</x:v>
      </x:c>
      <x:c r="B28" s="48" t="str">
        <x:v>PL004</x:v>
      </x:c>
      <x:c r="C28" s="48" t="str">
        <x:v>V01</x:v>
      </x:c>
      <x:c r="D28" s="48" t="str">
        <x:v>PL004_恒励新材料科技(佛山)有限公司新建项目_01_核查材料.docx</x:v>
      </x:c>
      <x:c r="E28" s="48" t="str">
        <x:v>恒励新材料科技(佛山)有限公司新建项目</x:v>
      </x:c>
      <x:c r="F28" s="48" t="str">
        <x:v>PL004_Emission_噪声</x:v>
      </x:c>
      <x:c r="G28" s="48" t="str">
        <x:v>污染物排放标准-噪声排放标准</x:v>
      </x:c>
      <x:c r="H28" s="48" t="str">
        <x:v>请根据项目所属声环境功能区类别，判断噪声排放标准选取是否合理。要求总结声功能区类型、厂界执行标准（GB12348-2008）及昼夜限值，并与环评编制内容进行一致性分析。</x:v>
      </x:c>
      <x:c r="I28" s="48" t="str">
        <x:v>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x:v>
      </x:c>
      <x:c r="J28" s="48" t="str">
        <x:v>噪声标准原文："根据佛山市生态环境局关于印发《佛山市声环境功能区划》的通知（佛环[2024]1号），项目位置属于3321杏坛东部工业区片区，厂界外1m执行《工业企业厂界环境噪声排放标准》（GB12348-2008）中的3类标准：昼间≤65dB(A)、夜间≤55dB(A)。"</x:v>
      </x:c>
      <x:c r="K28" s="48" t="str">
        <x:v>emission-standard-kb.jsonl; DB44/26-2001; DB44/2367-2022; GB31572-2015; GB14554-93; GB12348-2008; GB18597-2023; GB18599-2020</x:v>
      </x:c>
      <x:c r="L28" s="48" t="str">
        <x:v>2</x:v>
      </x:c>
      <x:c r="M28" s="48" t="str">
        <x:v>2</x:v>
      </x:c>
      <x:c r="N28" s="48" t="str">
        <x:v>False</x:v>
      </x:c>
      <x:c r="O28" s="48" t="str">
        <x:v>无误</x:v>
      </x:c>
      <x:c r="P28" s="48" t="str">
        <x:v>水:无误；气:存在缺漏；噪声:无误；固废:存在缺漏</x:v>
      </x:c>
      <x:c r="Q28" s="48"/>
      <x:c r="R28" s="48"/>
      <x:c r="S28" s="48" t="str">
        <x:v>否</x:v>
      </x:c>
      <x:c r="T28" s="48" t="str">
        <x:v>原综合排放标准问答对拆分而来</x:v>
      </x:c>
      <x:c r="U28" s="48" t="str">
        <x:v>30份环评_污染物排放控制执行标准复核QA(拆分版)</x:v>
      </x:c>
      <x:c r="V28" s="48" t="str">
        <x:v>噪声排放标准</x:v>
      </x:c>
      <x:c r="W28" s="48" t="str">
        <x:v>无误</x:v>
      </x:c>
      <x:c r="X28" s="48" t="str">
        <x:v>无误</x:v>
      </x:c>
      <x:c r="Y28" s="64"/>
      <x:c r="Z28" s="64" t="str">
        <x:v>未复核</x:v>
      </x:c>
      <x:c r="AA28" s="64" t="str">
        <x:v>部分充分</x:v>
      </x:c>
      <x:c r="AB28" s="64" t="str">
        <x:v>有效</x:v>
      </x:c>
      <x:c r="AC28" s="64" t="str">
        <x:v>部分核验</x:v>
      </x:c>
      <x:c r="AD28" s="64" t="str">
        <x:v>自动默认</x:v>
      </x:c>
      <x:c r="AE28" s="64" t="str">
        <x:v>候选池</x:v>
      </x:c>
      <x:c r="AF28" s="64" t="str">
        <x:v>待分流</x:v>
      </x:c>
      <x:c r="AG28" s="64"/>
      <x:c r="AH28" s="64"/>
      <x:c r="AI28" s="64"/>
      <x:c r="AJ28" s="64"/>
      <x:c r="AK28" s="64"/>
      <x:c r="AL28" s="64"/>
      <x:c r="AM28" s="64"/>
      <x:c r="AN28" s="48" t="str">
        <x:v>28</x:v>
      </x:c>
      <x:c r="AO28" s="48" t="str">
        <x:v>MAP_无误</x:v>
      </x:c>
      <x:c r="AP28" s="48" t="str">
        <x:v>存在报告证据，但尚未经人工逐项核验；已列依据来源，但未在本阶段逐条核验</x:v>
      </x:c>
      <x:c r="AQ28" s="64"/>
      <x:c r="AR28" s="48" t="str">
        <x:v>noise_emission_standard</x:v>
      </x:c>
      <x:c r="AS28" s="48" t="str">
        <x:v>L2_application</x:v>
      </x:c>
      <x:c r="AT28" s="48" t="str">
        <x:v>rule_applicability</x:v>
      </x:c>
      <x:c r="AU28" s="48" t="str">
        <x:v>basis_grounding</x:v>
      </x:c>
      <x:c r="AV28" s="48" t="str">
        <x:v>report_grounding</x:v>
      </x:c>
      <x:c r="AW28" s="48" t="str">
        <x:v>high</x:v>
      </x:c>
      <x:c r="AX28" s="48" t="str">
        <x:v>medium</x:v>
      </x:c>
      <x:c r="AY28" s="48" t="str">
        <x:v>report_plus_external</x:v>
      </x:c>
      <x:c r="AZ28" s="48" t="str">
        <x:v>True</x:v>
      </x:c>
      <x:c r="BA28" s="48"/>
      <x:c r="BB28" s="48" t="str">
        <x:v>auto_default</x:v>
      </x:c>
      <x:c r="BC28" s="48" t="str">
        <x:v>v1</x:v>
      </x:c>
      <x:c r="BD28" s="68"/>
    </x:row>
    <x:row r="29" ht="36" customHeight="1">
      <x:c r="A29" s="47" t="str">
        <x:v>2026-07-27</x:v>
      </x:c>
      <x:c r="B29" s="48" t="str">
        <x:v>PL004</x:v>
      </x:c>
      <x:c r="C29" s="48" t="str">
        <x:v>V01</x:v>
      </x:c>
      <x:c r="D29" s="48" t="str">
        <x:v>PL004_恒励新材料科技(佛山)有限公司新建项目_01_核查材料.docx</x:v>
      </x:c>
      <x:c r="E29" s="48" t="str">
        <x:v>恒励新材料科技(佛山)有限公司新建项目</x:v>
      </x:c>
      <x:c r="F29" s="48" t="str">
        <x:v>PL004_Emission_固体</x:v>
      </x:c>
      <x:c r="G29" s="48" t="str">
        <x:v>污染物排放标准-固体废物控制标准</x:v>
      </x:c>
      <x:c r="H29" s="48" t="str">
        <x:v>请根据项目产生的固体废物和危险废物类型，判断固体废物控制标准选取是否合理。要求总结一般工业固体废物和危险废物执行标准的标准名称及编号，分析是否缺少必要标准条目。</x:v>
      </x:c>
      <x:c r="I29"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29" s="48" t="str">
        <x:v>固废标准原文："固体废物管理应遵照《中华人民共和国固体废物污染环境防治法》、《广东省固体废物污染环境防治条例》和《固体废物鉴别标准通则》（GB34330-2017）执行……危险废物执行《国家危险废物名录》（2021版）以及《危险废物贮存污染控制标准》（GB18597-2023）。"</x:v>
      </x:c>
      <x:c r="K29" s="48" t="str">
        <x:v>emission-standard-kb.jsonl; DB44/26-2001; DB44/2367-2022; GB31572-2015; GB14554-93; GB12348-2008; GB18597-2023; GB18599-2020</x:v>
      </x:c>
      <x:c r="L29" s="48" t="str">
        <x:v>2</x:v>
      </x:c>
      <x:c r="M29" s="48" t="str">
        <x:v>2</x:v>
      </x:c>
      <x:c r="N29" s="48" t="str">
        <x:v>False</x:v>
      </x:c>
      <x:c r="O29" s="48" t="str">
        <x:v>无误</x:v>
      </x:c>
      <x:c r="P29" s="48" t="str">
        <x:v>水:无误；气:存在缺漏；噪声:无误；固废:存在缺漏</x:v>
      </x:c>
      <x:c r="Q29" s="48"/>
      <x:c r="R29" s="48"/>
      <x:c r="S29" s="48" t="str">
        <x:v>否</x:v>
      </x:c>
      <x:c r="T29" s="48" t="str">
        <x:v>修正：GB18599-2020不在知识库必须满足的标准清单中，原判定依据已更正。原综合排放标准问答对拆分而来</x:v>
      </x:c>
      <x:c r="U29" s="48" t="str">
        <x:v>30份环评_污染物排放控制执行标准复核QA(拆分版)</x:v>
      </x:c>
      <x:c r="V29" s="48" t="str">
        <x:v>固体废物控制标准</x:v>
      </x:c>
      <x:c r="W29" s="48" t="str">
        <x:v>无误</x:v>
      </x:c>
      <x:c r="X29" s="48" t="str">
        <x:v>无误</x:v>
      </x:c>
      <x:c r="Y29" s="64"/>
      <x:c r="Z29" s="64" t="str">
        <x:v>未复核</x:v>
      </x:c>
      <x:c r="AA29" s="64" t="str">
        <x:v>部分充分</x:v>
      </x:c>
      <x:c r="AB29" s="64" t="str">
        <x:v>有效</x:v>
      </x:c>
      <x:c r="AC29" s="64" t="str">
        <x:v>部分核验</x:v>
      </x:c>
      <x:c r="AD29" s="64" t="str">
        <x:v>自动默认</x:v>
      </x:c>
      <x:c r="AE29" s="64" t="str">
        <x:v>候选池</x:v>
      </x:c>
      <x:c r="AF29" s="64" t="str">
        <x:v>待分流</x:v>
      </x:c>
      <x:c r="AG29" s="64"/>
      <x:c r="AH29" s="64"/>
      <x:c r="AI29" s="64"/>
      <x:c r="AJ29" s="64"/>
      <x:c r="AK29" s="64"/>
      <x:c r="AL29" s="64"/>
      <x:c r="AM29" s="64"/>
      <x:c r="AN29" s="48" t="str">
        <x:v>29</x:v>
      </x:c>
      <x:c r="AO29" s="48" t="str">
        <x:v>MAP_无误</x:v>
      </x:c>
      <x:c r="AP29" s="48" t="str">
        <x:v>存在报告证据，但尚未经人工逐项核验；已列依据来源，但未在本阶段逐条核验</x:v>
      </x:c>
      <x:c r="AQ29" s="64"/>
      <x:c r="AR29" s="48" t="str">
        <x:v>solid_waste_standard</x:v>
      </x:c>
      <x:c r="AS29" s="48" t="str">
        <x:v>L2_application</x:v>
      </x:c>
      <x:c r="AT29" s="48" t="str">
        <x:v>rule_applicability</x:v>
      </x:c>
      <x:c r="AU29" s="48" t="str">
        <x:v>basis_grounding</x:v>
      </x:c>
      <x:c r="AV29" s="48" t="str">
        <x:v>report_grounding</x:v>
      </x:c>
      <x:c r="AW29" s="48" t="str">
        <x:v>high</x:v>
      </x:c>
      <x:c r="AX29" s="48" t="str">
        <x:v>medium</x:v>
      </x:c>
      <x:c r="AY29" s="48" t="str">
        <x:v>report_plus_external</x:v>
      </x:c>
      <x:c r="AZ29" s="48" t="str">
        <x:v>True</x:v>
      </x:c>
      <x:c r="BA29" s="48"/>
      <x:c r="BB29" s="48" t="str">
        <x:v>auto_default</x:v>
      </x:c>
      <x:c r="BC29" s="48" t="str">
        <x:v>v1</x:v>
      </x:c>
      <x:c r="BD29" s="68"/>
    </x:row>
    <x:row r="30" ht="36" customHeight="1">
      <x:c r="A30" s="47" t="str">
        <x:v>2026-07-28</x:v>
      </x:c>
      <x:c r="B30" s="48" t="str">
        <x:v>PL005</x:v>
      </x:c>
      <x:c r="C30" s="48" t="str">
        <x:v>V01</x:v>
      </x:c>
      <x:c r="D30" s="48" t="str">
        <x:v>佛山市润特龙清洁用品有限公司新建项目环境影响报告表</x:v>
      </x:c>
      <x:c r="E30" s="48" t="str">
        <x:v>佛山市润特龙清洁用品有限公司新建项目</x:v>
      </x:c>
      <x:c r="F30" s="48" t="str">
        <x:v>PL005_EnvQuality_Q01</x:v>
      </x:c>
      <x:c r="G30" s="48" t="str">
        <x:v>大气及地表水环境质量现状数据引用</x:v>
      </x:c>
      <x:c r="H30" s="48" t="str">
        <x:v>请根据报告引用的环境质量公报及现状数据，判断大气和地表水环境质量现状数据引用是否准确。</x:v>
      </x:c>
      <x:c r="I30" s="48" t="str">
        <x:v>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x:v>
      </x:c>
      <x:c r="J30" s="48" t="str">
        <x:v>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x:v>
      </x:c>
      <x:c r="K30" s="48" t="str">
        <x:v>生态环境状况公报知识库; 收纳水体地表水执行标准</x:v>
      </x:c>
      <x:c r="L30" s="48" t="str">
        <x:v>2</x:v>
      </x:c>
      <x:c r="M30" s="48" t="str">
        <x:v>2</x:v>
      </x:c>
      <x:c r="N30" s="48" t="str">
        <x:v>False</x:v>
      </x:c>
      <x:c r="O30" s="48" t="str">
        <x:v>正确</x:v>
      </x:c>
      <x:c r="P30" s="48" t="str">
        <x:v>大气:正确; 地表水:正确; 报告日期:2024-03</x:v>
      </x:c>
      <x:c r="Q30" s="48"/>
      <x:c r="R30" s="48"/>
      <x:c r="S30" s="48" t="str">
        <x:v>是</x:v>
      </x:c>
      <x:c r="T30" s="48" t="str">
        <x:v>各项引用数据与公报一致（报告公报名称缺'生态'二字，正确为'生态环境状况公报'，属笔误）</x:v>
      </x:c>
      <x:c r="U30" s="48" t="str">
        <x:v>30个环评_大气及地表水环境质量现状数据引用复核QA</x:v>
      </x:c>
      <x:c r="V30" s="48" t="str">
        <x:v>环境质量数据引用</x:v>
      </x:c>
      <x:c r="W30" s="48" t="str">
        <x:v>正确</x:v>
      </x:c>
      <x:c r="X30" s="48" t="str">
        <x:v>无误</x:v>
      </x:c>
      <x:c r="Y30" s="64"/>
      <x:c r="Z30" s="64" t="str">
        <x:v>未复核</x:v>
      </x:c>
      <x:c r="AA30" s="64" t="str">
        <x:v>部分充分</x:v>
      </x:c>
      <x:c r="AB30" s="64" t="str">
        <x:v>有效</x:v>
      </x:c>
      <x:c r="AC30" s="64" t="str">
        <x:v>部分核验</x:v>
      </x:c>
      <x:c r="AD30" s="64" t="str">
        <x:v>自动默认</x:v>
      </x:c>
      <x:c r="AE30" s="64" t="str">
        <x:v>候选池</x:v>
      </x:c>
      <x:c r="AF30" s="64" t="str">
        <x:v>A_仅待终审</x:v>
      </x:c>
      <x:c r="AG30" s="64"/>
      <x:c r="AH30" s="64"/>
      <x:c r="AI30" s="64"/>
      <x:c r="AJ30" s="64"/>
      <x:c r="AK30" s="64"/>
      <x:c r="AL30" s="64"/>
      <x:c r="AM30" s="64"/>
      <x:c r="AN30" s="48" t="str">
        <x:v>30</x:v>
      </x:c>
      <x:c r="AO30" s="48" t="str">
        <x:v>MAP_正确</x:v>
      </x:c>
      <x:c r="AP30" s="48" t="str">
        <x:v>存在报告证据，但尚未经人工逐项核验；已列依据来源，但未在本阶段逐条核验</x:v>
      </x:c>
      <x:c r="AQ30" s="64"/>
      <x:c r="AR30" s="48" t="str">
        <x:v>environmental_quality_data</x:v>
      </x:c>
      <x:c r="AS30" s="48" t="str">
        <x:v>L3_analysis</x:v>
      </x:c>
      <x:c r="AT30" s="48" t="str">
        <x:v>consistency_comparison</x:v>
      </x:c>
      <x:c r="AU30" s="48" t="str">
        <x:v>evidence_integration</x:v>
      </x:c>
      <x:c r="AV30" s="48" t="str">
        <x:v>report_grounding；basis_grounding</x:v>
      </x:c>
      <x:c r="AW30" s="48" t="str">
        <x:v>high</x:v>
      </x:c>
      <x:c r="AX30" s="48" t="str">
        <x:v>high</x:v>
      </x:c>
      <x:c r="AY30" s="48" t="str">
        <x:v>report_plus_external</x:v>
      </x:c>
      <x:c r="AZ30" s="48" t="str">
        <x:v>True</x:v>
      </x:c>
      <x:c r="BA30" s="48"/>
      <x:c r="BB30" s="48" t="str">
        <x:v>auto_default</x:v>
      </x:c>
      <x:c r="BC30" s="48" t="str">
        <x:v>v1</x:v>
      </x:c>
      <x:c r="BD30" s="68"/>
    </x:row>
    <x:row r="31" ht="36" customHeight="1">
      <x:c r="A31" s="47" t="str">
        <x:v>2026-07-27</x:v>
      </x:c>
      <x:c r="B31" s="48" t="str">
        <x:v>PL005</x:v>
      </x:c>
      <x:c r="C31" s="48" t="str">
        <x:v>V01</x:v>
      </x:c>
      <x:c r="D31" s="48" t="str">
        <x:v>PL005_佛山市润特龙清洁用品有限公司新建项目_01_核查材料.docx</x:v>
      </x:c>
      <x:c r="E31" s="48" t="str">
        <x:v>佛山市润特龙清洁用品有限公司新建项目</x:v>
      </x:c>
      <x:c r="F31" s="48" t="str">
        <x:v>PL005_Emission_水污</x:v>
      </x:c>
      <x:c r="G31" s="48" t="str">
        <x:v>污染物排放标准-水污染物排放标准</x:v>
      </x:c>
      <x:c r="H3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1" s="48" t="str">
        <x:v>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c r="J31" s="48" t="str">
        <x:v>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x:v>
      </x:c>
      <x:c r="K31" s="48" t="str">
        <x:v>emission-standard-kb.jsonl; DB44/26-2001; DB44/2367-2022; GB31572-2015; GB14554-93; GB12348-2008; GB18597-2023; GB18599-2020</x:v>
      </x:c>
      <x:c r="L31" s="48" t="str">
        <x:v>2</x:v>
      </x:c>
      <x:c r="M31" s="48" t="str">
        <x:v>2</x:v>
      </x:c>
      <x:c r="N31" s="48" t="str">
        <x:v>False</x:v>
      </x:c>
      <x:c r="O31" s="48" t="str">
        <x:v>无误</x:v>
      </x:c>
      <x:c r="P31" s="48" t="str">
        <x:v>水:无误；气:存在缺漏；噪声:无误；固废:存在缺漏</x:v>
      </x:c>
      <x:c r="Q31" s="48"/>
      <x:c r="R31" s="48"/>
      <x:c r="S31" s="48" t="str">
        <x:v>否</x:v>
      </x:c>
      <x:c r="T31" s="48" t="str">
        <x:v>原综合排放标准问答对拆分而来</x:v>
      </x:c>
      <x:c r="U31" s="48" t="str">
        <x:v>30份环评_污染物排放控制执行标准复核QA(拆分版)</x:v>
      </x:c>
      <x:c r="V31" s="48" t="str">
        <x:v>水污染物排放标准</x:v>
      </x:c>
      <x:c r="W31" s="48" t="str">
        <x:v>无误</x:v>
      </x:c>
      <x:c r="X31" s="48" t="str">
        <x:v>无误</x:v>
      </x:c>
      <x:c r="Y31" s="64"/>
      <x:c r="Z31" s="64" t="str">
        <x:v>未复核</x:v>
      </x:c>
      <x:c r="AA31" s="64" t="str">
        <x:v>部分充分</x:v>
      </x:c>
      <x:c r="AB31" s="64" t="str">
        <x:v>有效</x:v>
      </x:c>
      <x:c r="AC31" s="64" t="str">
        <x:v>部分核验</x:v>
      </x:c>
      <x:c r="AD31" s="64" t="str">
        <x:v>自动默认</x:v>
      </x:c>
      <x:c r="AE31" s="64" t="str">
        <x:v>候选池</x:v>
      </x:c>
      <x:c r="AF31" s="64" t="str">
        <x:v>待分流</x:v>
      </x:c>
      <x:c r="AG31" s="64"/>
      <x:c r="AH31" s="64"/>
      <x:c r="AI31" s="64"/>
      <x:c r="AJ31" s="64"/>
      <x:c r="AK31" s="64"/>
      <x:c r="AL31" s="64"/>
      <x:c r="AM31" s="64"/>
      <x:c r="AN31" s="48" t="str">
        <x:v>31</x:v>
      </x:c>
      <x:c r="AO31" s="48" t="str">
        <x:v>MAP_无误</x:v>
      </x:c>
      <x:c r="AP31" s="48" t="str">
        <x:v>存在报告证据，但尚未经人工逐项核验；已列依据来源，但未在本阶段逐条核验</x:v>
      </x:c>
      <x:c r="AQ31" s="64"/>
      <x:c r="AR31" s="48" t="str">
        <x:v>water_emission_standard</x:v>
      </x:c>
      <x:c r="AS31" s="48" t="str">
        <x:v>L3_analysis</x:v>
      </x:c>
      <x:c r="AT31" s="48" t="str">
        <x:v>rule_applicability</x:v>
      </x:c>
      <x:c r="AU31" s="48" t="str">
        <x:v>basis_grounding</x:v>
      </x:c>
      <x:c r="AV31" s="48" t="str">
        <x:v>report_grounding；procedural_reasoning</x:v>
      </x:c>
      <x:c r="AW31" s="48" t="str">
        <x:v>high</x:v>
      </x:c>
      <x:c r="AX31" s="48" t="str">
        <x:v>high</x:v>
      </x:c>
      <x:c r="AY31" s="48" t="str">
        <x:v>report_plus_external</x:v>
      </x:c>
      <x:c r="AZ31" s="48" t="str">
        <x:v>True</x:v>
      </x:c>
      <x:c r="BA31" s="48"/>
      <x:c r="BB31" s="48" t="str">
        <x:v>auto_default</x:v>
      </x:c>
      <x:c r="BC31" s="48" t="str">
        <x:v>v1</x:v>
      </x:c>
      <x:c r="BD31" s="68"/>
    </x:row>
    <x:row r="32" ht="36" customHeight="1">
      <x:c r="A32" s="47" t="str">
        <x:v>2026-07-27</x:v>
      </x:c>
      <x:c r="B32" s="48" t="str">
        <x:v>PL005</x:v>
      </x:c>
      <x:c r="C32" s="48" t="str">
        <x:v>V01</x:v>
      </x:c>
      <x:c r="D32" s="48" t="str">
        <x:v>PL005_佛山市润特龙清洁用品有限公司新建项目_01_核查材料.docx</x:v>
      </x:c>
      <x:c r="E32" s="48" t="str">
        <x:v>佛山市润特龙清洁用品有限公司新建项目</x:v>
      </x:c>
      <x:c r="F32" s="48" t="str">
        <x:v>PL005_Emission_大气</x:v>
      </x:c>
      <x:c r="G32" s="48" t="str">
        <x:v>污染物排放标准-大气污染物排放标准</x:v>
      </x:c>
      <x:c r="H32" s="48" t="str">
        <x:v>请根据项目行业类别、生产工艺和污染因子，判断大气污染物排放标准选取是否合理。要求分析：污染源覆盖是否完整（列出所有大气污染源及对应标准），是否存在缺漏的污染源或标准。</x:v>
      </x:c>
      <x:c r="I32" s="48" t="str">
        <x:v>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x:v>
      </x:c>
      <x:c r="J32" s="48" t="str">
        <x:v>大气标准原文："项目挤出、烘干定型工序产生的非甲烷总烃有组织排放执行《合成树脂工业污染排放标准》（GB 31572-2015）中表4大气污染物排放限值；无组织排放执行表9企业边界大气污染物浓度限值。"</x:v>
      </x:c>
      <x:c r="K32" s="48" t="str">
        <x:v>emission-standard-kb.jsonl; DB44/26-2001; DB44/2367-2022; GB31572-2015; GB14554-93; GB12348-2008; GB18597-2023; GB18599-2020</x:v>
      </x:c>
      <x:c r="L32" s="48" t="str">
        <x:v>2</x:v>
      </x:c>
      <x:c r="M32" s="48" t="str">
        <x:v>2</x:v>
      </x:c>
      <x:c r="N32" s="48" t="str">
        <x:v>False</x:v>
      </x:c>
      <x:c r="O32" s="48" t="str">
        <x:v>存在缺漏</x:v>
      </x:c>
      <x:c r="P32" s="48" t="str">
        <x:v>水:无误；气:存在缺漏；噪声:无误；固废:存在缺漏</x:v>
      </x:c>
      <x:c r="Q32" s="48"/>
      <x:c r="R32" s="48"/>
      <x:c r="S32" s="48" t="str">
        <x:v>是</x:v>
      </x:c>
      <x:c r="T32" s="48" t="str">
        <x:v>原综合排放标准问答对拆分而来</x:v>
      </x:c>
      <x:c r="U32" s="48" t="str">
        <x:v>30份环评_污染物排放控制执行标准复核QA(拆分版)</x:v>
      </x:c>
      <x:c r="V32" s="48" t="str">
        <x:v>大气污染物排放标准</x:v>
      </x:c>
      <x:c r="W32" s="48" t="str">
        <x:v>存在缺漏</x:v>
      </x:c>
      <x:c r="X32" s="48" t="str">
        <x:v>存在缺漏</x:v>
      </x:c>
      <x:c r="Y32" s="64"/>
      <x:c r="Z32" s="64" t="str">
        <x:v>未复核</x:v>
      </x:c>
      <x:c r="AA32" s="64" t="str">
        <x:v>部分充分</x:v>
      </x:c>
      <x:c r="AB32" s="64" t="str">
        <x:v>有效</x:v>
      </x:c>
      <x:c r="AC32" s="64" t="str">
        <x:v>部分核验</x:v>
      </x:c>
      <x:c r="AD32" s="64" t="str">
        <x:v>自动默认</x:v>
      </x:c>
      <x:c r="AE32" s="64" t="str">
        <x:v>候选池</x:v>
      </x:c>
      <x:c r="AF32" s="64" t="str">
        <x:v>A_仅待终审</x:v>
      </x:c>
      <x:c r="AG32" s="64"/>
      <x:c r="AH32" s="64"/>
      <x:c r="AI32" s="64"/>
      <x:c r="AJ32" s="64"/>
      <x:c r="AK32" s="64"/>
      <x:c r="AL32" s="64"/>
      <x:c r="AM32" s="64"/>
      <x:c r="AN32" s="48" t="str">
        <x:v>32</x:v>
      </x:c>
      <x:c r="AO32" s="48" t="str">
        <x:v>MAP_存在缺漏</x:v>
      </x:c>
      <x:c r="AP32" s="48" t="str">
        <x:v>存在报告证据，但尚未经人工逐项核验；已列依据来源，但未在本阶段逐条核验</x:v>
      </x:c>
      <x:c r="AQ32" s="64"/>
      <x:c r="AR32" s="48" t="str">
        <x:v>air_emission_standard</x:v>
      </x:c>
      <x:c r="AS32" s="48" t="str">
        <x:v>L3_analysis</x:v>
      </x:c>
      <x:c r="AT32" s="48" t="str">
        <x:v>multi_evidence_synthesis</x:v>
      </x:c>
      <x:c r="AU32" s="48" t="str">
        <x:v>basis_grounding</x:v>
      </x:c>
      <x:c r="AV32" s="48" t="str">
        <x:v>report_grounding；evidence_integration</x:v>
      </x:c>
      <x:c r="AW32" s="48" t="str">
        <x:v>high</x:v>
      </x:c>
      <x:c r="AX32" s="48" t="str">
        <x:v>high</x:v>
      </x:c>
      <x:c r="AY32" s="48" t="str">
        <x:v>report_plus_external</x:v>
      </x:c>
      <x:c r="AZ32" s="48" t="str">
        <x:v>True</x:v>
      </x:c>
      <x:c r="BA32" s="48"/>
      <x:c r="BB32" s="48" t="str">
        <x:v>auto_default</x:v>
      </x:c>
      <x:c r="BC32" s="48" t="str">
        <x:v>v1</x:v>
      </x:c>
      <x:c r="BD32" s="68"/>
    </x:row>
    <x:row r="33" ht="36" customHeight="1">
      <x:c r="A33" s="47" t="str">
        <x:v>2026-07-27</x:v>
      </x:c>
      <x:c r="B33" s="48" t="str">
        <x:v>PL005</x:v>
      </x:c>
      <x:c r="C33" s="48" t="str">
        <x:v>V01</x:v>
      </x:c>
      <x:c r="D33" s="48" t="str">
        <x:v>PL005_佛山市润特龙清洁用品有限公司新建项目_01_核查材料.docx</x:v>
      </x:c>
      <x:c r="E33" s="48" t="str">
        <x:v>佛山市润特龙清洁用品有限公司新建项目</x:v>
      </x:c>
      <x:c r="F33" s="48" t="str">
        <x:v>PL005_Emission_噪声</x:v>
      </x:c>
      <x:c r="G33" s="48" t="str">
        <x:v>污染物排放标准-噪声排放标准</x:v>
      </x:c>
      <x:c r="H33" s="48" t="str">
        <x:v>请根据项目所属声环境功能区类别，判断噪声排放标准选取是否合理。要求总结声功能区类型、厂界执行标准（GB12348-2008）及昼夜限值，并与环评编制内容进行一致性分析。</x:v>
      </x:c>
      <x:c r="I33" s="48" t="str">
        <x:v>1、噪声排放标准中执行标准与排放限值内容：无误；
2、无误。项目厂界执行GB12348-2008中3类标准（昼间≤65dB(A)、夜间≤55dB(A)），与项目所在的工业区声功能区划相符。</x:v>
      </x:c>
      <x:c r="J33" s="48" t="str">
        <x:v>噪声标准原文："项目厂界执行《工业企业厂界环境噪声排放标准》（GB12348-2008）中的3类标准，即昼间≤65dB（A），夜间≤55dB（A）。"</x:v>
      </x:c>
      <x:c r="K33" s="48" t="str">
        <x:v>emission-standard-kb.jsonl; DB44/26-2001; DB44/2367-2022; GB31572-2015; GB14554-93; GB12348-2008; GB18597-2023; GB18599-2020</x:v>
      </x:c>
      <x:c r="L33" s="48" t="str">
        <x:v>2</x:v>
      </x:c>
      <x:c r="M33" s="48" t="str">
        <x:v>2</x:v>
      </x:c>
      <x:c r="N33" s="48" t="str">
        <x:v>False</x:v>
      </x:c>
      <x:c r="O33" s="48" t="str">
        <x:v>无误</x:v>
      </x:c>
      <x:c r="P33" s="48" t="str">
        <x:v>水:无误；气:存在缺漏；噪声:无误；固废:存在缺漏</x:v>
      </x:c>
      <x:c r="Q33" s="48"/>
      <x:c r="R33" s="48"/>
      <x:c r="S33" s="48" t="str">
        <x:v>否</x:v>
      </x:c>
      <x:c r="T33" s="48" t="str">
        <x:v>原综合排放标准问答对拆分而来</x:v>
      </x:c>
      <x:c r="U33" s="48" t="str">
        <x:v>30份环评_污染物排放控制执行标准复核QA(拆分版)</x:v>
      </x:c>
      <x:c r="V33" s="48" t="str">
        <x:v>噪声排放标准</x:v>
      </x:c>
      <x:c r="W33" s="48" t="str">
        <x:v>无误</x:v>
      </x:c>
      <x:c r="X33" s="48" t="str">
        <x:v>无误</x:v>
      </x:c>
      <x:c r="Y33" s="64"/>
      <x:c r="Z33" s="64" t="str">
        <x:v>未复核</x:v>
      </x:c>
      <x:c r="AA33" s="64" t="str">
        <x:v>部分充分</x:v>
      </x:c>
      <x:c r="AB33" s="64" t="str">
        <x:v>有效</x:v>
      </x:c>
      <x:c r="AC33" s="64" t="str">
        <x:v>部分核验</x:v>
      </x:c>
      <x:c r="AD33" s="64" t="str">
        <x:v>自动默认</x:v>
      </x:c>
      <x:c r="AE33" s="64" t="str">
        <x:v>候选池</x:v>
      </x:c>
      <x:c r="AF33" s="64" t="str">
        <x:v>待分流</x:v>
      </x:c>
      <x:c r="AG33" s="64"/>
      <x:c r="AH33" s="64"/>
      <x:c r="AI33" s="64"/>
      <x:c r="AJ33" s="64"/>
      <x:c r="AK33" s="64"/>
      <x:c r="AL33" s="64"/>
      <x:c r="AM33" s="64"/>
      <x:c r="AN33" s="48" t="str">
        <x:v>33</x:v>
      </x:c>
      <x:c r="AO33" s="48" t="str">
        <x:v>MAP_无误</x:v>
      </x:c>
      <x:c r="AP33" s="48" t="str">
        <x:v>存在报告证据，但尚未经人工逐项核验；已列依据来源，但未在本阶段逐条核验</x:v>
      </x:c>
      <x:c r="AQ33" s="64"/>
      <x:c r="AR33" s="48" t="str">
        <x:v>noise_emission_standard</x:v>
      </x:c>
      <x:c r="AS33" s="48" t="str">
        <x:v>L2_application</x:v>
      </x:c>
      <x:c r="AT33" s="48" t="str">
        <x:v>rule_applicability</x:v>
      </x:c>
      <x:c r="AU33" s="48" t="str">
        <x:v>basis_grounding</x:v>
      </x:c>
      <x:c r="AV33" s="48" t="str">
        <x:v>report_grounding</x:v>
      </x:c>
      <x:c r="AW33" s="48" t="str">
        <x:v>high</x:v>
      </x:c>
      <x:c r="AX33" s="48" t="str">
        <x:v>medium</x:v>
      </x:c>
      <x:c r="AY33" s="48" t="str">
        <x:v>report_plus_external</x:v>
      </x:c>
      <x:c r="AZ33" s="48" t="str">
        <x:v>True</x:v>
      </x:c>
      <x:c r="BA33" s="48"/>
      <x:c r="BB33" s="48" t="str">
        <x:v>auto_default</x:v>
      </x:c>
      <x:c r="BC33" s="48" t="str">
        <x:v>v1</x:v>
      </x:c>
      <x:c r="BD33" s="68"/>
    </x:row>
    <x:row r="34" ht="36" customHeight="1">
      <x:c r="A34" s="47" t="str">
        <x:v>2026-07-27</x:v>
      </x:c>
      <x:c r="B34" s="48" t="str">
        <x:v>PL005</x:v>
      </x:c>
      <x:c r="C34" s="48" t="str">
        <x:v>V01</x:v>
      </x:c>
      <x:c r="D34" s="48" t="str">
        <x:v>PL005_佛山市润特龙清洁用品有限公司新建项目_01_核查材料.docx</x:v>
      </x:c>
      <x:c r="E34" s="48" t="str">
        <x:v>佛山市润特龙清洁用品有限公司新建项目</x:v>
      </x:c>
      <x:c r="F34" s="48" t="str">
        <x:v>PL005_Emission_固体</x:v>
      </x:c>
      <x:c r="G34" s="48" t="str">
        <x:v>污染物排放标准-固体废物控制标准</x:v>
      </x:c>
      <x:c r="H34" s="48" t="str">
        <x:v>请根据项目产生的固体废物和危险废物类型，判断固体废物控制标准选取是否合理。要求总结一般工业固体废物和危险废物执行标准的标准名称及编号，分析是否缺少必要标准条目。</x:v>
      </x:c>
      <x:c r="I34"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34" s="48" t="str">
        <x:v>固废标准原文："固体废物管理应遵照《中华人民共和国固体废物污染环境防治法》、《广东省固体废物污染环境防治条例》、《一般固体废物分类与代码》（GB/T39198-2020）……危险废物执行《国家危险废物名录》（2021年版）、《危险废物贮存污染控制标准》（GB18597-2023）。"</x:v>
      </x:c>
      <x:c r="K34" s="48" t="str">
        <x:v>emission-standard-kb.jsonl; DB44/26-2001; DB44/2367-2022; GB31572-2015; GB14554-93; GB12348-2008; GB18597-2023; GB18599-2020</x:v>
      </x:c>
      <x:c r="L34" s="48" t="str">
        <x:v>2</x:v>
      </x:c>
      <x:c r="M34" s="48" t="str">
        <x:v>2</x:v>
      </x:c>
      <x:c r="N34" s="48" t="str">
        <x:v>False</x:v>
      </x:c>
      <x:c r="O34" s="48" t="str">
        <x:v>无误</x:v>
      </x:c>
      <x:c r="P34" s="48" t="str">
        <x:v>水:无误；气:存在缺漏；噪声:无误；固废:存在缺漏</x:v>
      </x:c>
      <x:c r="Q34" s="48"/>
      <x:c r="R34" s="48"/>
      <x:c r="S34" s="48" t="str">
        <x:v>否</x:v>
      </x:c>
      <x:c r="T34" s="48" t="str">
        <x:v>修正：GB18599-2020不在知识库必须满足的标准清单中，原判定依据已更正。原综合排放标准问答对拆分而来</x:v>
      </x:c>
      <x:c r="U34" s="48" t="str">
        <x:v>30份环评_污染物排放控制执行标准复核QA(拆分版)</x:v>
      </x:c>
      <x:c r="V34" s="48" t="str">
        <x:v>固体废物控制标准</x:v>
      </x:c>
      <x:c r="W34" s="48" t="str">
        <x:v>无误</x:v>
      </x:c>
      <x:c r="X34" s="48" t="str">
        <x:v>无误</x:v>
      </x:c>
      <x:c r="Y34" s="64"/>
      <x:c r="Z34" s="64" t="str">
        <x:v>未复核</x:v>
      </x:c>
      <x:c r="AA34" s="64" t="str">
        <x:v>部分充分</x:v>
      </x:c>
      <x:c r="AB34" s="64" t="str">
        <x:v>有效</x:v>
      </x:c>
      <x:c r="AC34" s="64" t="str">
        <x:v>部分核验</x:v>
      </x:c>
      <x:c r="AD34" s="64" t="str">
        <x:v>自动默认</x:v>
      </x:c>
      <x:c r="AE34" s="64" t="str">
        <x:v>候选池</x:v>
      </x:c>
      <x:c r="AF34" s="64" t="str">
        <x:v>待分流</x:v>
      </x:c>
      <x:c r="AG34" s="64"/>
      <x:c r="AH34" s="64"/>
      <x:c r="AI34" s="64"/>
      <x:c r="AJ34" s="64"/>
      <x:c r="AK34" s="64"/>
      <x:c r="AL34" s="64"/>
      <x:c r="AM34" s="64"/>
      <x:c r="AN34" s="48" t="str">
        <x:v>34</x:v>
      </x:c>
      <x:c r="AO34" s="48" t="str">
        <x:v>MAP_无误</x:v>
      </x:c>
      <x:c r="AP34" s="48" t="str">
        <x:v>存在报告证据，但尚未经人工逐项核验；已列依据来源，但未在本阶段逐条核验</x:v>
      </x:c>
      <x:c r="AQ34" s="64"/>
      <x:c r="AR34" s="48" t="str">
        <x:v>solid_waste_standard</x:v>
      </x:c>
      <x:c r="AS34" s="48" t="str">
        <x:v>L2_application</x:v>
      </x:c>
      <x:c r="AT34" s="48" t="str">
        <x:v>rule_applicability</x:v>
      </x:c>
      <x:c r="AU34" s="48" t="str">
        <x:v>basis_grounding</x:v>
      </x:c>
      <x:c r="AV34" s="48" t="str">
        <x:v>report_grounding</x:v>
      </x:c>
      <x:c r="AW34" s="48" t="str">
        <x:v>high</x:v>
      </x:c>
      <x:c r="AX34" s="48" t="str">
        <x:v>medium</x:v>
      </x:c>
      <x:c r="AY34" s="48" t="str">
        <x:v>report_plus_external</x:v>
      </x:c>
      <x:c r="AZ34" s="48" t="str">
        <x:v>True</x:v>
      </x:c>
      <x:c r="BA34" s="48"/>
      <x:c r="BB34" s="48" t="str">
        <x:v>auto_default</x:v>
      </x:c>
      <x:c r="BC34" s="48" t="str">
        <x:v>v1</x:v>
      </x:c>
      <x:c r="BD34" s="68"/>
    </x:row>
    <x:row r="35" ht="36" customHeight="1">
      <x:c r="A35" s="47" t="str">
        <x:v>2026-07-28</x:v>
      </x:c>
      <x:c r="B35" s="48" t="str">
        <x:v>PL006</x:v>
      </x:c>
      <x:c r="C35" s="48" t="str">
        <x:v>V01</x:v>
      </x:c>
      <x:c r="D35" s="48" t="str">
        <x:v>佛山市顺德区乐鲸科技有限公司年产五金拉手300万个新建项目环境影响报告表</x:v>
      </x:c>
      <x:c r="E35" s="48" t="str">
        <x:v>佛山市顺德区乐鲸科技有限公司年产五金拉手300万个新建项目</x:v>
      </x:c>
      <x:c r="F35" s="48" t="str">
        <x:v>PL006_EnvQuality_Q01</x:v>
      </x:c>
      <x:c r="G35" s="48" t="str">
        <x:v>大气及地表水环境质量现状数据引用</x:v>
      </x:c>
      <x:c r="H35" s="48" t="str">
        <x:v>请根据报告引用的环境质量公报及现状数据，判断大气和地表水环境质量现状数据引用是否准确。</x:v>
      </x:c>
      <x:c r="I35" s="4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35" s="48" t="str">
        <x:v>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x:v>
      </x:c>
      <x:c r="K35" s="48" t="str">
        <x:v>生态环境状况公报知识库; 收纳水体地表水执行标准</x:v>
      </x:c>
      <x:c r="L35" s="48" t="str">
        <x:v>2</x:v>
      </x:c>
      <x:c r="M35" s="48" t="str">
        <x:v>2</x:v>
      </x:c>
      <x:c r="N35" s="48" t="str">
        <x:v>False</x:v>
      </x:c>
      <x:c r="O35" s="48" t="str">
        <x:v>正确</x:v>
      </x:c>
      <x:c r="P35" s="48" t="str">
        <x:v>大气:正确; 地表水:正确; 报告日期:2024-03</x:v>
      </x:c>
      <x:c r="Q35" s="48"/>
      <x:c r="R35" s="48"/>
      <x:c r="S35" s="48" t="str">
        <x:v>是</x:v>
      </x:c>
      <x:c r="T35" s="48" t="str">
        <x:v>各项引用数据与公报一致，无需修正</x:v>
      </x:c>
      <x:c r="U35" s="48" t="str">
        <x:v>30个环评_大气及地表水环境质量现状数据引用复核QA</x:v>
      </x:c>
      <x:c r="V35" s="48" t="str">
        <x:v>环境质量数据引用</x:v>
      </x:c>
      <x:c r="W35" s="48" t="str">
        <x:v>正确</x:v>
      </x:c>
      <x:c r="X35" s="48" t="str">
        <x:v>无误</x:v>
      </x:c>
      <x:c r="Y35" s="64"/>
      <x:c r="Z35" s="64" t="str">
        <x:v>未复核</x:v>
      </x:c>
      <x:c r="AA35" s="64" t="str">
        <x:v>部分充分</x:v>
      </x:c>
      <x:c r="AB35" s="64" t="str">
        <x:v>有效</x:v>
      </x:c>
      <x:c r="AC35" s="64" t="str">
        <x:v>部分核验</x:v>
      </x:c>
      <x:c r="AD35" s="64" t="str">
        <x:v>自动默认</x:v>
      </x:c>
      <x:c r="AE35" s="64" t="str">
        <x:v>候选池</x:v>
      </x:c>
      <x:c r="AF35" s="64" t="str">
        <x:v>A_仅待终审</x:v>
      </x:c>
      <x:c r="AG35" s="64"/>
      <x:c r="AH35" s="64"/>
      <x:c r="AI35" s="64"/>
      <x:c r="AJ35" s="64"/>
      <x:c r="AK35" s="64"/>
      <x:c r="AL35" s="64"/>
      <x:c r="AM35" s="64"/>
      <x:c r="AN35" s="48" t="str">
        <x:v>35</x:v>
      </x:c>
      <x:c r="AO35" s="48" t="str">
        <x:v>MAP_正确</x:v>
      </x:c>
      <x:c r="AP35" s="48" t="str">
        <x:v>存在报告证据，但尚未经人工逐项核验；已列依据来源，但未在本阶段逐条核验</x:v>
      </x:c>
      <x:c r="AQ35" s="64"/>
      <x:c r="AR35" s="48" t="str">
        <x:v>environmental_quality_data</x:v>
      </x:c>
      <x:c r="AS35" s="48" t="str">
        <x:v>L3_analysis</x:v>
      </x:c>
      <x:c r="AT35" s="48" t="str">
        <x:v>consistency_comparison</x:v>
      </x:c>
      <x:c r="AU35" s="48" t="str">
        <x:v>evidence_integration</x:v>
      </x:c>
      <x:c r="AV35" s="48" t="str">
        <x:v>report_grounding；basis_grounding</x:v>
      </x:c>
      <x:c r="AW35" s="48" t="str">
        <x:v>high</x:v>
      </x:c>
      <x:c r="AX35" s="48" t="str">
        <x:v>high</x:v>
      </x:c>
      <x:c r="AY35" s="48" t="str">
        <x:v>report_plus_external</x:v>
      </x:c>
      <x:c r="AZ35" s="48" t="str">
        <x:v>True</x:v>
      </x:c>
      <x:c r="BA35" s="48"/>
      <x:c r="BB35" s="48" t="str">
        <x:v>auto_default</x:v>
      </x:c>
      <x:c r="BC35" s="48" t="str">
        <x:v>v1</x:v>
      </x:c>
      <x:c r="BD35" s="68"/>
    </x:row>
    <x:row r="36" ht="36" customHeight="1">
      <x:c r="A36" s="47" t="str">
        <x:v>2026-07-27</x:v>
      </x:c>
      <x:c r="B36" s="48" t="str">
        <x:v>PL006</x:v>
      </x:c>
      <x:c r="C36" s="48" t="str">
        <x:v>V01</x:v>
      </x:c>
      <x:c r="D36" s="48" t="str">
        <x:v>PL006_佛山市顺德区乐鲸科技有限公司年产五金拉手300万个新建项目_01_修改评估意见.docx</x:v>
      </x:c>
      <x:c r="E36" s="48" t="str">
        <x:v>佛山市顺德区乐鲸科技有限公司年产五金拉手300万个新建项目</x:v>
      </x:c>
      <x:c r="F36" s="48" t="str">
        <x:v>PL006_Emission_水污</x:v>
      </x:c>
      <x:c r="G36" s="48" t="str">
        <x:v>污染物排放标准-水污染物排放标准</x:v>
      </x:c>
      <x:c r="H3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6" s="48" t="str">
        <x:v>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x:v>
      </x:c>
      <x:c r="J36"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x:v>
      </x:c>
      <x:c r="K36" s="48" t="str">
        <x:v>emission-standard-kb.jsonl; DB44/26-2001; DB44/2367-2022; GB31572-2015; GB14554-93; GB12348-2008; GB18597-2023; GB18599-2020</x:v>
      </x:c>
      <x:c r="L36" s="48" t="str">
        <x:v>2</x:v>
      </x:c>
      <x:c r="M36" s="48" t="str">
        <x:v>2</x:v>
      </x:c>
      <x:c r="N36" s="48" t="str">
        <x:v>False</x:v>
      </x:c>
      <x:c r="O36" s="48" t="str">
        <x:v>存在缺漏</x:v>
      </x:c>
      <x:c r="P36" s="48" t="str">
        <x:v>水：存在缺漏——企业排口标准未填报，标准名称遗漏“厂”字；大气：存在缺漏——喷涂/烘干工序VOCs和颗粒物排放标准全部缺失；噪声：存在缺漏——厂界噪声排放标准未编制；固废：存在缺漏——一般固废和危废控制标准均未编制。</x:v>
      </x:c>
      <x:c r="Q36" s="48"/>
      <x:c r="R36" s="48"/>
      <x:c r="S36" s="48" t="str">
        <x:v>是</x:v>
      </x:c>
      <x:c r="T36" s="48" t="str">
        <x:v>原综合排放标准问答对拆分而来</x:v>
      </x:c>
      <x:c r="U36" s="48" t="str">
        <x:v>30份环评_污染物排放控制执行标准复核QA(拆分版)</x:v>
      </x:c>
      <x:c r="V36" s="48" t="str">
        <x:v>水污染物排放标准</x:v>
      </x:c>
      <x:c r="W36" s="48" t="str">
        <x:v>存在缺漏</x:v>
      </x:c>
      <x:c r="X36" s="48" t="str">
        <x:v>存在缺漏</x:v>
      </x:c>
      <x:c r="Y36" s="64"/>
      <x:c r="Z36" s="64" t="str">
        <x:v>未复核</x:v>
      </x:c>
      <x:c r="AA36" s="64" t="str">
        <x:v>部分充分</x:v>
      </x:c>
      <x:c r="AB36" s="64" t="str">
        <x:v>有效</x:v>
      </x:c>
      <x:c r="AC36" s="64" t="str">
        <x:v>部分核验</x:v>
      </x:c>
      <x:c r="AD36" s="64" t="str">
        <x:v>自动默认</x:v>
      </x:c>
      <x:c r="AE36" s="64" t="str">
        <x:v>候选池</x:v>
      </x:c>
      <x:c r="AF36" s="64" t="str">
        <x:v>A_仅待终审</x:v>
      </x:c>
      <x:c r="AG36" s="64"/>
      <x:c r="AH36" s="64"/>
      <x:c r="AI36" s="64"/>
      <x:c r="AJ36" s="64"/>
      <x:c r="AK36" s="64"/>
      <x:c r="AL36" s="64"/>
      <x:c r="AM36" s="64"/>
      <x:c r="AN36" s="48" t="str">
        <x:v>36</x:v>
      </x:c>
      <x:c r="AO36" s="48" t="str">
        <x:v>MAP_存在缺漏</x:v>
      </x:c>
      <x:c r="AP36" s="48" t="str">
        <x:v>存在报告证据，但尚未经人工逐项核验；已列依据来源，但未在本阶段逐条核验</x:v>
      </x:c>
      <x:c r="AQ36" s="64"/>
      <x:c r="AR36" s="48" t="str">
        <x:v>water_emission_standard</x:v>
      </x:c>
      <x:c r="AS36" s="48" t="str">
        <x:v>L3_analysis</x:v>
      </x:c>
      <x:c r="AT36" s="48" t="str">
        <x:v>rule_applicability</x:v>
      </x:c>
      <x:c r="AU36" s="48" t="str">
        <x:v>basis_grounding</x:v>
      </x:c>
      <x:c r="AV36" s="48" t="str">
        <x:v>report_grounding；procedural_reasoning</x:v>
      </x:c>
      <x:c r="AW36" s="48" t="str">
        <x:v>high</x:v>
      </x:c>
      <x:c r="AX36" s="48" t="str">
        <x:v>high</x:v>
      </x:c>
      <x:c r="AY36" s="48" t="str">
        <x:v>report_plus_external</x:v>
      </x:c>
      <x:c r="AZ36" s="48" t="str">
        <x:v>True</x:v>
      </x:c>
      <x:c r="BA36" s="48"/>
      <x:c r="BB36" s="48" t="str">
        <x:v>auto_default</x:v>
      </x:c>
      <x:c r="BC36" s="48" t="str">
        <x:v>v1</x:v>
      </x:c>
      <x:c r="BD36" s="68"/>
    </x:row>
    <x:row r="37" ht="36" customHeight="1">
      <x:c r="A37" s="47" t="str">
        <x:v>2026-07-27</x:v>
      </x:c>
      <x:c r="B37" s="48" t="str">
        <x:v>PL006</x:v>
      </x:c>
      <x:c r="C37" s="48" t="str">
        <x:v>V01</x:v>
      </x:c>
      <x:c r="D37" s="48" t="str">
        <x:v>PL006_佛山市顺德区乐鲸科技有限公司年产五金拉手300万个新建项目_01_修改评估意见.docx</x:v>
      </x:c>
      <x:c r="E37" s="48" t="str">
        <x:v>佛山市顺德区乐鲸科技有限公司年产五金拉手300万个新建项目</x:v>
      </x:c>
      <x:c r="F37" s="48" t="str">
        <x:v>PL006_Emission_大气</x:v>
      </x:c>
      <x:c r="G37" s="48" t="str">
        <x:v>污染物排放标准-大气污染物排放标准</x:v>
      </x:c>
      <x:c r="H37" s="48" t="str">
        <x:v>请根据项目行业类别、生产工艺和污染因子，判断大气污染物排放标准选取是否合理。要求分析：污染源覆盖是否完整（列出所有大气污染源及对应标准），是否存在缺漏的污染源或标准。</x:v>
      </x:c>
      <x:c r="I37" s="48" t="str">
        <x:v>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x:v>
      </x:c>
      <x:c r="J37" s="48" t="str">
        <x:v>大气】“本项目喷纳米油、烘干产生的有机废气、颗粒物收集后通过‘水帘柜+喷淋塔+干式过滤器+二级活性炭吸附’进行处理，处理达标后通过28米排气筒DA001排放”（但未列出具体执行标准）。【噪声/</x:v>
      </x:c>
      <x:c r="K37" s="48" t="str">
        <x:v>emission-standard-kb.jsonl; DB44/26-2001; DB44/2367-2022; GB31572-2015; GB14554-93; GB12348-2008; GB18597-2023; GB18599-2020</x:v>
      </x:c>
      <x:c r="L37" s="48" t="str">
        <x:v>2</x:v>
      </x:c>
      <x:c r="M37" s="48" t="str">
        <x:v>2</x:v>
      </x:c>
      <x:c r="N37" s="48" t="str">
        <x:v>False</x:v>
      </x:c>
      <x:c r="O37" s="48" t="str">
        <x:v>存在缺漏</x:v>
      </x:c>
      <x:c r="P37" s="48" t="str">
        <x:v>水：存在缺漏——企业排口标准未填报，标准名称遗漏“厂”字；大气：存在缺漏——喷涂/烘干工序VOCs和颗粒物排放标准全部缺失；噪声：存在缺漏——厂界噪声排放标准未编制；固废：存在缺漏——一般固废和危废控制标准均未编制。</x:v>
      </x:c>
      <x:c r="Q37" s="48"/>
      <x:c r="R37" s="48"/>
      <x:c r="S37" s="48" t="str">
        <x:v>是</x:v>
      </x:c>
      <x:c r="T37" s="48" t="str">
        <x:v>原综合排放标准问答对拆分而来</x:v>
      </x:c>
      <x:c r="U37" s="48" t="str">
        <x:v>30份环评_污染物排放控制执行标准复核QA(拆分版)</x:v>
      </x:c>
      <x:c r="V37" s="48" t="str">
        <x:v>大气污染物排放标准</x:v>
      </x:c>
      <x:c r="W37" s="48" t="str">
        <x:v>存在缺漏</x:v>
      </x:c>
      <x:c r="X37" s="48" t="str">
        <x:v>存在缺漏</x:v>
      </x:c>
      <x:c r="Y37" s="64"/>
      <x:c r="Z37" s="64" t="str">
        <x:v>未复核</x:v>
      </x:c>
      <x:c r="AA37" s="64" t="str">
        <x:v>部分充分</x:v>
      </x:c>
      <x:c r="AB37" s="64" t="str">
        <x:v>有效</x:v>
      </x:c>
      <x:c r="AC37" s="64" t="str">
        <x:v>部分核验</x:v>
      </x:c>
      <x:c r="AD37" s="64" t="str">
        <x:v>自动默认</x:v>
      </x:c>
      <x:c r="AE37" s="64" t="str">
        <x:v>候选池</x:v>
      </x:c>
      <x:c r="AF37" s="64" t="str">
        <x:v>A_仅待终审</x:v>
      </x:c>
      <x:c r="AG37" s="64"/>
      <x:c r="AH37" s="64"/>
      <x:c r="AI37" s="64"/>
      <x:c r="AJ37" s="64"/>
      <x:c r="AK37" s="64"/>
      <x:c r="AL37" s="64"/>
      <x:c r="AM37" s="64"/>
      <x:c r="AN37" s="48" t="str">
        <x:v>37</x:v>
      </x:c>
      <x:c r="AO37" s="48" t="str">
        <x:v>MAP_存在缺漏</x:v>
      </x:c>
      <x:c r="AP37" s="48" t="str">
        <x:v>存在报告证据，但尚未经人工逐项核验；已列依据来源，但未在本阶段逐条核验</x:v>
      </x:c>
      <x:c r="AQ37" s="64"/>
      <x:c r="AR37" s="48" t="str">
        <x:v>air_emission_standard</x:v>
      </x:c>
      <x:c r="AS37" s="48" t="str">
        <x:v>L3_analysis</x:v>
      </x:c>
      <x:c r="AT37" s="48" t="str">
        <x:v>multi_evidence_synthesis</x:v>
      </x:c>
      <x:c r="AU37" s="48" t="str">
        <x:v>basis_grounding</x:v>
      </x:c>
      <x:c r="AV37" s="48" t="str">
        <x:v>report_grounding；evidence_integration</x:v>
      </x:c>
      <x:c r="AW37" s="48" t="str">
        <x:v>high</x:v>
      </x:c>
      <x:c r="AX37" s="48" t="str">
        <x:v>high</x:v>
      </x:c>
      <x:c r="AY37" s="48" t="str">
        <x:v>report_plus_external</x:v>
      </x:c>
      <x:c r="AZ37" s="48" t="str">
        <x:v>True</x:v>
      </x:c>
      <x:c r="BA37" s="48"/>
      <x:c r="BB37" s="48" t="str">
        <x:v>auto_default</x:v>
      </x:c>
      <x:c r="BC37" s="48" t="str">
        <x:v>v1</x:v>
      </x:c>
      <x:c r="BD37" s="68"/>
    </x:row>
    <x:row r="38" ht="36" customHeight="1">
      <x:c r="A38" s="47" t="str">
        <x:v>2026-07-27</x:v>
      </x:c>
      <x:c r="B38" s="48" t="str">
        <x:v>PL006</x:v>
      </x:c>
      <x:c r="C38" s="48" t="str">
        <x:v>V01</x:v>
      </x:c>
      <x:c r="D38" s="48" t="str">
        <x:v>PL006_佛山市顺德区乐鲸科技有限公司年产五金拉手300万个新建项目_01_修改评估意见.docx</x:v>
      </x:c>
      <x:c r="E38" s="48" t="str">
        <x:v>佛山市顺德区乐鲸科技有限公司年产五金拉手300万个新建项目</x:v>
      </x:c>
      <x:c r="F38" s="48" t="str">
        <x:v>PL006_Emission_噪声</x:v>
      </x:c>
      <x:c r="G38" s="48" t="str">
        <x:v>污染物排放标准-噪声排放标准</x:v>
      </x:c>
      <x:c r="H38" s="48" t="str">
        <x:v>请根据项目所属声环境功能区类别，判断噪声排放标准选取是否合理。要求总结声功能区类型、厂界执行标准（GB12348-2008）及昼夜限值，并与环评编制内容进行一致性分析。</x:v>
      </x:c>
      <x:c r="I38" s="48" t="str">
        <x:v>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x:v>
      </x:c>
      <x:c r="J38"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x:v>
      </x:c>
      <x:c r="K38" s="48" t="str">
        <x:v>emission-standard-kb.jsonl; DB44/26-2001; DB44/2367-2022; GB31572-2015; GB14554-93; GB12348-2008; GB18597-2023; GB18599-2020</x:v>
      </x:c>
      <x:c r="L38" s="48" t="str">
        <x:v>2</x:v>
      </x:c>
      <x:c r="M38" s="48" t="str">
        <x:v>2</x:v>
      </x:c>
      <x:c r="N38" s="48" t="str">
        <x:v>False</x:v>
      </x:c>
      <x:c r="O38" s="48" t="str">
        <x:v>存在缺漏</x:v>
      </x:c>
      <x:c r="P38" s="48" t="str">
        <x:v>水：存在缺漏——企业排口标准未填报，标准名称遗漏“厂”字；大气：存在缺漏——喷涂/烘干工序VOCs和颗粒物排放标准全部缺失；噪声：存在缺漏——厂界噪声排放标准未编制；固废：存在缺漏——一般固废和危废控制标准均未编制。</x:v>
      </x:c>
      <x:c r="Q38" s="48"/>
      <x:c r="R38" s="48"/>
      <x:c r="S38" s="48" t="str">
        <x:v>是</x:v>
      </x:c>
      <x:c r="T38" s="48" t="str">
        <x:v>原综合排放标准问答对拆分而来</x:v>
      </x:c>
      <x:c r="U38" s="48" t="str">
        <x:v>30份环评_污染物排放控制执行标准复核QA(拆分版)</x:v>
      </x:c>
      <x:c r="V38" s="48" t="str">
        <x:v>噪声排放标准</x:v>
      </x:c>
      <x:c r="W38" s="48" t="str">
        <x:v>存在缺漏</x:v>
      </x:c>
      <x:c r="X38" s="48" t="str">
        <x:v>存在缺漏</x:v>
      </x:c>
      <x:c r="Y38" s="64"/>
      <x:c r="Z38" s="64" t="str">
        <x:v>未复核</x:v>
      </x:c>
      <x:c r="AA38" s="64" t="str">
        <x:v>部分充分</x:v>
      </x:c>
      <x:c r="AB38" s="64" t="str">
        <x:v>有效</x:v>
      </x:c>
      <x:c r="AC38" s="64" t="str">
        <x:v>部分核验</x:v>
      </x:c>
      <x:c r="AD38" s="64" t="str">
        <x:v>自动默认</x:v>
      </x:c>
      <x:c r="AE38" s="64" t="str">
        <x:v>候选池</x:v>
      </x:c>
      <x:c r="AF38" s="64" t="str">
        <x:v>A_仅待终审</x:v>
      </x:c>
      <x:c r="AG38" s="64"/>
      <x:c r="AH38" s="64"/>
      <x:c r="AI38" s="64"/>
      <x:c r="AJ38" s="64"/>
      <x:c r="AK38" s="64"/>
      <x:c r="AL38" s="64"/>
      <x:c r="AM38" s="64"/>
      <x:c r="AN38" s="48" t="str">
        <x:v>38</x:v>
      </x:c>
      <x:c r="AO38" s="48" t="str">
        <x:v>MAP_存在缺漏</x:v>
      </x:c>
      <x:c r="AP38" s="48" t="str">
        <x:v>存在报告证据，但尚未经人工逐项核验；已列依据来源，但未在本阶段逐条核验</x:v>
      </x:c>
      <x:c r="AQ38" s="64"/>
      <x:c r="AR38" s="48" t="str">
        <x:v>noise_emission_standard</x:v>
      </x:c>
      <x:c r="AS38" s="48" t="str">
        <x:v>L2_application</x:v>
      </x:c>
      <x:c r="AT38" s="48" t="str">
        <x:v>rule_applicability</x:v>
      </x:c>
      <x:c r="AU38" s="48" t="str">
        <x:v>basis_grounding</x:v>
      </x:c>
      <x:c r="AV38" s="48" t="str">
        <x:v>report_grounding</x:v>
      </x:c>
      <x:c r="AW38" s="48" t="str">
        <x:v>high</x:v>
      </x:c>
      <x:c r="AX38" s="48" t="str">
        <x:v>medium</x:v>
      </x:c>
      <x:c r="AY38" s="48" t="str">
        <x:v>report_plus_external</x:v>
      </x:c>
      <x:c r="AZ38" s="48" t="str">
        <x:v>True</x:v>
      </x:c>
      <x:c r="BA38" s="48"/>
      <x:c r="BB38" s="48" t="str">
        <x:v>auto_default</x:v>
      </x:c>
      <x:c r="BC38" s="48" t="str">
        <x:v>v1</x:v>
      </x:c>
      <x:c r="BD38" s="68"/>
    </x:row>
    <x:row r="39" ht="36" customHeight="1">
      <x:c r="A39" s="47" t="str">
        <x:v>2026-07-27</x:v>
      </x:c>
      <x:c r="B39" s="48" t="str">
        <x:v>PL006</x:v>
      </x:c>
      <x:c r="C39" s="48" t="str">
        <x:v>V01</x:v>
      </x:c>
      <x:c r="D39" s="48" t="str">
        <x:v>PL006_佛山市顺德区乐鲸科技有限公司年产五金拉手300万个新建项目_01_修改评估意见.docx</x:v>
      </x:c>
      <x:c r="E39" s="48" t="str">
        <x:v>佛山市顺德区乐鲸科技有限公司年产五金拉手300万个新建项目</x:v>
      </x:c>
      <x:c r="F39" s="48" t="str">
        <x:v>PL006_Emission_固体</x:v>
      </x:c>
      <x:c r="G39" s="48" t="str">
        <x:v>污染物排放标准-固体废物控制标准</x:v>
      </x:c>
      <x:c r="H39" s="48" t="str">
        <x:v>请根据项目产生的固体废物和危险废物类型，判断固体废物控制标准选取是否合理。要求总结一般工业固体废物和危险废物执行标准的标准名称及编号，分析是否缺少必要标准条目。</x:v>
      </x:c>
      <x:c r="I39"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39" s="48" t="str">
        <x:v>固废】排放标准章节文本中未检出噪声和固体废物控制标准的编制内容。</x:v>
      </x:c>
      <x:c r="K39" s="48" t="str">
        <x:v>emission-standard-kb.jsonl; DB44/26-2001; DB44/2367-2022; GB31572-2015; GB14554-93; GB12348-2008; GB18597-2023; GB18599-2020</x:v>
      </x:c>
      <x:c r="L39" s="48" t="str">
        <x:v>2</x:v>
      </x:c>
      <x:c r="M39" s="48" t="str">
        <x:v>2</x:v>
      </x:c>
      <x:c r="N39" s="48" t="str">
        <x:v>False</x:v>
      </x:c>
      <x:c r="O39" s="48" t="str">
        <x:v>无误</x:v>
      </x:c>
      <x:c r="P39" s="48" t="str">
        <x:v>水：存在缺漏——企业排口标准未填报，标准名称遗漏“厂”字；大气：存在缺漏——喷涂/烘干工序VOCs和颗粒物排放标准全部缺失；噪声：存在缺漏——厂界噪声排放标准未编制；固废：存在缺漏——一般固废和危废控制标准均未编制。</x:v>
      </x:c>
      <x:c r="Q39" s="48"/>
      <x:c r="R39" s="48"/>
      <x:c r="S39" s="48" t="str">
        <x:v>否</x:v>
      </x:c>
      <x:c r="T39" s="48" t="str">
        <x:v>修正：GB18599-2020不在知识库必须满足的标准清单中，原判定依据已更正。原综合排放标准问答对拆分而来</x:v>
      </x:c>
      <x:c r="U39" s="48" t="str">
        <x:v>30份环评_污染物排放控制执行标准复核QA(拆分版)</x:v>
      </x:c>
      <x:c r="V39" s="48" t="str">
        <x:v>固体废物控制标准</x:v>
      </x:c>
      <x:c r="W39" s="48" t="str">
        <x:v>无误</x:v>
      </x:c>
      <x:c r="X39" s="48" t="str">
        <x:v>无误</x:v>
      </x:c>
      <x:c r="Y39" s="64"/>
      <x:c r="Z39" s="64" t="str">
        <x:v>未复核</x:v>
      </x:c>
      <x:c r="AA39" s="64" t="str">
        <x:v>部分充分</x:v>
      </x:c>
      <x:c r="AB39" s="64" t="str">
        <x:v>有效</x:v>
      </x:c>
      <x:c r="AC39" s="64" t="str">
        <x:v>部分核验</x:v>
      </x:c>
      <x:c r="AD39" s="64" t="str">
        <x:v>自动默认</x:v>
      </x:c>
      <x:c r="AE39" s="64" t="str">
        <x:v>候选池</x:v>
      </x:c>
      <x:c r="AF39" s="64" t="str">
        <x:v>待分流</x:v>
      </x:c>
      <x:c r="AG39" s="64"/>
      <x:c r="AH39" s="64"/>
      <x:c r="AI39" s="64"/>
      <x:c r="AJ39" s="64"/>
      <x:c r="AK39" s="64"/>
      <x:c r="AL39" s="64"/>
      <x:c r="AM39" s="64"/>
      <x:c r="AN39" s="48" t="str">
        <x:v>39</x:v>
      </x:c>
      <x:c r="AO39" s="48" t="str">
        <x:v>MAP_无误</x:v>
      </x:c>
      <x:c r="AP39" s="48" t="str">
        <x:v>存在报告证据，但尚未经人工逐项核验；已列依据来源，但未在本阶段逐条核验</x:v>
      </x:c>
      <x:c r="AQ39" s="64"/>
      <x:c r="AR39" s="48" t="str">
        <x:v>solid_waste_standard</x:v>
      </x:c>
      <x:c r="AS39" s="48" t="str">
        <x:v>L2_application</x:v>
      </x:c>
      <x:c r="AT39" s="48" t="str">
        <x:v>rule_applicability</x:v>
      </x:c>
      <x:c r="AU39" s="48" t="str">
        <x:v>basis_grounding</x:v>
      </x:c>
      <x:c r="AV39" s="48" t="str">
        <x:v>report_grounding</x:v>
      </x:c>
      <x:c r="AW39" s="48" t="str">
        <x:v>high</x:v>
      </x:c>
      <x:c r="AX39" s="48" t="str">
        <x:v>medium</x:v>
      </x:c>
      <x:c r="AY39" s="48" t="str">
        <x:v>report_plus_external</x:v>
      </x:c>
      <x:c r="AZ39" s="48" t="str">
        <x:v>True</x:v>
      </x:c>
      <x:c r="BA39" s="48"/>
      <x:c r="BB39" s="48" t="str">
        <x:v>auto_default</x:v>
      </x:c>
      <x:c r="BC39" s="48" t="str">
        <x:v>v1</x:v>
      </x:c>
      <x:c r="BD39" s="68"/>
    </x:row>
    <x:row r="40" ht="36" customHeight="1">
      <x:c r="A40" s="47" t="str">
        <x:v>2026-07-28</x:v>
      </x:c>
      <x:c r="B40" s="48" t="str">
        <x:v>PL007</x:v>
      </x:c>
      <x:c r="C40" s="48" t="str">
        <x:v>V01</x:v>
      </x:c>
      <x:c r="D40" s="48" t="str">
        <x:v>广东云晟新材料有限公司年产水性涂料2400吨新建项目环境影响报告表</x:v>
      </x:c>
      <x:c r="E40" s="48" t="str">
        <x:v>广东云晟新材料有限公司年产水性涂料2400吨新建项目</x:v>
      </x:c>
      <x:c r="F40" s="48" t="str">
        <x:v>PL007_EnvQuality_Q01</x:v>
      </x:c>
      <x:c r="G40" s="48" t="str">
        <x:v>大气及地表水环境质量现状数据引用</x:v>
      </x:c>
      <x:c r="H40" s="48" t="str">
        <x:v>请根据报告引用的环境质量公报及现状数据，判断大气和地表水环境质量现状数据引用是否准确。</x:v>
      </x:c>
      <x:c r="I40" s="48" t="str">
        <x:v>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x:v>
      </x:c>
      <x:c r="J40" s="48" t="str">
        <x:v>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x:v>
      </x:c>
      <x:c r="K40" s="48" t="str">
        <x:v>生态环境状况公报知识库; 收纳水体地表水执行标准</x:v>
      </x:c>
      <x:c r="L40" s="48" t="str">
        <x:v>2</x:v>
      </x:c>
      <x:c r="M40" s="48" t="str">
        <x:v>2</x:v>
      </x:c>
      <x:c r="N40" s="48" t="str">
        <x:v>False</x:v>
      </x:c>
      <x:c r="O40" s="48" t="str">
        <x:v>无法判断</x:v>
      </x:c>
      <x:c r="P40" s="48" t="str">
        <x:v>大气:无法判断; 地表水:无法判断; 报告日期:2023-03</x:v>
      </x:c>
      <x:c r="Q40" s="48"/>
      <x:c r="R40" s="48"/>
      <x:c r="S40" s="48" t="str">
        <x:v>是</x:v>
      </x:c>
      <x:c r="T40" s="48" t="str">
        <x:v>知识库未覆盖报告引用年度公报，无法核验</x:v>
      </x:c>
      <x:c r="U40" s="48" t="str">
        <x:v>30个环评_大气及地表水环境质量现状数据引用复核QA</x:v>
      </x:c>
      <x:c r="V40" s="48" t="str">
        <x:v>环境质量数据引用</x:v>
      </x:c>
      <x:c r="W40" s="48" t="str">
        <x:v>无法判断</x:v>
      </x:c>
      <x:c r="X40" s="48" t="str">
        <x:v>证据不足</x:v>
      </x:c>
      <x:c r="Y40" s="64"/>
      <x:c r="Z40" s="64" t="str">
        <x:v>未复核</x:v>
      </x:c>
      <x:c r="AA40" s="64" t="str">
        <x:v>不足</x:v>
      </x:c>
      <x:c r="AB40" s="64" t="str">
        <x:v>有效</x:v>
      </x:c>
      <x:c r="AC40" s="64" t="str">
        <x:v>部分核验</x:v>
      </x:c>
      <x:c r="AD40" s="64" t="str">
        <x:v>自动默认</x:v>
      </x:c>
      <x:c r="AE40" s="64" t="str">
        <x:v>候选池</x:v>
      </x:c>
      <x:c r="AF40" s="64" t="str">
        <x:v>B_证据不足</x:v>
      </x:c>
      <x:c r="AG40" s="64"/>
      <x:c r="AH40" s="64"/>
      <x:c r="AI40" s="64"/>
      <x:c r="AJ40" s="64"/>
      <x:c r="AK40" s="64"/>
      <x:c r="AL40" s="64"/>
      <x:c r="AM40" s="64"/>
      <x:c r="AN40" s="48" t="str">
        <x:v>40</x:v>
      </x:c>
      <x:c r="AO40" s="48" t="str">
        <x:v>MAP_无法判断+EVIDENCE_INSUFFICIENCY_SIGNAL</x:v>
      </x:c>
      <x:c r="AP40" s="48" t="str">
        <x:v>需人工区分证据不足、材料缺失或尚未审核；命中证据不足候选词：无法判断；已列依据来源，但未在本阶段逐条核验</x:v>
      </x:c>
      <x:c r="AQ40" s="64"/>
      <x:c r="AR40" s="48" t="str">
        <x:v>environmental_quality_data</x:v>
      </x:c>
      <x:c r="AS40" s="48" t="str">
        <x:v>L3_analysis</x:v>
      </x:c>
      <x:c r="AT40" s="48" t="str">
        <x:v>consistency_comparison</x:v>
      </x:c>
      <x:c r="AU40" s="48" t="str">
        <x:v>evidence_integration</x:v>
      </x:c>
      <x:c r="AV40" s="48" t="str">
        <x:v>report_grounding；basis_grounding</x:v>
      </x:c>
      <x:c r="AW40" s="48" t="str">
        <x:v>high</x:v>
      </x:c>
      <x:c r="AX40" s="48" t="str">
        <x:v>high</x:v>
      </x:c>
      <x:c r="AY40" s="48" t="str">
        <x:v>report_plus_external</x:v>
      </x:c>
      <x:c r="AZ40" s="48" t="str">
        <x:v>True</x:v>
      </x:c>
      <x:c r="BA40" s="48"/>
      <x:c r="BB40" s="48" t="str">
        <x:v>auto_default</x:v>
      </x:c>
      <x:c r="BC40" s="48" t="str">
        <x:v>v1</x:v>
      </x:c>
      <x:c r="BD40" s="68"/>
    </x:row>
    <x:row r="41" ht="36" customHeight="1">
      <x:c r="A41" s="47" t="str">
        <x:v>2026-07-27</x:v>
      </x:c>
      <x:c r="B41" s="48" t="str">
        <x:v>PL007</x:v>
      </x:c>
      <x:c r="C41" s="48" t="str">
        <x:v>V01</x:v>
      </x:c>
      <x:c r="D41" s="48" t="str">
        <x:v>PL007_广东云晟新材料有限公司年产水性涂料2400吨新建项目_01_修改评估意见.docx</x:v>
      </x:c>
      <x:c r="E41" s="48" t="str">
        <x:v>广东云晟新材料有限公司年产水性涂料2400吨新建项目</x:v>
      </x:c>
      <x:c r="F41" s="48" t="str">
        <x:v>PL007_Emission_水污</x:v>
      </x:c>
      <x:c r="G41" s="48" t="str">
        <x:v>污染物排放标准-水污染物排放标准</x:v>
      </x:c>
      <x:c r="H4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41" s="48" t="str">
        <x:v>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x:v>
      </x:c>
      <x:c r="J41" s="48" t="str">
        <x:v>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x:v>
      </x:c>
      <x:c r="K41" s="48" t="str">
        <x:v>emission-standard-kb.jsonl; DB44/26-2001; DB44/2367-2022; GB31572-2015; GB14554-93; GB12348-2008; GB18597-2023; GB18599-2020</x:v>
      </x:c>
      <x:c r="L41" s="48" t="str">
        <x:v>2</x:v>
      </x:c>
      <x:c r="M41" s="48" t="str">
        <x:v>2</x:v>
      </x:c>
      <x:c r="N41" s="48" t="str">
        <x:v>False</x:v>
      </x:c>
      <x:c r="O41" s="48" t="str">
        <x:v>无误</x:v>
      </x:c>
      <x:c r="P41"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41" s="48"/>
      <x:c r="R41" s="48"/>
      <x:c r="S41" s="48" t="str">
        <x:v>否</x:v>
      </x:c>
      <x:c r="T41" s="48" t="str">
        <x:v>原综合排放标准问答对拆分而来</x:v>
      </x:c>
      <x:c r="U41" s="48" t="str">
        <x:v>30份环评_污染物排放控制执行标准复核QA(拆分版)</x:v>
      </x:c>
      <x:c r="V41" s="48" t="str">
        <x:v>水污染物排放标准</x:v>
      </x:c>
      <x:c r="W41" s="48" t="str">
        <x:v>无误</x:v>
      </x:c>
      <x:c r="X41" s="48" t="str">
        <x:v>无误</x:v>
      </x:c>
      <x:c r="Y41" s="64"/>
      <x:c r="Z41" s="64" t="str">
        <x:v>未复核</x:v>
      </x:c>
      <x:c r="AA41" s="64" t="str">
        <x:v>部分充分</x:v>
      </x:c>
      <x:c r="AB41" s="64" t="str">
        <x:v>有效</x:v>
      </x:c>
      <x:c r="AC41" s="64" t="str">
        <x:v>部分核验</x:v>
      </x:c>
      <x:c r="AD41" s="64" t="str">
        <x:v>自动默认</x:v>
      </x:c>
      <x:c r="AE41" s="64" t="str">
        <x:v>候选池</x:v>
      </x:c>
      <x:c r="AF41" s="64" t="str">
        <x:v>待分流</x:v>
      </x:c>
      <x:c r="AG41" s="64"/>
      <x:c r="AH41" s="64"/>
      <x:c r="AI41" s="64"/>
      <x:c r="AJ41" s="64"/>
      <x:c r="AK41" s="64"/>
      <x:c r="AL41" s="64"/>
      <x:c r="AM41" s="64"/>
      <x:c r="AN41" s="48" t="str">
        <x:v>41</x:v>
      </x:c>
      <x:c r="AO41" s="48" t="str">
        <x:v>MAP_无误</x:v>
      </x:c>
      <x:c r="AP41" s="48" t="str">
        <x:v>存在报告证据，但尚未经人工逐项核验；已列依据来源，但未在本阶段逐条核验</x:v>
      </x:c>
      <x:c r="AQ41" s="64"/>
      <x:c r="AR41" s="48" t="str">
        <x:v>water_emission_standard</x:v>
      </x:c>
      <x:c r="AS41" s="48" t="str">
        <x:v>L3_analysis</x:v>
      </x:c>
      <x:c r="AT41" s="48" t="str">
        <x:v>rule_applicability</x:v>
      </x:c>
      <x:c r="AU41" s="48" t="str">
        <x:v>basis_grounding</x:v>
      </x:c>
      <x:c r="AV41" s="48" t="str">
        <x:v>report_grounding；procedural_reasoning</x:v>
      </x:c>
      <x:c r="AW41" s="48" t="str">
        <x:v>high</x:v>
      </x:c>
      <x:c r="AX41" s="48" t="str">
        <x:v>high</x:v>
      </x:c>
      <x:c r="AY41" s="48" t="str">
        <x:v>report_plus_external</x:v>
      </x:c>
      <x:c r="AZ41" s="48" t="str">
        <x:v>True</x:v>
      </x:c>
      <x:c r="BA41" s="48"/>
      <x:c r="BB41" s="48" t="str">
        <x:v>auto_default</x:v>
      </x:c>
      <x:c r="BC41" s="48" t="str">
        <x:v>v1</x:v>
      </x:c>
      <x:c r="BD41" s="68"/>
    </x:row>
    <x:row r="42" ht="36" customHeight="1">
      <x:c r="A42" s="47" t="str">
        <x:v>2026-07-27</x:v>
      </x:c>
      <x:c r="B42" s="48" t="str">
        <x:v>PL007</x:v>
      </x:c>
      <x:c r="C42" s="48" t="str">
        <x:v>V01</x:v>
      </x:c>
      <x:c r="D42" s="48" t="str">
        <x:v>PL007_广东云晟新材料有限公司年产水性涂料2400吨新建项目_01_修改评估意见.docx</x:v>
      </x:c>
      <x:c r="E42" s="48" t="str">
        <x:v>广东云晟新材料有限公司年产水性涂料2400吨新建项目</x:v>
      </x:c>
      <x:c r="F42" s="48" t="str">
        <x:v>PL007_Emission_大气</x:v>
      </x:c>
      <x:c r="G42" s="48" t="str">
        <x:v>污染物排放标准-大气污染物排放标准</x:v>
      </x:c>
      <x:c r="H42" s="48" t="str">
        <x:v>请根据项目行业类别、生产工艺和污染因子，判断大气污染物排放标准选取是否合理。要求分析：污染源覆盖是否完整（列出所有大气污染源及对应标准），是否存在缺漏的污染源或标准。</x:v>
      </x:c>
      <x:c r="I42" s="48" t="str">
        <x:v>1、污染排放标准分析污染源内容：完整；
2、大气污染物排放标准分析：无误。项目属涂料制造行业（C2641），报告正确选取《涂料、油墨及胶粘剂工业大气污染物排放标准》（GB37824-2019）作为行业排放标准。（1）颗粒物有组织排放执行GB37824-2019表2涂料制造特别排放限值，符合涂料行业适用范围；（2）TVOC有组织排放执行GB37824-2019表2涂料制造特别排放限值，行业适用正确；（3）臭气浓度执行《恶臭污染物排放标准》（GB14554-93）表1厂界标准值（二级新扩改建）≤20（无量纲）和表2排放标准值。项目排气筒高度30m，按GB14554-93“介于两列高度之间取较高一档”规则，30m介于25m与35m之间，取35m对应值≤15000（无量纲），与知识库记录ESK-GB14554-TABLE2-003一致。报告描述为“四舍五入方法”，术语表述不够准确，但标准值结果正确；（4）厂区内VOCs无组织排放执行GB37824-2019表B.1特别排放限值，行业适用正确。知识库不含GB37824-2019限值记录，具体限值数值无法核对，属知识库缺口。颗粒物无组织排放参照执行DB44/27-2001第二时段无组织排放监控浓度限值，知识库该部分记录已隔离（db44-27-quarantined），无法核验具体限值，属知识库缺口。</x:v>
      </x:c>
      <x:c r="J42" s="48" t="str">
        <x:v>大气】“颗粒物的有组织排放执行《涂料、油墨及胶粘剂工业大气污染物排放标准》（GB37824-2019）表2涂料制造、油墨及类似产品制造的颗粒物特别排放限值”“TVOC的有组织排放执行《涂料、油墨及胶粘剂工业大气污染物排放标准》（GB37824-2019）表2涂料制造、油墨及类似产品制造的特别排放限值”“臭气浓度执行《恶臭污染物排放标准》（GB14554-93）表1恶臭污染物厂界标准值（二级新扩改建）和表2恶臭污染物排放标准值。项目排气筒高度30m……排气筒高度为35m的对应臭气浓度排放标准值≤15000”“项目厂内VOCs无组织排放执行《涂料、油墨及胶粘剂工业大气污染物排放标准》（GB37824-2019）表B.1厂区内VOCs无组织排放限值的特别排放限值”</x:v>
      </x:c>
      <x:c r="K42" s="48" t="str">
        <x:v>emission-standard-kb.jsonl; DB44/26-2001; DB44/2367-2022; GB31572-2015; GB14554-93; GB12348-2008; GB18597-2023; GB18599-2020</x:v>
      </x:c>
      <x:c r="L42" s="48" t="str">
        <x:v>2</x:v>
      </x:c>
      <x:c r="M42" s="48" t="str">
        <x:v>2</x:v>
      </x:c>
      <x:c r="N42" s="48" t="str">
        <x:v>False</x:v>
      </x:c>
      <x:c r="O42" s="48" t="str">
        <x:v>无误</x:v>
      </x:c>
      <x:c r="P42"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42" s="48"/>
      <x:c r="R42" s="48"/>
      <x:c r="S42" s="48" t="str">
        <x:v>否</x:v>
      </x:c>
      <x:c r="T42" s="48" t="str">
        <x:v>原综合排放标准问答对拆分而来</x:v>
      </x:c>
      <x:c r="U42" s="48" t="str">
        <x:v>30份环评_污染物排放控制执行标准复核QA(拆分版)</x:v>
      </x:c>
      <x:c r="V42" s="48" t="str">
        <x:v>大气污染物排放标准</x:v>
      </x:c>
      <x:c r="W42" s="48" t="str">
        <x:v>无误</x:v>
      </x:c>
      <x:c r="X42" s="48" t="str">
        <x:v>无误</x:v>
      </x:c>
      <x:c r="Y42" s="64"/>
      <x:c r="Z42" s="64" t="str">
        <x:v>未复核</x:v>
      </x:c>
      <x:c r="AA42" s="64" t="str">
        <x:v>不足</x:v>
      </x:c>
      <x:c r="AB42" s="64" t="str">
        <x:v>有效</x:v>
      </x:c>
      <x:c r="AC42" s="64" t="str">
        <x:v>部分核验</x:v>
      </x:c>
      <x:c r="AD42" s="64" t="str">
        <x:v>自动默认</x:v>
      </x:c>
      <x:c r="AE42" s="64" t="str">
        <x:v>候选池</x:v>
      </x:c>
      <x:c r="AF42" s="64" t="str">
        <x:v>待分流</x:v>
      </x:c>
      <x:c r="AG42" s="64"/>
      <x:c r="AH42" s="64"/>
      <x:c r="AI42" s="64"/>
      <x:c r="AJ42" s="64"/>
      <x:c r="AK42" s="64"/>
      <x:c r="AL42" s="64"/>
      <x:c r="AM42" s="64"/>
      <x:c r="AN42" s="48" t="str">
        <x:v>42</x:v>
      </x:c>
      <x:c r="AO42" s="48" t="str">
        <x:v>MAP_无误</x:v>
      </x:c>
      <x:c r="AP42" s="48" t="str">
        <x:v>命中证据不足候选词：无法核对；已列依据来源，但未在本阶段逐条核验</x:v>
      </x:c>
      <x:c r="AQ42" s="64"/>
      <x:c r="AR42" s="48" t="str">
        <x:v>air_emission_standard</x:v>
      </x:c>
      <x:c r="AS42" s="48" t="str">
        <x:v>L3_analysis</x:v>
      </x:c>
      <x:c r="AT42" s="48" t="str">
        <x:v>multi_evidence_synthesis</x:v>
      </x:c>
      <x:c r="AU42" s="48" t="str">
        <x:v>basis_grounding</x:v>
      </x:c>
      <x:c r="AV42" s="48" t="str">
        <x:v>report_grounding；evidence_integration</x:v>
      </x:c>
      <x:c r="AW42" s="48" t="str">
        <x:v>high</x:v>
      </x:c>
      <x:c r="AX42" s="48" t="str">
        <x:v>high</x:v>
      </x:c>
      <x:c r="AY42" s="48" t="str">
        <x:v>report_plus_external</x:v>
      </x:c>
      <x:c r="AZ42" s="48" t="str">
        <x:v>True</x:v>
      </x:c>
      <x:c r="BA42" s="48"/>
      <x:c r="BB42" s="48" t="str">
        <x:v>auto_default</x:v>
      </x:c>
      <x:c r="BC42" s="48" t="str">
        <x:v>v1</x:v>
      </x:c>
      <x:c r="BD42" s="68"/>
    </x:row>
    <x:row r="43" ht="36" customHeight="1">
      <x:c r="A43" s="47" t="str">
        <x:v>2026-07-27</x:v>
      </x:c>
      <x:c r="B43" s="48" t="str">
        <x:v>PL007</x:v>
      </x:c>
      <x:c r="C43" s="48" t="str">
        <x:v>V01</x:v>
      </x:c>
      <x:c r="D43" s="48" t="str">
        <x:v>PL007_广东云晟新材料有限公司年产水性涂料2400吨新建项目_01_修改评估意见.docx</x:v>
      </x:c>
      <x:c r="E43" s="48" t="str">
        <x:v>广东云晟新材料有限公司年产水性涂料2400吨新建项目</x:v>
      </x:c>
      <x:c r="F43" s="48" t="str">
        <x:v>PL007_Emission_噪声</x:v>
      </x:c>
      <x:c r="G43" s="48" t="str">
        <x:v>污染物排放标准-噪声排放标准</x:v>
      </x:c>
      <x:c r="H43" s="48" t="str">
        <x:v>请根据项目所属声环境功能区类别，判断噪声排放标准选取是否合理。要求总结声功能区类型、厂界执行标准（GB12348-2008）及昼夜限值，并与环评编制内容进行一致性分析。</x:v>
      </x:c>
      <x:c r="I43" s="48" t="str">
        <x:v>1、噪声排放标准中执行标准与排放限值内容：无误；
2、无误。厂界噪声执行《工业企业厂界环境噪声排放标准》（GB12348-2008）中的3类标准，昼间≤65dB(A)，夜间≤55dB(A)。知识库记录ESK-GB12348-TABLE1-004证实3类标准昼间65dB(A)、夜间55dB(A)，报告填写一致。项目位于工业区域，3类声功能区适用合理。</x:v>
      </x:c>
      <x:c r="J43" s="48" t="str">
        <x:v>噪声】“厂界噪声排放执行《工业企业厂界环境噪声排放标准》（GB12348-2008）中的3类标准，昼间≤65dB（A），夜间≤55dB（A）。”</x:v>
      </x:c>
      <x:c r="K43" s="48" t="str">
        <x:v>emission-standard-kb.jsonl; DB44/26-2001; DB44/2367-2022; GB31572-2015; GB14554-93; GB12348-2008; GB18597-2023; GB18599-2020</x:v>
      </x:c>
      <x:c r="L43" s="48" t="str">
        <x:v>2</x:v>
      </x:c>
      <x:c r="M43" s="48" t="str">
        <x:v>2</x:v>
      </x:c>
      <x:c r="N43" s="48" t="str">
        <x:v>False</x:v>
      </x:c>
      <x:c r="O43" s="48" t="str">
        <x:v>无误</x:v>
      </x:c>
      <x:c r="P43"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43" s="48"/>
      <x:c r="R43" s="48"/>
      <x:c r="S43" s="48" t="str">
        <x:v>否</x:v>
      </x:c>
      <x:c r="T43" s="48" t="str">
        <x:v>原综合排放标准问答对拆分而来</x:v>
      </x:c>
      <x:c r="U43" s="48" t="str">
        <x:v>30份环评_污染物排放控制执行标准复核QA(拆分版)</x:v>
      </x:c>
      <x:c r="V43" s="48" t="str">
        <x:v>噪声排放标准</x:v>
      </x:c>
      <x:c r="W43" s="48" t="str">
        <x:v>无误</x:v>
      </x:c>
      <x:c r="X43" s="48" t="str">
        <x:v>无误</x:v>
      </x:c>
      <x:c r="Y43" s="64"/>
      <x:c r="Z43" s="64" t="str">
        <x:v>未复核</x:v>
      </x:c>
      <x:c r="AA43" s="64" t="str">
        <x:v>部分充分</x:v>
      </x:c>
      <x:c r="AB43" s="64" t="str">
        <x:v>有效</x:v>
      </x:c>
      <x:c r="AC43" s="64" t="str">
        <x:v>部分核验</x:v>
      </x:c>
      <x:c r="AD43" s="64" t="str">
        <x:v>自动默认</x:v>
      </x:c>
      <x:c r="AE43" s="64" t="str">
        <x:v>候选池</x:v>
      </x:c>
      <x:c r="AF43" s="64" t="str">
        <x:v>待分流</x:v>
      </x:c>
      <x:c r="AG43" s="64"/>
      <x:c r="AH43" s="64"/>
      <x:c r="AI43" s="64"/>
      <x:c r="AJ43" s="64"/>
      <x:c r="AK43" s="64"/>
      <x:c r="AL43" s="64"/>
      <x:c r="AM43" s="64"/>
      <x:c r="AN43" s="48" t="str">
        <x:v>43</x:v>
      </x:c>
      <x:c r="AO43" s="48" t="str">
        <x:v>MAP_无误</x:v>
      </x:c>
      <x:c r="AP43" s="48" t="str">
        <x:v>存在报告证据，但尚未经人工逐项核验；已列依据来源，但未在本阶段逐条核验</x:v>
      </x:c>
      <x:c r="AQ43" s="64"/>
      <x:c r="AR43" s="48" t="str">
        <x:v>noise_emission_standard</x:v>
      </x:c>
      <x:c r="AS43" s="48" t="str">
        <x:v>L2_application</x:v>
      </x:c>
      <x:c r="AT43" s="48" t="str">
        <x:v>rule_applicability</x:v>
      </x:c>
      <x:c r="AU43" s="48" t="str">
        <x:v>basis_grounding</x:v>
      </x:c>
      <x:c r="AV43" s="48" t="str">
        <x:v>report_grounding</x:v>
      </x:c>
      <x:c r="AW43" s="48" t="str">
        <x:v>high</x:v>
      </x:c>
      <x:c r="AX43" s="48" t="str">
        <x:v>medium</x:v>
      </x:c>
      <x:c r="AY43" s="48" t="str">
        <x:v>report_plus_external</x:v>
      </x:c>
      <x:c r="AZ43" s="48" t="str">
        <x:v>True</x:v>
      </x:c>
      <x:c r="BA43" s="48"/>
      <x:c r="BB43" s="48" t="str">
        <x:v>auto_default</x:v>
      </x:c>
      <x:c r="BC43" s="48" t="str">
        <x:v>v1</x:v>
      </x:c>
      <x:c r="BD43" s="68"/>
    </x:row>
    <x:row r="44" ht="36" customHeight="1">
      <x:c r="A44" s="47" t="str">
        <x:v>2026-07-27</x:v>
      </x:c>
      <x:c r="B44" s="48" t="str">
        <x:v>PL007</x:v>
      </x:c>
      <x:c r="C44" s="48" t="str">
        <x:v>V01</x:v>
      </x:c>
      <x:c r="D44" s="48" t="str">
        <x:v>PL007_广东云晟新材料有限公司年产水性涂料2400吨新建项目_01_修改评估意见.docx</x:v>
      </x:c>
      <x:c r="E44" s="48" t="str">
        <x:v>广东云晟新材料有限公司年产水性涂料2400吨新建项目</x:v>
      </x:c>
      <x:c r="F44" s="48" t="str">
        <x:v>PL007_Emission_固体</x:v>
      </x:c>
      <x:c r="G44" s="48" t="str">
        <x:v>污染物排放标准-固体废物控制标准</x:v>
      </x:c>
      <x:c r="H44" s="48" t="str">
        <x:v>请根据项目产生的固体废物和危险废物类型，判断固体废物控制标准选取是否合理。要求总结一般工业固体废物和危险废物执行标准的标准名称及编号，分析是否缺少必要标准条目。</x:v>
      </x:c>
      <x:c r="I44"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4" s="48" t="str">
        <x:v>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x:v>
      </x:c>
      <x:c r="K44" s="48" t="str">
        <x:v>emission-standard-kb.jsonl; DB44/26-2001; DB44/2367-2022; GB31572-2015; GB14554-93; GB12348-2008; GB18597-2023; GB18599-2020</x:v>
      </x:c>
      <x:c r="L44" s="48" t="str">
        <x:v>2</x:v>
      </x:c>
      <x:c r="M44" s="48" t="str">
        <x:v>2</x:v>
      </x:c>
      <x:c r="N44" s="48" t="str">
        <x:v>False</x:v>
      </x:c>
      <x:c r="O44" s="48" t="str">
        <x:v>无误</x:v>
      </x:c>
      <x:c r="P44"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44" s="48"/>
      <x:c r="R44" s="48"/>
      <x:c r="S44" s="48" t="str">
        <x:v>否</x:v>
      </x:c>
      <x:c r="T44" s="48" t="str">
        <x:v>修正：GB18599-2020不在知识库必须满足的标准清单中，原判定依据已更正。原综合排放标准问答对拆分而来</x:v>
      </x:c>
      <x:c r="U44" s="48" t="str">
        <x:v>30份环评_污染物排放控制执行标准复核QA(拆分版)</x:v>
      </x:c>
      <x:c r="V44" s="48" t="str">
        <x:v>固体废物控制标准</x:v>
      </x:c>
      <x:c r="W44" s="48" t="str">
        <x:v>无误</x:v>
      </x:c>
      <x:c r="X44" s="48" t="str">
        <x:v>无误</x:v>
      </x:c>
      <x:c r="Y44" s="64"/>
      <x:c r="Z44" s="64" t="str">
        <x:v>未复核</x:v>
      </x:c>
      <x:c r="AA44" s="64" t="str">
        <x:v>部分充分</x:v>
      </x:c>
      <x:c r="AB44" s="64" t="str">
        <x:v>有效</x:v>
      </x:c>
      <x:c r="AC44" s="64" t="str">
        <x:v>部分核验</x:v>
      </x:c>
      <x:c r="AD44" s="64" t="str">
        <x:v>自动默认</x:v>
      </x:c>
      <x:c r="AE44" s="64" t="str">
        <x:v>候选池</x:v>
      </x:c>
      <x:c r="AF44" s="64" t="str">
        <x:v>待分流</x:v>
      </x:c>
      <x:c r="AG44" s="64"/>
      <x:c r="AH44" s="64"/>
      <x:c r="AI44" s="64"/>
      <x:c r="AJ44" s="64"/>
      <x:c r="AK44" s="64"/>
      <x:c r="AL44" s="64"/>
      <x:c r="AM44" s="64"/>
      <x:c r="AN44" s="48" t="str">
        <x:v>44</x:v>
      </x:c>
      <x:c r="AO44" s="48" t="str">
        <x:v>MAP_无误</x:v>
      </x:c>
      <x:c r="AP44" s="48" t="str">
        <x:v>存在报告证据，但尚未经人工逐项核验；已列依据来源，但未在本阶段逐条核验</x:v>
      </x:c>
      <x:c r="AQ44" s="64"/>
      <x:c r="AR44" s="48" t="str">
        <x:v>solid_waste_standard</x:v>
      </x:c>
      <x:c r="AS44" s="48" t="str">
        <x:v>L2_application</x:v>
      </x:c>
      <x:c r="AT44" s="48" t="str">
        <x:v>rule_applicability</x:v>
      </x:c>
      <x:c r="AU44" s="48" t="str">
        <x:v>basis_grounding</x:v>
      </x:c>
      <x:c r="AV44" s="48" t="str">
        <x:v>report_grounding</x:v>
      </x:c>
      <x:c r="AW44" s="48" t="str">
        <x:v>high</x:v>
      </x:c>
      <x:c r="AX44" s="48" t="str">
        <x:v>medium</x:v>
      </x:c>
      <x:c r="AY44" s="48" t="str">
        <x:v>report_plus_external</x:v>
      </x:c>
      <x:c r="AZ44" s="48" t="str">
        <x:v>True</x:v>
      </x:c>
      <x:c r="BA44" s="48"/>
      <x:c r="BB44" s="48" t="str">
        <x:v>auto_default</x:v>
      </x:c>
      <x:c r="BC44" s="48" t="str">
        <x:v>v1</x:v>
      </x:c>
      <x:c r="BD44" s="68"/>
    </x:row>
    <x:row r="45" ht="36" customHeight="1">
      <x:c r="A45" s="47" t="str">
        <x:v>2026-07-28</x:v>
      </x:c>
      <x:c r="B45" s="48" t="str">
        <x:v>PL008</x:v>
      </x:c>
      <x:c r="C45" s="48" t="str">
        <x:v>V01</x:v>
      </x:c>
      <x:c r="D45" s="48" t="str">
        <x:v>佛山市顺德区亚马逊涂料有限公司迁扩建项目环境影响报告表</x:v>
      </x:c>
      <x:c r="E45" s="48" t="str">
        <x:v>佛山市顺德区亚马逊涂料有限公司迁扩建项目</x:v>
      </x:c>
      <x:c r="F45" s="48" t="str">
        <x:v>PL008_EnvQuality_Q01</x:v>
      </x:c>
      <x:c r="G45" s="48" t="str">
        <x:v>大气及地表水环境质量现状数据引用</x:v>
      </x:c>
      <x:c r="H45" s="48" t="str">
        <x:v>请根据报告引用的环境质量公报及现状数据，判断大气和地表水环境质量现状数据引用是否准确。</x:v>
      </x:c>
      <x:c r="I45"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5"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45" s="48" t="str">
        <x:v>生态环境状况公报知识库; 收纳水体地表水执行标准</x:v>
      </x:c>
      <x:c r="L45" s="48" t="str">
        <x:v>2</x:v>
      </x:c>
      <x:c r="M45" s="48" t="str">
        <x:v>2</x:v>
      </x:c>
      <x:c r="N45" s="48" t="str">
        <x:v>False</x:v>
      </x:c>
      <x:c r="O45" s="48" t="str">
        <x:v>正确</x:v>
      </x:c>
      <x:c r="P45" s="48" t="str">
        <x:v>大气:正确; 地表水:正确; 报告日期:2023-06</x:v>
      </x:c>
      <x:c r="Q45" s="48"/>
      <x:c r="R45" s="48"/>
      <x:c r="S45" s="48" t="str">
        <x:v>是</x:v>
      </x:c>
      <x:c r="T45" s="48" t="str">
        <x:v>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x:v>
      </x:c>
      <x:c r="U45" s="48" t="str">
        <x:v>30个环评_大气及地表水环境质量现状数据引用复核QA</x:v>
      </x:c>
      <x:c r="V45" s="48" t="str">
        <x:v>环境质量数据引用</x:v>
      </x:c>
      <x:c r="W45" s="48" t="str">
        <x:v>正确</x:v>
      </x:c>
      <x:c r="X45" s="48" t="str">
        <x:v>无误</x:v>
      </x:c>
      <x:c r="Y45" s="64"/>
      <x:c r="Z45" s="64" t="str">
        <x:v>未复核</x:v>
      </x:c>
      <x:c r="AA45" s="64" t="str">
        <x:v>部分充分</x:v>
      </x:c>
      <x:c r="AB45" s="64" t="str">
        <x:v>有效</x:v>
      </x:c>
      <x:c r="AC45" s="64" t="str">
        <x:v>部分核验</x:v>
      </x:c>
      <x:c r="AD45" s="64" t="str">
        <x:v>自动默认</x:v>
      </x:c>
      <x:c r="AE45" s="64" t="str">
        <x:v>候选池</x:v>
      </x:c>
      <x:c r="AF45" s="64" t="str">
        <x:v>A_仅待终审</x:v>
      </x:c>
      <x:c r="AG45" s="64"/>
      <x:c r="AH45" s="64"/>
      <x:c r="AI45" s="64"/>
      <x:c r="AJ45" s="64"/>
      <x:c r="AK45" s="64"/>
      <x:c r="AL45" s="64"/>
      <x:c r="AM45" s="64"/>
      <x:c r="AN45" s="48" t="str">
        <x:v>45</x:v>
      </x:c>
      <x:c r="AO45" s="48" t="str">
        <x:v>MAP_正确</x:v>
      </x:c>
      <x:c r="AP45" s="48" t="str">
        <x:v>存在报告证据，但尚未经人工逐项核验；已列依据来源，但未在本阶段逐条核验</x:v>
      </x:c>
      <x:c r="AQ45" s="64"/>
      <x:c r="AR45" s="48" t="str">
        <x:v>environmental_quality_data</x:v>
      </x:c>
      <x:c r="AS45" s="48" t="str">
        <x:v>L3_analysis</x:v>
      </x:c>
      <x:c r="AT45" s="48" t="str">
        <x:v>consistency_comparison</x:v>
      </x:c>
      <x:c r="AU45" s="48" t="str">
        <x:v>evidence_integration</x:v>
      </x:c>
      <x:c r="AV45" s="48" t="str">
        <x:v>report_grounding；basis_grounding</x:v>
      </x:c>
      <x:c r="AW45" s="48" t="str">
        <x:v>high</x:v>
      </x:c>
      <x:c r="AX45" s="48" t="str">
        <x:v>high</x:v>
      </x:c>
      <x:c r="AY45" s="48" t="str">
        <x:v>report_plus_external</x:v>
      </x:c>
      <x:c r="AZ45" s="48" t="str">
        <x:v>True</x:v>
      </x:c>
      <x:c r="BA45" s="48"/>
      <x:c r="BB45" s="48" t="str">
        <x:v>auto_default</x:v>
      </x:c>
      <x:c r="BC45" s="48" t="str">
        <x:v>v1</x:v>
      </x:c>
      <x:c r="BD45" s="68"/>
    </x:row>
    <x:row r="46" ht="36" customHeight="1">
      <x:c r="A46" s="47" t="str">
        <x:v>2026-07-27</x:v>
      </x:c>
      <x:c r="B46" s="48" t="str">
        <x:v>PL008</x:v>
      </x:c>
      <x:c r="C46" s="48" t="str">
        <x:v>V01</x:v>
      </x:c>
      <x:c r="D46" s="48" t="str">
        <x:v>PL008_佛山市顺德区亚马逊涂料有限公司迁扩建项目_01_修改评估意见.docx</x:v>
      </x:c>
      <x:c r="E46" s="48" t="str">
        <x:v>佛山市顺德区亚马逊涂料有限公司迁扩建项目</x:v>
      </x:c>
      <x:c r="F46" s="48" t="str">
        <x:v>PL008_Emission_水污</x:v>
      </x:c>
      <x:c r="G46" s="48" t="str">
        <x:v>污染物排放标准-水污染物排放标准</x:v>
      </x:c>
      <x:c r="H4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46" s="48" t="str">
        <x:v>1、水污染物排放标准中生活污水排放执行标准：无误；
2、水污染物排放标准结论的过程分析内容：无误。项目外排废水为生活污水，经三级化粪池处理后达到广东省地方标准《水污染物排放限值》（DB44/26-2001）第二时段三级标准后排入杏坛污水处理厂。知识库记录ESK-DOMESTIC-SEWAGE-LIMITS-002证实企业排口执行DB44/26-2001第二时段三级标准（COD 500mg/L），报告表述一致。污水处理厂出水执行《城镇污水处理厂污染物排放标准》（GB18918-2002）一级A标准及DB44/26-2001第二时段一级标准的较严值，与知识库记录ESK-SHUNDE-WWTP-MAPPING-012一致。企业排口与污水厂尾水排口标准分列正确。需注意报告将标准名称写为“水污染排放限值”（遗漏“物”字），且标准编号写为“GBl8918—2002”（数字“1”误写为小写字母“l”），属名称书写不规范，但标准编号可辨识，不影响标准适用性判断。</x:v>
      </x:c>
      <x:c r="J46" s="4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x:v>
      </x:c>
      <x:c r="K46" s="48" t="str">
        <x:v>emission-standard-kb.jsonl; DB44/26-2001; DB44/2367-2022; GB31572-2015; GB14554-93; GB12348-2008; GB18597-2023; GB18599-2020</x:v>
      </x:c>
      <x:c r="L46" s="48" t="str">
        <x:v>2</x:v>
      </x:c>
      <x:c r="M46" s="48" t="str">
        <x:v>2</x:v>
      </x:c>
      <x:c r="N46" s="48" t="str">
        <x:v>False</x:v>
      </x:c>
      <x:c r="O46" s="48" t="str">
        <x:v>无误</x:v>
      </x:c>
      <x:c r="P46"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46" s="48"/>
      <x:c r="R46" s="48"/>
      <x:c r="S46" s="48" t="str">
        <x:v>否</x:v>
      </x:c>
      <x:c r="T46" s="48" t="str">
        <x:v>原综合排放标准问答对拆分而来</x:v>
      </x:c>
      <x:c r="U46" s="48" t="str">
        <x:v>30份环评_污染物排放控制执行标准复核QA(拆分版)</x:v>
      </x:c>
      <x:c r="V46" s="48" t="str">
        <x:v>水污染物排放标准</x:v>
      </x:c>
      <x:c r="W46" s="48" t="str">
        <x:v>无误</x:v>
      </x:c>
      <x:c r="X46" s="48" t="str">
        <x:v>无误</x:v>
      </x:c>
      <x:c r="Y46" s="64"/>
      <x:c r="Z46" s="64" t="str">
        <x:v>未复核</x:v>
      </x:c>
      <x:c r="AA46" s="64" t="str">
        <x:v>部分充分</x:v>
      </x:c>
      <x:c r="AB46" s="64" t="str">
        <x:v>有效</x:v>
      </x:c>
      <x:c r="AC46" s="64" t="str">
        <x:v>部分核验</x:v>
      </x:c>
      <x:c r="AD46" s="64" t="str">
        <x:v>自动默认</x:v>
      </x:c>
      <x:c r="AE46" s="64" t="str">
        <x:v>候选池</x:v>
      </x:c>
      <x:c r="AF46" s="64" t="str">
        <x:v>待分流</x:v>
      </x:c>
      <x:c r="AG46" s="64"/>
      <x:c r="AH46" s="64"/>
      <x:c r="AI46" s="64"/>
      <x:c r="AJ46" s="64"/>
      <x:c r="AK46" s="64"/>
      <x:c r="AL46" s="64"/>
      <x:c r="AM46" s="64"/>
      <x:c r="AN46" s="48" t="str">
        <x:v>46</x:v>
      </x:c>
      <x:c r="AO46" s="48" t="str">
        <x:v>MAP_无误</x:v>
      </x:c>
      <x:c r="AP46" s="48" t="str">
        <x:v>存在报告证据，但尚未经人工逐项核验；已列依据来源，但未在本阶段逐条核验</x:v>
      </x:c>
      <x:c r="AQ46" s="64"/>
      <x:c r="AR46" s="48" t="str">
        <x:v>water_emission_standard</x:v>
      </x:c>
      <x:c r="AS46" s="48" t="str">
        <x:v>L3_analysis</x:v>
      </x:c>
      <x:c r="AT46" s="48" t="str">
        <x:v>rule_applicability</x:v>
      </x:c>
      <x:c r="AU46" s="48" t="str">
        <x:v>basis_grounding</x:v>
      </x:c>
      <x:c r="AV46" s="48" t="str">
        <x:v>report_grounding；procedural_reasoning</x:v>
      </x:c>
      <x:c r="AW46" s="48" t="str">
        <x:v>high</x:v>
      </x:c>
      <x:c r="AX46" s="48" t="str">
        <x:v>high</x:v>
      </x:c>
      <x:c r="AY46" s="48" t="str">
        <x:v>report_plus_external</x:v>
      </x:c>
      <x:c r="AZ46" s="48" t="str">
        <x:v>True</x:v>
      </x:c>
      <x:c r="BA46" s="48"/>
      <x:c r="BB46" s="48" t="str">
        <x:v>auto_default</x:v>
      </x:c>
      <x:c r="BC46" s="48" t="str">
        <x:v>v1</x:v>
      </x:c>
      <x:c r="BD46" s="68"/>
    </x:row>
    <x:row r="47" ht="36" customHeight="1">
      <x:c r="A47" s="47" t="str">
        <x:v>2026-07-27</x:v>
      </x:c>
      <x:c r="B47" s="48" t="str">
        <x:v>PL008</x:v>
      </x:c>
      <x:c r="C47" s="48" t="str">
        <x:v>V01</x:v>
      </x:c>
      <x:c r="D47" s="48" t="str">
        <x:v>PL008_佛山市顺德区亚马逊涂料有限公司迁扩建项目_01_修改评估意见.docx</x:v>
      </x:c>
      <x:c r="E47" s="48" t="str">
        <x:v>佛山市顺德区亚马逊涂料有限公司迁扩建项目</x:v>
      </x:c>
      <x:c r="F47" s="48" t="str">
        <x:v>PL008_Emission_大气</x:v>
      </x:c>
      <x:c r="G47" s="48" t="str">
        <x:v>污染物排放标准-大气污染物排放标准</x:v>
      </x:c>
      <x:c r="H47" s="48" t="str">
        <x:v>请根据项目行业类别、生产工艺和污染因子，判断大气污染物排放标准选取是否合理。要求分析：污染源覆盖是否完整（列出所有大气污染源及对应标准），是否存在缺漏的污染源或标准。</x:v>
      </x:c>
      <x:c r="I47" s="48" t="str">
        <x:v>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x:v>
      </x:c>
      <x:c r="J47" s="48" t="str">
        <x:v>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x:v>
      </x:c>
      <x:c r="K47" s="48" t="str">
        <x:v>emission-standard-kb.jsonl; DB44/26-2001; DB44/2367-2022; GB31572-2015; GB14554-93; GB12348-2008; GB18597-2023; GB18599-2020</x:v>
      </x:c>
      <x:c r="L47" s="48" t="str">
        <x:v>2</x:v>
      </x:c>
      <x:c r="M47" s="48" t="str">
        <x:v>2</x:v>
      </x:c>
      <x:c r="N47" s="48" t="str">
        <x:v>False</x:v>
      </x:c>
      <x:c r="O47" s="48" t="str">
        <x:v>无误</x:v>
      </x:c>
      <x:c r="P47"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47" s="48"/>
      <x:c r="R47" s="48"/>
      <x:c r="S47" s="48" t="str">
        <x:v>否</x:v>
      </x:c>
      <x:c r="T47" s="48" t="str">
        <x:v>原综合排放标准问答对拆分而来</x:v>
      </x:c>
      <x:c r="U47" s="48" t="str">
        <x:v>30份环评_污染物排放控制执行标准复核QA(拆分版)</x:v>
      </x:c>
      <x:c r="V47" s="48" t="str">
        <x:v>大气污染物排放标准</x:v>
      </x:c>
      <x:c r="W47" s="48" t="str">
        <x:v>无误</x:v>
      </x:c>
      <x:c r="X47" s="48" t="str">
        <x:v>无误</x:v>
      </x:c>
      <x:c r="Y47" s="64"/>
      <x:c r="Z47" s="64" t="str">
        <x:v>未复核</x:v>
      </x:c>
      <x:c r="AA47" s="64" t="str">
        <x:v>部分充分</x:v>
      </x:c>
      <x:c r="AB47" s="64" t="str">
        <x:v>有效</x:v>
      </x:c>
      <x:c r="AC47" s="64" t="str">
        <x:v>部分核验</x:v>
      </x:c>
      <x:c r="AD47" s="64" t="str">
        <x:v>自动默认</x:v>
      </x:c>
      <x:c r="AE47" s="64" t="str">
        <x:v>候选池</x:v>
      </x:c>
      <x:c r="AF47" s="64" t="str">
        <x:v>待分流</x:v>
      </x:c>
      <x:c r="AG47" s="64"/>
      <x:c r="AH47" s="64"/>
      <x:c r="AI47" s="64"/>
      <x:c r="AJ47" s="64"/>
      <x:c r="AK47" s="64"/>
      <x:c r="AL47" s="64"/>
      <x:c r="AM47" s="64"/>
      <x:c r="AN47" s="48" t="str">
        <x:v>47</x:v>
      </x:c>
      <x:c r="AO47" s="48" t="str">
        <x:v>MAP_无误</x:v>
      </x:c>
      <x:c r="AP47" s="48" t="str">
        <x:v>存在报告证据，但尚未经人工逐项核验；已列依据来源，但未在本阶段逐条核验</x:v>
      </x:c>
      <x:c r="AQ47" s="64"/>
      <x:c r="AR47" s="48" t="str">
        <x:v>air_emission_standard</x:v>
      </x:c>
      <x:c r="AS47" s="48" t="str">
        <x:v>L3_analysis</x:v>
      </x:c>
      <x:c r="AT47" s="48" t="str">
        <x:v>multi_evidence_synthesis</x:v>
      </x:c>
      <x:c r="AU47" s="48" t="str">
        <x:v>basis_grounding</x:v>
      </x:c>
      <x:c r="AV47" s="48" t="str">
        <x:v>report_grounding；evidence_integration</x:v>
      </x:c>
      <x:c r="AW47" s="48" t="str">
        <x:v>high</x:v>
      </x:c>
      <x:c r="AX47" s="48" t="str">
        <x:v>high</x:v>
      </x:c>
      <x:c r="AY47" s="48" t="str">
        <x:v>report_plus_external</x:v>
      </x:c>
      <x:c r="AZ47" s="48" t="str">
        <x:v>True</x:v>
      </x:c>
      <x:c r="BA47" s="48"/>
      <x:c r="BB47" s="48" t="str">
        <x:v>auto_default</x:v>
      </x:c>
      <x:c r="BC47" s="48" t="str">
        <x:v>v1</x:v>
      </x:c>
      <x:c r="BD47" s="68"/>
    </x:row>
    <x:row r="48" ht="36" customHeight="1">
      <x:c r="A48" s="47" t="str">
        <x:v>2026-07-27</x:v>
      </x:c>
      <x:c r="B48" s="48" t="str">
        <x:v>PL008</x:v>
      </x:c>
      <x:c r="C48" s="48" t="str">
        <x:v>V01</x:v>
      </x:c>
      <x:c r="D48" s="48" t="str">
        <x:v>PL008_佛山市顺德区亚马逊涂料有限公司迁扩建项目_01_修改评估意见.docx</x:v>
      </x:c>
      <x:c r="E48" s="48" t="str">
        <x:v>佛山市顺德区亚马逊涂料有限公司迁扩建项目</x:v>
      </x:c>
      <x:c r="F48" s="48" t="str">
        <x:v>PL008_Emission_噪声</x:v>
      </x:c>
      <x:c r="G48" s="48" t="str">
        <x:v>污染物排放标准-噪声排放标准</x:v>
      </x:c>
      <x:c r="H48" s="48" t="str">
        <x:v>请根据项目所属声环境功能区类别，判断噪声排放标准选取是否合理。要求总结声功能区类型、厂界执行标准（GB12348-2008）及昼夜限值，并与环评编制内容进行一致性分析。</x:v>
      </x:c>
      <x:c r="I48" s="48" t="str">
        <x:v>1、噪声排放标准中执行标准与排放限值内容：无误；
2、无误。项目厂界噪声执行《工业企业厂界环境噪声排放标准》（GB12348-2008）中的3类标准，昼间≤65dB(A)，夜间≤55dB(A)。知识库记录ESK-GB12348-TABLE1-004证实3类标准限值一致。报告区域环境质量现状章节明确“项目区域属3类区域，执行《声环境质量标准》（GB3096-2008）中的3类标准”，声功能区类别与厂界排放标准类别对应正确，未将GB3096与GB12348混淆。</x:v>
      </x:c>
      <x:c r="J48" s="48" t="str">
        <x:v>噪声】“项目厂界噪声执行《工业企业厂界环境噪声排放标准》（GB12348-2008）中的3类标准：昼间≤65dB（A），夜间≤55dB（A）。”</x:v>
      </x:c>
      <x:c r="K48" s="48" t="str">
        <x:v>emission-standard-kb.jsonl; DB44/26-2001; DB44/2367-2022; GB31572-2015; GB14554-93; GB12348-2008; GB18597-2023; GB18599-2020</x:v>
      </x:c>
      <x:c r="L48" s="48" t="str">
        <x:v>2</x:v>
      </x:c>
      <x:c r="M48" s="48" t="str">
        <x:v>2</x:v>
      </x:c>
      <x:c r="N48" s="48" t="str">
        <x:v>False</x:v>
      </x:c>
      <x:c r="O48" s="48" t="str">
        <x:v>无误</x:v>
      </x:c>
      <x:c r="P48"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48" s="48"/>
      <x:c r="R48" s="48"/>
      <x:c r="S48" s="48" t="str">
        <x:v>否</x:v>
      </x:c>
      <x:c r="T48" s="48" t="str">
        <x:v>原综合排放标准问答对拆分而来</x:v>
      </x:c>
      <x:c r="U48" s="48" t="str">
        <x:v>30份环评_污染物排放控制执行标准复核QA(拆分版)</x:v>
      </x:c>
      <x:c r="V48" s="48" t="str">
        <x:v>噪声排放标准</x:v>
      </x:c>
      <x:c r="W48" s="48" t="str">
        <x:v>无误</x:v>
      </x:c>
      <x:c r="X48" s="48" t="str">
        <x:v>无误</x:v>
      </x:c>
      <x:c r="Y48" s="64"/>
      <x:c r="Z48" s="64" t="str">
        <x:v>未复核</x:v>
      </x:c>
      <x:c r="AA48" s="64" t="str">
        <x:v>部分充分</x:v>
      </x:c>
      <x:c r="AB48" s="64" t="str">
        <x:v>有效</x:v>
      </x:c>
      <x:c r="AC48" s="64" t="str">
        <x:v>部分核验</x:v>
      </x:c>
      <x:c r="AD48" s="64" t="str">
        <x:v>自动默认</x:v>
      </x:c>
      <x:c r="AE48" s="64" t="str">
        <x:v>候选池</x:v>
      </x:c>
      <x:c r="AF48" s="64" t="str">
        <x:v>待分流</x:v>
      </x:c>
      <x:c r="AG48" s="64"/>
      <x:c r="AH48" s="64"/>
      <x:c r="AI48" s="64"/>
      <x:c r="AJ48" s="64"/>
      <x:c r="AK48" s="64"/>
      <x:c r="AL48" s="64"/>
      <x:c r="AM48" s="64"/>
      <x:c r="AN48" s="48" t="str">
        <x:v>48</x:v>
      </x:c>
      <x:c r="AO48" s="48" t="str">
        <x:v>MAP_无误</x:v>
      </x:c>
      <x:c r="AP48" s="48" t="str">
        <x:v>存在报告证据，但尚未经人工逐项核验；已列依据来源，但未在本阶段逐条核验</x:v>
      </x:c>
      <x:c r="AQ48" s="64"/>
      <x:c r="AR48" s="48" t="str">
        <x:v>noise_emission_standard</x:v>
      </x:c>
      <x:c r="AS48" s="48" t="str">
        <x:v>L2_application</x:v>
      </x:c>
      <x:c r="AT48" s="48" t="str">
        <x:v>rule_applicability</x:v>
      </x:c>
      <x:c r="AU48" s="48" t="str">
        <x:v>basis_grounding</x:v>
      </x:c>
      <x:c r="AV48" s="48" t="str">
        <x:v>report_grounding</x:v>
      </x:c>
      <x:c r="AW48" s="48" t="str">
        <x:v>high</x:v>
      </x:c>
      <x:c r="AX48" s="48" t="str">
        <x:v>medium</x:v>
      </x:c>
      <x:c r="AY48" s="48" t="str">
        <x:v>report_plus_external</x:v>
      </x:c>
      <x:c r="AZ48" s="48" t="str">
        <x:v>True</x:v>
      </x:c>
      <x:c r="BA48" s="48"/>
      <x:c r="BB48" s="48" t="str">
        <x:v>auto_default</x:v>
      </x:c>
      <x:c r="BC48" s="48" t="str">
        <x:v>v1</x:v>
      </x:c>
      <x:c r="BD48" s="68"/>
    </x:row>
    <x:row r="49" ht="36" customHeight="1">
      <x:c r="A49" s="47" t="str">
        <x:v>2026-07-27</x:v>
      </x:c>
      <x:c r="B49" s="48" t="str">
        <x:v>PL008</x:v>
      </x:c>
      <x:c r="C49" s="48" t="str">
        <x:v>V01</x:v>
      </x:c>
      <x:c r="D49" s="48" t="str">
        <x:v>PL008_佛山市顺德区亚马逊涂料有限公司迁扩建项目_01_修改评估意见.docx</x:v>
      </x:c>
      <x:c r="E49" s="48" t="str">
        <x:v>佛山市顺德区亚马逊涂料有限公司迁扩建项目</x:v>
      </x:c>
      <x:c r="F49" s="48" t="str">
        <x:v>PL008_Emission_固体</x:v>
      </x:c>
      <x:c r="G49" s="48" t="str">
        <x:v>污染物排放标准-固体废物控制标准</x:v>
      </x:c>
      <x:c r="H49" s="48" t="str">
        <x:v>请根据项目产生的固体废物和危险废物类型，判断固体废物控制标准选取是否合理。要求总结一般工业固体废物和危险废物执行标准的标准名称及编号，分析是否缺少必要标准条目。</x:v>
      </x:c>
      <x:c r="I49"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49" s="48" t="str">
        <x:v>固废】“危险废物、一般工业固废在厂区内暂存应符合《危险废物贮存污染控制标准》（GB18597-2023）、《一般工业固体废物贮存、处置场污染控制标准》（GB18599-2020）、《广东省固体废物污染环境防治条例》等要求”</x:v>
      </x:c>
      <x:c r="K49" s="48" t="str">
        <x:v>emission-standard-kb.jsonl; DB44/26-2001; DB44/2367-2022; GB31572-2015; GB14554-93; GB12348-2008; GB18597-2023; GB18599-2020</x:v>
      </x:c>
      <x:c r="L49" s="48" t="str">
        <x:v>2</x:v>
      </x:c>
      <x:c r="M49" s="48" t="str">
        <x:v>2</x:v>
      </x:c>
      <x:c r="N49" s="48" t="str">
        <x:v>False</x:v>
      </x:c>
      <x:c r="O49" s="48" t="str">
        <x:v>无误</x:v>
      </x:c>
      <x:c r="P49"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49" s="48"/>
      <x:c r="R49" s="48"/>
      <x:c r="S49" s="48" t="str">
        <x:v>否</x:v>
      </x:c>
      <x:c r="T49" s="48" t="str">
        <x:v>修正：GB18599-2020不在知识库必须满足的标准清单中，原判定依据已更正。原综合排放标准问答对拆分而来</x:v>
      </x:c>
      <x:c r="U49" s="48" t="str">
        <x:v>30份环评_污染物排放控制执行标准复核QA(拆分版)</x:v>
      </x:c>
      <x:c r="V49" s="48" t="str">
        <x:v>固体废物控制标准</x:v>
      </x:c>
      <x:c r="W49" s="48" t="str">
        <x:v>无误</x:v>
      </x:c>
      <x:c r="X49" s="48" t="str">
        <x:v>无误</x:v>
      </x:c>
      <x:c r="Y49" s="64"/>
      <x:c r="Z49" s="64" t="str">
        <x:v>未复核</x:v>
      </x:c>
      <x:c r="AA49" s="64" t="str">
        <x:v>部分充分</x:v>
      </x:c>
      <x:c r="AB49" s="64" t="str">
        <x:v>有效</x:v>
      </x:c>
      <x:c r="AC49" s="64" t="str">
        <x:v>部分核验</x:v>
      </x:c>
      <x:c r="AD49" s="64" t="str">
        <x:v>自动默认</x:v>
      </x:c>
      <x:c r="AE49" s="64" t="str">
        <x:v>候选池</x:v>
      </x:c>
      <x:c r="AF49" s="64" t="str">
        <x:v>待分流</x:v>
      </x:c>
      <x:c r="AG49" s="64"/>
      <x:c r="AH49" s="64"/>
      <x:c r="AI49" s="64"/>
      <x:c r="AJ49" s="64"/>
      <x:c r="AK49" s="64"/>
      <x:c r="AL49" s="64"/>
      <x:c r="AM49" s="64"/>
      <x:c r="AN49" s="48" t="str">
        <x:v>49</x:v>
      </x:c>
      <x:c r="AO49" s="48" t="str">
        <x:v>MAP_无误</x:v>
      </x:c>
      <x:c r="AP49" s="48" t="str">
        <x:v>存在报告证据，但尚未经人工逐项核验；已列依据来源，但未在本阶段逐条核验</x:v>
      </x:c>
      <x:c r="AQ49" s="64"/>
      <x:c r="AR49" s="48" t="str">
        <x:v>solid_waste_standard</x:v>
      </x:c>
      <x:c r="AS49" s="48" t="str">
        <x:v>L2_application</x:v>
      </x:c>
      <x:c r="AT49" s="48" t="str">
        <x:v>rule_applicability</x:v>
      </x:c>
      <x:c r="AU49" s="48" t="str">
        <x:v>basis_grounding</x:v>
      </x:c>
      <x:c r="AV49" s="48" t="str">
        <x:v>report_grounding</x:v>
      </x:c>
      <x:c r="AW49" s="48" t="str">
        <x:v>high</x:v>
      </x:c>
      <x:c r="AX49" s="48" t="str">
        <x:v>medium</x:v>
      </x:c>
      <x:c r="AY49" s="48" t="str">
        <x:v>report_plus_external</x:v>
      </x:c>
      <x:c r="AZ49" s="48" t="str">
        <x:v>True</x:v>
      </x:c>
      <x:c r="BA49" s="48"/>
      <x:c r="BB49" s="48" t="str">
        <x:v>auto_default</x:v>
      </x:c>
      <x:c r="BC49" s="48" t="str">
        <x:v>v1</x:v>
      </x:c>
      <x:c r="BD49" s="68"/>
    </x:row>
    <x:row r="50" ht="36" customHeight="1">
      <x:c r="A50" s="47" t="str">
        <x:v>2026-07-28</x:v>
      </x:c>
      <x:c r="B50" s="48" t="str">
        <x:v>PL009</x:v>
      </x:c>
      <x:c r="C50" s="48" t="str">
        <x:v>V01</x:v>
      </x:c>
      <x:c r="D50" s="48" t="str">
        <x:v>广东威诺高科技股份有限公司搬迁项目环境影响报告表</x:v>
      </x:c>
      <x:c r="E50" s="48" t="str">
        <x:v>广东威诺高科技股份有限公司搬迁项目</x:v>
      </x:c>
      <x:c r="F50" s="48" t="str">
        <x:v>PL009_EnvQuality_Q01</x:v>
      </x:c>
      <x:c r="G50" s="48" t="str">
        <x:v>大气及地表水环境质量现状数据引用</x:v>
      </x:c>
      <x:c r="H50" s="48" t="str">
        <x:v>请根据报告引用的环境质量公报及现状数据，判断大气和地表水环境质量现状数据引用是否准确。</x:v>
      </x:c>
      <x:c r="I50"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50"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50" s="48" t="str">
        <x:v>生态环境状况公报知识库; 收纳水体地表水执行标准</x:v>
      </x:c>
      <x:c r="L50" s="48" t="str">
        <x:v>2</x:v>
      </x:c>
      <x:c r="M50" s="48" t="str">
        <x:v>2</x:v>
      </x:c>
      <x:c r="N50" s="48" t="str">
        <x:v>False</x:v>
      </x:c>
      <x:c r="O50" s="48" t="str">
        <x:v>正确</x:v>
      </x:c>
      <x:c r="P50" s="48" t="str">
        <x:v>大气:正确; 地表水:正确; 报告日期:2023-08</x:v>
      </x:c>
      <x:c r="Q50" s="48"/>
      <x:c r="R50" s="48"/>
      <x:c r="S50" s="48" t="str">
        <x:v>是</x:v>
      </x:c>
      <x:c r="T50" s="48" t="str">
        <x:v>各项引用数据与公报一致（水质类别Ⅲ类与公报2022年度一致，但报告文字误写'2021年'，实际应为2022年；不影响达标结论；水质类别Ⅲ类与公报2022年度一致，但报告文字误写'2021年'，实际应为2022年；不影响达标结论）</x:v>
      </x:c>
      <x:c r="U50" s="48" t="str">
        <x:v>30个环评_大气及地表水环境质量现状数据引用复核QA</x:v>
      </x:c>
      <x:c r="V50" s="48" t="str">
        <x:v>环境质量数据引用</x:v>
      </x:c>
      <x:c r="W50" s="48" t="str">
        <x:v>正确</x:v>
      </x:c>
      <x:c r="X50" s="48" t="str">
        <x:v>无误</x:v>
      </x:c>
      <x:c r="Y50" s="64"/>
      <x:c r="Z50" s="64" t="str">
        <x:v>未复核</x:v>
      </x:c>
      <x:c r="AA50" s="64" t="str">
        <x:v>部分充分</x:v>
      </x:c>
      <x:c r="AB50" s="64" t="str">
        <x:v>有效</x:v>
      </x:c>
      <x:c r="AC50" s="64" t="str">
        <x:v>部分核验</x:v>
      </x:c>
      <x:c r="AD50" s="64" t="str">
        <x:v>自动默认</x:v>
      </x:c>
      <x:c r="AE50" s="64" t="str">
        <x:v>候选池</x:v>
      </x:c>
      <x:c r="AF50" s="64" t="str">
        <x:v>A_仅待终审</x:v>
      </x:c>
      <x:c r="AG50" s="64"/>
      <x:c r="AH50" s="64"/>
      <x:c r="AI50" s="64"/>
      <x:c r="AJ50" s="64"/>
      <x:c r="AK50" s="64"/>
      <x:c r="AL50" s="64"/>
      <x:c r="AM50" s="64"/>
      <x:c r="AN50" s="48" t="str">
        <x:v>50</x:v>
      </x:c>
      <x:c r="AO50" s="48" t="str">
        <x:v>MAP_正确</x:v>
      </x:c>
      <x:c r="AP50" s="48" t="str">
        <x:v>存在报告证据，但尚未经人工逐项核验；已列依据来源，但未在本阶段逐条核验</x:v>
      </x:c>
      <x:c r="AQ50" s="64"/>
      <x:c r="AR50" s="48" t="str">
        <x:v>environmental_quality_data</x:v>
      </x:c>
      <x:c r="AS50" s="48" t="str">
        <x:v>L3_analysis</x:v>
      </x:c>
      <x:c r="AT50" s="48" t="str">
        <x:v>consistency_comparison</x:v>
      </x:c>
      <x:c r="AU50" s="48" t="str">
        <x:v>evidence_integration</x:v>
      </x:c>
      <x:c r="AV50" s="48" t="str">
        <x:v>report_grounding；basis_grounding</x:v>
      </x:c>
      <x:c r="AW50" s="48" t="str">
        <x:v>high</x:v>
      </x:c>
      <x:c r="AX50" s="48" t="str">
        <x:v>high</x:v>
      </x:c>
      <x:c r="AY50" s="48" t="str">
        <x:v>report_plus_external</x:v>
      </x:c>
      <x:c r="AZ50" s="48" t="str">
        <x:v>True</x:v>
      </x:c>
      <x:c r="BA50" s="48"/>
      <x:c r="BB50" s="48" t="str">
        <x:v>auto_default</x:v>
      </x:c>
      <x:c r="BC50" s="48" t="str">
        <x:v>v1</x:v>
      </x:c>
      <x:c r="BD50" s="68"/>
    </x:row>
    <x:row r="51" ht="36" customHeight="1">
      <x:c r="A51" s="47" t="str">
        <x:v>2026-07-27</x:v>
      </x:c>
      <x:c r="B51" s="48" t="str">
        <x:v>PL009</x:v>
      </x:c>
      <x:c r="C51" s="48" t="str">
        <x:v>V01</x:v>
      </x:c>
      <x:c r="D51" s="48" t="str">
        <x:v>PL009_广东威诺高科技股份有限公司搬迁项目_01_修改评估意见.docx</x:v>
      </x:c>
      <x:c r="E51" s="48" t="str">
        <x:v>广东威诺高科技股份有限公司搬迁项目</x:v>
      </x:c>
      <x:c r="F51" s="48" t="str">
        <x:v>PL009_Emission_水污</x:v>
      </x:c>
      <x:c r="G51" s="48" t="str">
        <x:v>污染物排放标准-水污染物排放标准</x:v>
      </x:c>
      <x:c r="H5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51" s="48" t="str">
        <x:v>1、水污染物排放标准中生活污水排放执行标准：无误；
2、水污染物排放标准结论的过程分析内容：无误。项目外排废水为生活污水，经三级化粪池处理后达到DB44/26-2001第二时段三级标准排入杏坛污水处理厂。知识库记录ESK-DOMESTIC-SEWAGE-LIMITS-002证实企业排口标准一致。污水处理厂出水执行GB18918-2002一级A标准及DB44/26-2001第二时段一级标准的较严值，与知识库记录ESK-SHUNDE-WWTP-MAPPING-012一致。报告将标准名称写为“水污染排放限值”（遗漏“物”字）和“GBl8918”（数字1误写为字母l），属书写瑕疵，不影响标准辨识。</x:v>
      </x:c>
      <x:c r="J51" s="4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x:v>
      </x:c>
      <x:c r="K51" s="48" t="str">
        <x:v>emission-standard-kb.jsonl; DB44/26-2001; DB44/2367-2022; GB31572-2015; GB14554-93; GB12348-2008; GB18597-2023; GB18599-2020</x:v>
      </x:c>
      <x:c r="L51" s="48" t="str">
        <x:v>2</x:v>
      </x:c>
      <x:c r="M51" s="48" t="str">
        <x:v>2</x:v>
      </x:c>
      <x:c r="N51" s="48" t="str">
        <x:v>False</x:v>
      </x:c>
      <x:c r="O51" s="48" t="str">
        <x:v>无误</x:v>
      </x:c>
      <x:c r="P51"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51" s="48"/>
      <x:c r="R51" s="48"/>
      <x:c r="S51" s="48" t="str">
        <x:v>否</x:v>
      </x:c>
      <x:c r="T51" s="48" t="str">
        <x:v>原综合排放标准问答对拆分而来</x:v>
      </x:c>
      <x:c r="U51" s="48" t="str">
        <x:v>30份环评_污染物排放控制执行标准复核QA(拆分版)</x:v>
      </x:c>
      <x:c r="V51" s="48" t="str">
        <x:v>水污染物排放标准</x:v>
      </x:c>
      <x:c r="W51" s="48" t="str">
        <x:v>无误</x:v>
      </x:c>
      <x:c r="X51" s="48" t="str">
        <x:v>无误</x:v>
      </x:c>
      <x:c r="Y51" s="64"/>
      <x:c r="Z51" s="64" t="str">
        <x:v>未复核</x:v>
      </x:c>
      <x:c r="AA51" s="64" t="str">
        <x:v>部分充分</x:v>
      </x:c>
      <x:c r="AB51" s="64" t="str">
        <x:v>有效</x:v>
      </x:c>
      <x:c r="AC51" s="64" t="str">
        <x:v>部分核验</x:v>
      </x:c>
      <x:c r="AD51" s="64" t="str">
        <x:v>自动默认</x:v>
      </x:c>
      <x:c r="AE51" s="64" t="str">
        <x:v>候选池</x:v>
      </x:c>
      <x:c r="AF51" s="64" t="str">
        <x:v>待分流</x:v>
      </x:c>
      <x:c r="AG51" s="64"/>
      <x:c r="AH51" s="64"/>
      <x:c r="AI51" s="64"/>
      <x:c r="AJ51" s="64"/>
      <x:c r="AK51" s="64"/>
      <x:c r="AL51" s="64"/>
      <x:c r="AM51" s="64"/>
      <x:c r="AN51" s="48" t="str">
        <x:v>51</x:v>
      </x:c>
      <x:c r="AO51" s="48" t="str">
        <x:v>MAP_无误</x:v>
      </x:c>
      <x:c r="AP51" s="48" t="str">
        <x:v>存在报告证据，但尚未经人工逐项核验；已列依据来源，但未在本阶段逐条核验</x:v>
      </x:c>
      <x:c r="AQ51" s="64"/>
      <x:c r="AR51" s="48" t="str">
        <x:v>water_emission_standard</x:v>
      </x:c>
      <x:c r="AS51" s="48" t="str">
        <x:v>L3_analysis</x:v>
      </x:c>
      <x:c r="AT51" s="48" t="str">
        <x:v>rule_applicability</x:v>
      </x:c>
      <x:c r="AU51" s="48" t="str">
        <x:v>basis_grounding</x:v>
      </x:c>
      <x:c r="AV51" s="48" t="str">
        <x:v>report_grounding；procedural_reasoning</x:v>
      </x:c>
      <x:c r="AW51" s="48" t="str">
        <x:v>high</x:v>
      </x:c>
      <x:c r="AX51" s="48" t="str">
        <x:v>high</x:v>
      </x:c>
      <x:c r="AY51" s="48" t="str">
        <x:v>report_plus_external</x:v>
      </x:c>
      <x:c r="AZ51" s="48" t="str">
        <x:v>True</x:v>
      </x:c>
      <x:c r="BA51" s="48"/>
      <x:c r="BB51" s="48" t="str">
        <x:v>auto_default</x:v>
      </x:c>
      <x:c r="BC51" s="48" t="str">
        <x:v>v1</x:v>
      </x:c>
      <x:c r="BD51" s="68"/>
    </x:row>
    <x:row r="52" ht="36" customHeight="1">
      <x:c r="A52" s="47" t="str">
        <x:v>2026-07-27</x:v>
      </x:c>
      <x:c r="B52" s="48" t="str">
        <x:v>PL009</x:v>
      </x:c>
      <x:c r="C52" s="48" t="str">
        <x:v>V01</x:v>
      </x:c>
      <x:c r="D52" s="48" t="str">
        <x:v>PL009_广东威诺高科技股份有限公司搬迁项目_01_修改评估意见.docx</x:v>
      </x:c>
      <x:c r="E52" s="48" t="str">
        <x:v>广东威诺高科技股份有限公司搬迁项目</x:v>
      </x:c>
      <x:c r="F52" s="48" t="str">
        <x:v>PL009_Emission_大气</x:v>
      </x:c>
      <x:c r="G52" s="48" t="str">
        <x:v>污染物排放标准-大气污染物排放标准</x:v>
      </x:c>
      <x:c r="H52" s="48" t="str">
        <x:v>请根据项目行业类别、生产工艺和污染因子，判断大气污染物排放标准选取是否合理。要求分析：污染源覆盖是否完整（列出所有大气污染源及对应标准），是否存在缺漏的污染源或标准。</x:v>
      </x:c>
      <x:c r="I52" s="48" t="str">
        <x:v>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x:v>
      </x:c>
      <x:c r="J52" s="4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x:v>
      </x:c>
      <x:c r="K52" s="48" t="str">
        <x:v>emission-standard-kb.jsonl; DB44/26-2001; DB44/2367-2022; GB31572-2015; GB14554-93; GB12348-2008; GB18597-2023; GB18599-2020</x:v>
      </x:c>
      <x:c r="L52" s="48" t="str">
        <x:v>2</x:v>
      </x:c>
      <x:c r="M52" s="48" t="str">
        <x:v>2</x:v>
      </x:c>
      <x:c r="N52" s="48" t="str">
        <x:v>False</x:v>
      </x:c>
      <x:c r="O52" s="48" t="str">
        <x:v>存在错误</x:v>
      </x:c>
      <x:c r="P52"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52" s="48"/>
      <x:c r="R52" s="48"/>
      <x:c r="S52" s="48" t="str">
        <x:v>是</x:v>
      </x:c>
      <x:c r="T52" s="48" t="str">
        <x:v>原综合排放标准问答对拆分而来</x:v>
      </x:c>
      <x:c r="U52" s="48" t="str">
        <x:v>30份环评_污染物排放控制执行标准复核QA(拆分版)</x:v>
      </x:c>
      <x:c r="V52" s="48" t="str">
        <x:v>大气污染物排放标准</x:v>
      </x:c>
      <x:c r="W52" s="48" t="str">
        <x:v>存在错误</x:v>
      </x:c>
      <x:c r="X52" s="48" t="str">
        <x:v>存在错误</x:v>
      </x:c>
      <x:c r="Y52" s="64"/>
      <x:c r="Z52" s="64" t="str">
        <x:v>未复核</x:v>
      </x:c>
      <x:c r="AA52" s="64" t="str">
        <x:v>部分充分</x:v>
      </x:c>
      <x:c r="AB52" s="64" t="str">
        <x:v>有效</x:v>
      </x:c>
      <x:c r="AC52" s="64" t="str">
        <x:v>部分核验</x:v>
      </x:c>
      <x:c r="AD52" s="64" t="str">
        <x:v>自动默认</x:v>
      </x:c>
      <x:c r="AE52" s="64" t="str">
        <x:v>候选池</x:v>
      </x:c>
      <x:c r="AF52" s="64" t="str">
        <x:v>A_仅待终审</x:v>
      </x:c>
      <x:c r="AG52" s="64"/>
      <x:c r="AH52" s="64"/>
      <x:c r="AI52" s="64"/>
      <x:c r="AJ52" s="64"/>
      <x:c r="AK52" s="64"/>
      <x:c r="AL52" s="64"/>
      <x:c r="AM52" s="64"/>
      <x:c r="AN52" s="48" t="str">
        <x:v>52</x:v>
      </x:c>
      <x:c r="AO52" s="48" t="str">
        <x:v>MAP_存在错误</x:v>
      </x:c>
      <x:c r="AP52" s="48" t="str">
        <x:v>存在报告证据，但尚未经人工逐项核验；已列依据来源，但未在本阶段逐条核验</x:v>
      </x:c>
      <x:c r="AQ52" s="64"/>
      <x:c r="AR52" s="48" t="str">
        <x:v>air_emission_standard</x:v>
      </x:c>
      <x:c r="AS52" s="48" t="str">
        <x:v>L3_analysis</x:v>
      </x:c>
      <x:c r="AT52" s="48" t="str">
        <x:v>multi_evidence_synthesis</x:v>
      </x:c>
      <x:c r="AU52" s="48" t="str">
        <x:v>basis_grounding</x:v>
      </x:c>
      <x:c r="AV52" s="48" t="str">
        <x:v>report_grounding；evidence_integration</x:v>
      </x:c>
      <x:c r="AW52" s="48" t="str">
        <x:v>high</x:v>
      </x:c>
      <x:c r="AX52" s="48" t="str">
        <x:v>high</x:v>
      </x:c>
      <x:c r="AY52" s="48" t="str">
        <x:v>report_plus_external</x:v>
      </x:c>
      <x:c r="AZ52" s="48" t="str">
        <x:v>True</x:v>
      </x:c>
      <x:c r="BA52" s="48"/>
      <x:c r="BB52" s="48" t="str">
        <x:v>auto_default</x:v>
      </x:c>
      <x:c r="BC52" s="48" t="str">
        <x:v>v1</x:v>
      </x:c>
      <x:c r="BD52" s="68"/>
    </x:row>
    <x:row r="53" ht="36" customHeight="1">
      <x:c r="A53" s="47" t="str">
        <x:v>2026-07-27</x:v>
      </x:c>
      <x:c r="B53" s="48" t="str">
        <x:v>PL009</x:v>
      </x:c>
      <x:c r="C53" s="48" t="str">
        <x:v>V01</x:v>
      </x:c>
      <x:c r="D53" s="48" t="str">
        <x:v>PL009_广东威诺高科技股份有限公司搬迁项目_01_修改评估意见.docx</x:v>
      </x:c>
      <x:c r="E53" s="48" t="str">
        <x:v>广东威诺高科技股份有限公司搬迁项目</x:v>
      </x:c>
      <x:c r="F53" s="48" t="str">
        <x:v>PL009_Emission_噪声</x:v>
      </x:c>
      <x:c r="G53" s="48" t="str">
        <x:v>污染物排放标准-噪声排放标准</x:v>
      </x:c>
      <x:c r="H53" s="48" t="str">
        <x:v>请根据项目所属声环境功能区类别，判断噪声排放标准选取是否合理。要求总结声功能区类型、厂界执行标准（GB12348-2008）及昼夜限值，并与环评编制内容进行一致性分析。</x:v>
      </x:c>
      <x:c r="I53" s="48" t="str">
        <x:v>1、噪声排放标准中执行标准与排放限值内容：无误；
2、无误。项目厂界噪声执行GB12348-2008 3类标准，昼间≤65dB(A)，夜间≤55dB(A)，与知识库记录ESK-GB12348-TABLE1-004一致。</x:v>
      </x:c>
      <x:c r="J53" s="48" t="str">
        <x:v>噪声】“项目厂界噪声执行《工业企业厂界环境噪声排放标准》（GB12348-2008）中的3类标准：昼间≤65dB（A），夜间≤55dB（A）。”</x:v>
      </x:c>
      <x:c r="K53" s="48" t="str">
        <x:v>emission-standard-kb.jsonl; DB44/26-2001; DB44/2367-2022; GB31572-2015; GB14554-93; GB12348-2008; GB18597-2023; GB18599-2020</x:v>
      </x:c>
      <x:c r="L53" s="48" t="str">
        <x:v>2</x:v>
      </x:c>
      <x:c r="M53" s="48" t="str">
        <x:v>2</x:v>
      </x:c>
      <x:c r="N53" s="48" t="str">
        <x:v>False</x:v>
      </x:c>
      <x:c r="O53" s="48" t="str">
        <x:v>无误</x:v>
      </x:c>
      <x:c r="P53"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53" s="48"/>
      <x:c r="R53" s="48"/>
      <x:c r="S53" s="48" t="str">
        <x:v>否</x:v>
      </x:c>
      <x:c r="T53" s="48" t="str">
        <x:v>原综合排放标准问答对拆分而来</x:v>
      </x:c>
      <x:c r="U53" s="48" t="str">
        <x:v>30份环评_污染物排放控制执行标准复核QA(拆分版)</x:v>
      </x:c>
      <x:c r="V53" s="48" t="str">
        <x:v>噪声排放标准</x:v>
      </x:c>
      <x:c r="W53" s="48" t="str">
        <x:v>无误</x:v>
      </x:c>
      <x:c r="X53" s="48" t="str">
        <x:v>无误</x:v>
      </x:c>
      <x:c r="Y53" s="64"/>
      <x:c r="Z53" s="64" t="str">
        <x:v>未复核</x:v>
      </x:c>
      <x:c r="AA53" s="64" t="str">
        <x:v>部分充分</x:v>
      </x:c>
      <x:c r="AB53" s="64" t="str">
        <x:v>有效</x:v>
      </x:c>
      <x:c r="AC53" s="64" t="str">
        <x:v>部分核验</x:v>
      </x:c>
      <x:c r="AD53" s="64" t="str">
        <x:v>自动默认</x:v>
      </x:c>
      <x:c r="AE53" s="64" t="str">
        <x:v>候选池</x:v>
      </x:c>
      <x:c r="AF53" s="64" t="str">
        <x:v>待分流</x:v>
      </x:c>
      <x:c r="AG53" s="64"/>
      <x:c r="AH53" s="64"/>
      <x:c r="AI53" s="64"/>
      <x:c r="AJ53" s="64"/>
      <x:c r="AK53" s="64"/>
      <x:c r="AL53" s="64"/>
      <x:c r="AM53" s="64"/>
      <x:c r="AN53" s="48" t="str">
        <x:v>53</x:v>
      </x:c>
      <x:c r="AO53" s="48" t="str">
        <x:v>MAP_无误</x:v>
      </x:c>
      <x:c r="AP53" s="48" t="str">
        <x:v>存在报告证据，但尚未经人工逐项核验；已列依据来源，但未在本阶段逐条核验</x:v>
      </x:c>
      <x:c r="AQ53" s="64"/>
      <x:c r="AR53" s="48" t="str">
        <x:v>noise_emission_standard</x:v>
      </x:c>
      <x:c r="AS53" s="48" t="str">
        <x:v>L2_application</x:v>
      </x:c>
      <x:c r="AT53" s="48" t="str">
        <x:v>rule_applicability</x:v>
      </x:c>
      <x:c r="AU53" s="48" t="str">
        <x:v>basis_grounding</x:v>
      </x:c>
      <x:c r="AV53" s="48" t="str">
        <x:v>report_grounding</x:v>
      </x:c>
      <x:c r="AW53" s="48" t="str">
        <x:v>high</x:v>
      </x:c>
      <x:c r="AX53" s="48" t="str">
        <x:v>medium</x:v>
      </x:c>
      <x:c r="AY53" s="48" t="str">
        <x:v>report_plus_external</x:v>
      </x:c>
      <x:c r="AZ53" s="48" t="str">
        <x:v>True</x:v>
      </x:c>
      <x:c r="BA53" s="48"/>
      <x:c r="BB53" s="48" t="str">
        <x:v>auto_default</x:v>
      </x:c>
      <x:c r="BC53" s="48" t="str">
        <x:v>v1</x:v>
      </x:c>
      <x:c r="BD53" s="68"/>
    </x:row>
    <x:row r="54" ht="36" customHeight="1">
      <x:c r="A54" s="47" t="str">
        <x:v>2026-07-27</x:v>
      </x:c>
      <x:c r="B54" s="48" t="str">
        <x:v>PL009</x:v>
      </x:c>
      <x:c r="C54" s="48" t="str">
        <x:v>V01</x:v>
      </x:c>
      <x:c r="D54" s="48" t="str">
        <x:v>PL009_广东威诺高科技股份有限公司搬迁项目_01_修改评估意见.docx</x:v>
      </x:c>
      <x:c r="E54" s="48" t="str">
        <x:v>广东威诺高科技股份有限公司搬迁项目</x:v>
      </x:c>
      <x:c r="F54" s="48" t="str">
        <x:v>PL009_Emission_固体</x:v>
      </x:c>
      <x:c r="G54" s="48" t="str">
        <x:v>污染物排放标准-固体废物控制标准</x:v>
      </x:c>
      <x:c r="H54" s="48" t="str">
        <x:v>请根据项目产生的固体废物和危险废物类型，判断固体废物控制标准选取是否合理。要求总结一般工业固体废物和危险废物执行标准的标准名称及编号，分析是否缺少必要标准条目。</x:v>
      </x:c>
      <x:c r="I54"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54" s="48" t="str">
        <x:v>固废】“危险废物、一般工业固废在厂区内暂存应符合《危险废物贮存污染控制标准》（GB18597-2023）、《一般工业固体废物贮存、处置场污染控制标准》（GB18599-2020）、《广东省固体废物污染环境防治条例》等要求”</x:v>
      </x:c>
      <x:c r="K54" s="48" t="str">
        <x:v>emission-standard-kb.jsonl; DB44/26-2001; DB44/2367-2022; GB31572-2015; GB14554-93; GB12348-2008; GB18597-2023; GB18599-2020</x:v>
      </x:c>
      <x:c r="L54" s="48" t="str">
        <x:v>2</x:v>
      </x:c>
      <x:c r="M54" s="48" t="str">
        <x:v>2</x:v>
      </x:c>
      <x:c r="N54" s="48" t="str">
        <x:v>False</x:v>
      </x:c>
      <x:c r="O54" s="48" t="str">
        <x:v>无误</x:v>
      </x:c>
      <x:c r="P54"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54" s="48"/>
      <x:c r="R54" s="48"/>
      <x:c r="S54" s="48" t="str">
        <x:v>否</x:v>
      </x:c>
      <x:c r="T54" s="48" t="str">
        <x:v>修正：GB18599-2020不在知识库必须满足的标准清单中，原判定依据已更正。原综合排放标准问答对拆分而来</x:v>
      </x:c>
      <x:c r="U54" s="48" t="str">
        <x:v>30份环评_污染物排放控制执行标准复核QA(拆分版)</x:v>
      </x:c>
      <x:c r="V54" s="48" t="str">
        <x:v>固体废物控制标准</x:v>
      </x:c>
      <x:c r="W54" s="48" t="str">
        <x:v>无误</x:v>
      </x:c>
      <x:c r="X54" s="48" t="str">
        <x:v>无误</x:v>
      </x:c>
      <x:c r="Y54" s="64"/>
      <x:c r="Z54" s="64" t="str">
        <x:v>未复核</x:v>
      </x:c>
      <x:c r="AA54" s="64" t="str">
        <x:v>部分充分</x:v>
      </x:c>
      <x:c r="AB54" s="64" t="str">
        <x:v>有效</x:v>
      </x:c>
      <x:c r="AC54" s="64" t="str">
        <x:v>部分核验</x:v>
      </x:c>
      <x:c r="AD54" s="64" t="str">
        <x:v>自动默认</x:v>
      </x:c>
      <x:c r="AE54" s="64" t="str">
        <x:v>候选池</x:v>
      </x:c>
      <x:c r="AF54" s="64" t="str">
        <x:v>待分流</x:v>
      </x:c>
      <x:c r="AG54" s="64"/>
      <x:c r="AH54" s="64"/>
      <x:c r="AI54" s="64"/>
      <x:c r="AJ54" s="64"/>
      <x:c r="AK54" s="64"/>
      <x:c r="AL54" s="64"/>
      <x:c r="AM54" s="64"/>
      <x:c r="AN54" s="48" t="str">
        <x:v>54</x:v>
      </x:c>
      <x:c r="AO54" s="48" t="str">
        <x:v>MAP_无误</x:v>
      </x:c>
      <x:c r="AP54" s="48" t="str">
        <x:v>存在报告证据，但尚未经人工逐项核验；已列依据来源，但未在本阶段逐条核验</x:v>
      </x:c>
      <x:c r="AQ54" s="64"/>
      <x:c r="AR54" s="48" t="str">
        <x:v>solid_waste_standard</x:v>
      </x:c>
      <x:c r="AS54" s="48" t="str">
        <x:v>L2_application</x:v>
      </x:c>
      <x:c r="AT54" s="48" t="str">
        <x:v>rule_applicability</x:v>
      </x:c>
      <x:c r="AU54" s="48" t="str">
        <x:v>basis_grounding</x:v>
      </x:c>
      <x:c r="AV54" s="48" t="str">
        <x:v>report_grounding</x:v>
      </x:c>
      <x:c r="AW54" s="48" t="str">
        <x:v>high</x:v>
      </x:c>
      <x:c r="AX54" s="48" t="str">
        <x:v>medium</x:v>
      </x:c>
      <x:c r="AY54" s="48" t="str">
        <x:v>report_plus_external</x:v>
      </x:c>
      <x:c r="AZ54" s="48" t="str">
        <x:v>True</x:v>
      </x:c>
      <x:c r="BA54" s="48"/>
      <x:c r="BB54" s="48" t="str">
        <x:v>auto_default</x:v>
      </x:c>
      <x:c r="BC54" s="48" t="str">
        <x:v>v1</x:v>
      </x:c>
      <x:c r="BD54" s="68"/>
    </x:row>
    <x:row r="55" ht="36" customHeight="1">
      <x:c r="A55" s="47" t="str">
        <x:v>2026-07-28</x:v>
      </x:c>
      <x:c r="B55" s="48" t="str">
        <x:v>PL010</x:v>
      </x:c>
      <x:c r="C55" s="48" t="str">
        <x:v>V01</x:v>
      </x:c>
      <x:c r="D55" s="48" t="str">
        <x:v>悍高集团股份有限公司功能拉篮车间搬迁扩建项目环境影响报告表</x:v>
      </x:c>
      <x:c r="E55" s="48" t="str">
        <x:v>悍高集团股份有限公司功能拉篮车间搬迁扩建项目</x:v>
      </x:c>
      <x:c r="F55" s="48" t="str">
        <x:v>PL010_EnvQuality_Q01</x:v>
      </x:c>
      <x:c r="G55" s="48" t="str">
        <x:v>大气及地表水环境质量现状数据引用</x:v>
      </x:c>
      <x:c r="H55" s="48" t="str">
        <x:v>请根据报告引用的环境质量公报及现状数据，判断大气和地表水环境质量现状数据引用是否准确。</x:v>
      </x:c>
      <x:c r="I55"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55" s="48" t="str">
        <x:v>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55" s="48" t="str">
        <x:v>生态环境状况公报知识库; 收纳水体地表水执行标准</x:v>
      </x:c>
      <x:c r="L55" s="48" t="str">
        <x:v>2</x:v>
      </x:c>
      <x:c r="M55" s="48" t="str">
        <x:v>2</x:v>
      </x:c>
      <x:c r="N55" s="48" t="str">
        <x:v>False</x:v>
      </x:c>
      <x:c r="O55" s="48" t="str">
        <x:v>正确</x:v>
      </x:c>
      <x:c r="P55" s="48" t="str">
        <x:v>大气:正确; 地表水:正确; 报告日期:2023-10</x:v>
      </x:c>
      <x:c r="Q55" s="48"/>
      <x:c r="R55" s="48"/>
      <x:c r="S55" s="48" t="str">
        <x:v>是</x:v>
      </x:c>
      <x:c r="T55" s="48" t="str">
        <x:v>各项引用数据与公报一致，无需修正</x:v>
      </x:c>
      <x:c r="U55" s="48" t="str">
        <x:v>30个环评_大气及地表水环境质量现状数据引用复核QA</x:v>
      </x:c>
      <x:c r="V55" s="48" t="str">
        <x:v>环境质量数据引用</x:v>
      </x:c>
      <x:c r="W55" s="48" t="str">
        <x:v>正确</x:v>
      </x:c>
      <x:c r="X55" s="48" t="str">
        <x:v>无误</x:v>
      </x:c>
      <x:c r="Y55" s="64"/>
      <x:c r="Z55" s="64" t="str">
        <x:v>未复核</x:v>
      </x:c>
      <x:c r="AA55" s="64" t="str">
        <x:v>部分充分</x:v>
      </x:c>
      <x:c r="AB55" s="64" t="str">
        <x:v>有效</x:v>
      </x:c>
      <x:c r="AC55" s="64" t="str">
        <x:v>部分核验</x:v>
      </x:c>
      <x:c r="AD55" s="64" t="str">
        <x:v>自动默认</x:v>
      </x:c>
      <x:c r="AE55" s="64" t="str">
        <x:v>候选池</x:v>
      </x:c>
      <x:c r="AF55" s="64" t="str">
        <x:v>A_仅待终审</x:v>
      </x:c>
      <x:c r="AG55" s="64"/>
      <x:c r="AH55" s="64"/>
      <x:c r="AI55" s="64"/>
      <x:c r="AJ55" s="64"/>
      <x:c r="AK55" s="64"/>
      <x:c r="AL55" s="64"/>
      <x:c r="AM55" s="64"/>
      <x:c r="AN55" s="48" t="str">
        <x:v>55</x:v>
      </x:c>
      <x:c r="AO55" s="48" t="str">
        <x:v>MAP_正确</x:v>
      </x:c>
      <x:c r="AP55" s="48" t="str">
        <x:v>存在报告证据，但尚未经人工逐项核验；已列依据来源，但未在本阶段逐条核验</x:v>
      </x:c>
      <x:c r="AQ55" s="64"/>
      <x:c r="AR55" s="48" t="str">
        <x:v>environmental_quality_data</x:v>
      </x:c>
      <x:c r="AS55" s="48" t="str">
        <x:v>L3_analysis</x:v>
      </x:c>
      <x:c r="AT55" s="48" t="str">
        <x:v>consistency_comparison</x:v>
      </x:c>
      <x:c r="AU55" s="48" t="str">
        <x:v>evidence_integration</x:v>
      </x:c>
      <x:c r="AV55" s="48" t="str">
        <x:v>report_grounding；basis_grounding</x:v>
      </x:c>
      <x:c r="AW55" s="48" t="str">
        <x:v>high</x:v>
      </x:c>
      <x:c r="AX55" s="48" t="str">
        <x:v>high</x:v>
      </x:c>
      <x:c r="AY55" s="48" t="str">
        <x:v>report_plus_external</x:v>
      </x:c>
      <x:c r="AZ55" s="48" t="str">
        <x:v>True</x:v>
      </x:c>
      <x:c r="BA55" s="48"/>
      <x:c r="BB55" s="48" t="str">
        <x:v>auto_default</x:v>
      </x:c>
      <x:c r="BC55" s="48" t="str">
        <x:v>v1</x:v>
      </x:c>
      <x:c r="BD55" s="68"/>
    </x:row>
    <x:row r="56" ht="36" customHeight="1">
      <x:c r="A56" s="47" t="str">
        <x:v>2026-07-27</x:v>
      </x:c>
      <x:c r="B56" s="48" t="str">
        <x:v>PL010</x:v>
      </x:c>
      <x:c r="C56" s="48" t="str">
        <x:v>V01</x:v>
      </x:c>
      <x:c r="D56" s="48" t="str">
        <x:v>PL010_悍高集团股份有限公司功能拉篮车间搬迁扩建项目_01_修改评估意见.docx</x:v>
      </x:c>
      <x:c r="E56" s="48" t="str">
        <x:v>悍高集团股份有限公司功能拉篮车间搬迁扩建项目</x:v>
      </x:c>
      <x:c r="F56" s="48" t="str">
        <x:v>PL010_Emission_水污</x:v>
      </x:c>
      <x:c r="G56" s="48" t="str">
        <x:v>污染物排放标准-水污染物排放标准</x:v>
      </x:c>
      <x:c r="H5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56" s="48" t="str">
        <x:v>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x:v>
      </x:c>
      <x:c r="J56" s="48" t="str">
        <x:v>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x:v>
      </x:c>
      <x:c r="K56" s="48" t="str">
        <x:v>emission-standard-kb.jsonl; DB44/26-2001; DB44/2367-2022; GB31572-2015; GB14554-93; GB12348-2008; GB18597-2023; GB18599-2020</x:v>
      </x:c>
      <x:c r="L56" s="48" t="str">
        <x:v>2</x:v>
      </x:c>
      <x:c r="M56" s="48" t="str">
        <x:v>2</x:v>
      </x:c>
      <x:c r="N56" s="48" t="str">
        <x:v>False</x:v>
      </x:c>
      <x:c r="O56" s="48" t="str">
        <x:v>存在缺漏</x:v>
      </x:c>
      <x:c r="P56"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56" s="48"/>
      <x:c r="R56" s="48"/>
      <x:c r="S56" s="48" t="str">
        <x:v>是</x:v>
      </x:c>
      <x:c r="T56" s="48" t="str">
        <x:v>原综合排放标准问答对拆分而来</x:v>
      </x:c>
      <x:c r="U56" s="48" t="str">
        <x:v>30份环评_污染物排放控制执行标准复核QA(拆分版)</x:v>
      </x:c>
      <x:c r="V56" s="48" t="str">
        <x:v>水污染物排放标准</x:v>
      </x:c>
      <x:c r="W56" s="48" t="str">
        <x:v>存在缺漏</x:v>
      </x:c>
      <x:c r="X56" s="48" t="str">
        <x:v>存在缺漏</x:v>
      </x:c>
      <x:c r="Y56" s="64"/>
      <x:c r="Z56" s="64" t="str">
        <x:v>未复核</x:v>
      </x:c>
      <x:c r="AA56" s="64" t="str">
        <x:v>部分充分</x:v>
      </x:c>
      <x:c r="AB56" s="64" t="str">
        <x:v>有效</x:v>
      </x:c>
      <x:c r="AC56" s="64" t="str">
        <x:v>部分核验</x:v>
      </x:c>
      <x:c r="AD56" s="64" t="str">
        <x:v>自动默认</x:v>
      </x:c>
      <x:c r="AE56" s="64" t="str">
        <x:v>候选池</x:v>
      </x:c>
      <x:c r="AF56" s="64" t="str">
        <x:v>A_仅待终审</x:v>
      </x:c>
      <x:c r="AG56" s="64"/>
      <x:c r="AH56" s="64"/>
      <x:c r="AI56" s="64"/>
      <x:c r="AJ56" s="64"/>
      <x:c r="AK56" s="64"/>
      <x:c r="AL56" s="64"/>
      <x:c r="AM56" s="64"/>
      <x:c r="AN56" s="48" t="str">
        <x:v>56</x:v>
      </x:c>
      <x:c r="AO56" s="48" t="str">
        <x:v>MAP_存在缺漏</x:v>
      </x:c>
      <x:c r="AP56" s="48" t="str">
        <x:v>存在报告证据，但尚未经人工逐项核验；已列依据来源，但未在本阶段逐条核验</x:v>
      </x:c>
      <x:c r="AQ56" s="64"/>
      <x:c r="AR56" s="48" t="str">
        <x:v>water_emission_standard</x:v>
      </x:c>
      <x:c r="AS56" s="48" t="str">
        <x:v>L3_analysis</x:v>
      </x:c>
      <x:c r="AT56" s="48" t="str">
        <x:v>rule_applicability</x:v>
      </x:c>
      <x:c r="AU56" s="48" t="str">
        <x:v>basis_grounding</x:v>
      </x:c>
      <x:c r="AV56" s="48" t="str">
        <x:v>report_grounding；procedural_reasoning</x:v>
      </x:c>
      <x:c r="AW56" s="48" t="str">
        <x:v>high</x:v>
      </x:c>
      <x:c r="AX56" s="48" t="str">
        <x:v>high</x:v>
      </x:c>
      <x:c r="AY56" s="48" t="str">
        <x:v>report_plus_external</x:v>
      </x:c>
      <x:c r="AZ56" s="48" t="str">
        <x:v>True</x:v>
      </x:c>
      <x:c r="BA56" s="48"/>
      <x:c r="BB56" s="48" t="str">
        <x:v>auto_default</x:v>
      </x:c>
      <x:c r="BC56" s="48" t="str">
        <x:v>v1</x:v>
      </x:c>
      <x:c r="BD56" s="68"/>
    </x:row>
    <x:row r="57" ht="36" customHeight="1">
      <x:c r="A57" s="47" t="str">
        <x:v>2026-07-27</x:v>
      </x:c>
      <x:c r="B57" s="48" t="str">
        <x:v>PL010</x:v>
      </x:c>
      <x:c r="C57" s="48" t="str">
        <x:v>V01</x:v>
      </x:c>
      <x:c r="D57" s="48" t="str">
        <x:v>PL010_悍高集团股份有限公司功能拉篮车间搬迁扩建项目_01_修改评估意见.docx</x:v>
      </x:c>
      <x:c r="E57" s="48" t="str">
        <x:v>悍高集团股份有限公司功能拉篮车间搬迁扩建项目</x:v>
      </x:c>
      <x:c r="F57" s="48" t="str">
        <x:v>PL010_Emission_大气</x:v>
      </x:c>
      <x:c r="G57" s="48" t="str">
        <x:v>污染物排放标准-大气污染物排放标准</x:v>
      </x:c>
      <x:c r="H57" s="48" t="str">
        <x:v>请根据项目行业类别、生产工艺和污染因子，判断大气污染物排放标准选取是否合理。要求分析：污染源覆盖是否完整（列出所有大气污染源及对应标准），是否存在缺漏的污染源或标准。</x:v>
      </x:c>
      <x:c r="I57" s="48" t="str">
        <x:v>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x:v>
      </x:c>
      <x:c r="J57" s="48" t="str">
        <x:v>大气】排放标准章节文本中未检出大气污染物排放标准的编制内容。</x:v>
      </x:c>
      <x:c r="K57" s="48" t="str">
        <x:v>emission-standard-kb.jsonl; DB44/26-2001; DB44/2367-2022; GB31572-2015; GB14554-93; GB12348-2008; GB18597-2023; GB18599-2020</x:v>
      </x:c>
      <x:c r="L57" s="48" t="str">
        <x:v>2</x:v>
      </x:c>
      <x:c r="M57" s="48" t="str">
        <x:v>2</x:v>
      </x:c>
      <x:c r="N57" s="48" t="str">
        <x:v>False</x:v>
      </x:c>
      <x:c r="O57" s="48" t="str">
        <x:v>存在缺漏</x:v>
      </x:c>
      <x:c r="P57"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57" s="48"/>
      <x:c r="R57" s="48"/>
      <x:c r="S57" s="48" t="str">
        <x:v>是</x:v>
      </x:c>
      <x:c r="T57" s="48" t="str">
        <x:v>原综合排放标准问答对拆分而来</x:v>
      </x:c>
      <x:c r="U57" s="48" t="str">
        <x:v>30份环评_污染物排放控制执行标准复核QA(拆分版)</x:v>
      </x:c>
      <x:c r="V57" s="48" t="str">
        <x:v>大气污染物排放标准</x:v>
      </x:c>
      <x:c r="W57" s="48" t="str">
        <x:v>存在缺漏</x:v>
      </x:c>
      <x:c r="X57" s="48" t="str">
        <x:v>存在缺漏</x:v>
      </x:c>
      <x:c r="Y57" s="64"/>
      <x:c r="Z57" s="64" t="str">
        <x:v>未复核</x:v>
      </x:c>
      <x:c r="AA57" s="64" t="str">
        <x:v>部分充分</x:v>
      </x:c>
      <x:c r="AB57" s="64" t="str">
        <x:v>有效</x:v>
      </x:c>
      <x:c r="AC57" s="64" t="str">
        <x:v>部分核验</x:v>
      </x:c>
      <x:c r="AD57" s="64" t="str">
        <x:v>自动默认</x:v>
      </x:c>
      <x:c r="AE57" s="64" t="str">
        <x:v>候选池</x:v>
      </x:c>
      <x:c r="AF57" s="64" t="str">
        <x:v>A_仅待终审</x:v>
      </x:c>
      <x:c r="AG57" s="64"/>
      <x:c r="AH57" s="64"/>
      <x:c r="AI57" s="64"/>
      <x:c r="AJ57" s="64"/>
      <x:c r="AK57" s="64"/>
      <x:c r="AL57" s="64"/>
      <x:c r="AM57" s="64"/>
      <x:c r="AN57" s="48" t="str">
        <x:v>57</x:v>
      </x:c>
      <x:c r="AO57" s="48" t="str">
        <x:v>MAP_存在缺漏</x:v>
      </x:c>
      <x:c r="AP57" s="48" t="str">
        <x:v>存在报告证据，但尚未经人工逐项核验；已列依据来源，但未在本阶段逐条核验</x:v>
      </x:c>
      <x:c r="AQ57" s="64"/>
      <x:c r="AR57" s="48" t="str">
        <x:v>air_emission_standard</x:v>
      </x:c>
      <x:c r="AS57" s="48" t="str">
        <x:v>L3_analysis</x:v>
      </x:c>
      <x:c r="AT57" s="48" t="str">
        <x:v>multi_evidence_synthesis</x:v>
      </x:c>
      <x:c r="AU57" s="48" t="str">
        <x:v>basis_grounding</x:v>
      </x:c>
      <x:c r="AV57" s="48" t="str">
        <x:v>report_grounding；evidence_integration</x:v>
      </x:c>
      <x:c r="AW57" s="48" t="str">
        <x:v>high</x:v>
      </x:c>
      <x:c r="AX57" s="48" t="str">
        <x:v>high</x:v>
      </x:c>
      <x:c r="AY57" s="48" t="str">
        <x:v>report_plus_external</x:v>
      </x:c>
      <x:c r="AZ57" s="48" t="str">
        <x:v>True</x:v>
      </x:c>
      <x:c r="BA57" s="48"/>
      <x:c r="BB57" s="48" t="str">
        <x:v>auto_default</x:v>
      </x:c>
      <x:c r="BC57" s="48" t="str">
        <x:v>v1</x:v>
      </x:c>
      <x:c r="BD57" s="68"/>
    </x:row>
    <x:row r="58" ht="36" customHeight="1">
      <x:c r="A58" s="47" t="str">
        <x:v>2026-07-27</x:v>
      </x:c>
      <x:c r="B58" s="48" t="str">
        <x:v>PL010</x:v>
      </x:c>
      <x:c r="C58" s="48" t="str">
        <x:v>V01</x:v>
      </x:c>
      <x:c r="D58" s="48" t="str">
        <x:v>PL010_悍高集团股份有限公司功能拉篮车间搬迁扩建项目_01_修改评估意见.docx</x:v>
      </x:c>
      <x:c r="E58" s="48" t="str">
        <x:v>悍高集团股份有限公司功能拉篮车间搬迁扩建项目</x:v>
      </x:c>
      <x:c r="F58" s="48" t="str">
        <x:v>PL010_Emission_噪声</x:v>
      </x:c>
      <x:c r="G58" s="48" t="str">
        <x:v>污染物排放标准-噪声排放标准</x:v>
      </x:c>
      <x:c r="H58" s="48" t="str">
        <x:v>请根据项目所属声环境功能区类别，判断噪声排放标准选取是否合理。要求总结声功能区类型、厂界执行标准（GB12348-2008）及昼夜限值，并与环评编制内容进行一致性分析。</x:v>
      </x:c>
      <x:c r="I58" s="48" t="str">
        <x:v>1、噪声排放标准中执行标准与排放限值内容：存在缺漏；
2、存在缺漏。排放标准章节文本中未列出厂界噪声排放执行标准的名称、编号、声功能区类别及昼夜限值。项目位于工业区域，应执行GB12348-2008相应类别标准，但报告未编制。</x:v>
      </x:c>
      <x:c r="J58" s="48" t="str">
        <x:v>噪声】排放标准章节文本中未检出噪声排放标准的编制内容。</x:v>
      </x:c>
      <x:c r="K58" s="48" t="str">
        <x:v>emission-standard-kb.jsonl; DB44/26-2001; DB44/2367-2022; GB31572-2015; GB14554-93; GB12348-2008; GB18597-2023; GB18599-2020</x:v>
      </x:c>
      <x:c r="L58" s="48" t="str">
        <x:v>2</x:v>
      </x:c>
      <x:c r="M58" s="48" t="str">
        <x:v>2</x:v>
      </x:c>
      <x:c r="N58" s="48" t="str">
        <x:v>False</x:v>
      </x:c>
      <x:c r="O58" s="48" t="str">
        <x:v>存在缺漏</x:v>
      </x:c>
      <x:c r="P58"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58" s="48"/>
      <x:c r="R58" s="48"/>
      <x:c r="S58" s="48" t="str">
        <x:v>是</x:v>
      </x:c>
      <x:c r="T58" s="48" t="str">
        <x:v>原综合排放标准问答对拆分而来</x:v>
      </x:c>
      <x:c r="U58" s="48" t="str">
        <x:v>30份环评_污染物排放控制执行标准复核QA(拆分版)</x:v>
      </x:c>
      <x:c r="V58" s="48" t="str">
        <x:v>噪声排放标准</x:v>
      </x:c>
      <x:c r="W58" s="48" t="str">
        <x:v>存在缺漏</x:v>
      </x:c>
      <x:c r="X58" s="48" t="str">
        <x:v>存在缺漏</x:v>
      </x:c>
      <x:c r="Y58" s="64"/>
      <x:c r="Z58" s="64" t="str">
        <x:v>未复核</x:v>
      </x:c>
      <x:c r="AA58" s="64" t="str">
        <x:v>部分充分</x:v>
      </x:c>
      <x:c r="AB58" s="64" t="str">
        <x:v>有效</x:v>
      </x:c>
      <x:c r="AC58" s="64" t="str">
        <x:v>部分核验</x:v>
      </x:c>
      <x:c r="AD58" s="64" t="str">
        <x:v>自动默认</x:v>
      </x:c>
      <x:c r="AE58" s="64" t="str">
        <x:v>候选池</x:v>
      </x:c>
      <x:c r="AF58" s="64" t="str">
        <x:v>A_仅待终审</x:v>
      </x:c>
      <x:c r="AG58" s="64"/>
      <x:c r="AH58" s="64"/>
      <x:c r="AI58" s="64"/>
      <x:c r="AJ58" s="64"/>
      <x:c r="AK58" s="64"/>
      <x:c r="AL58" s="64"/>
      <x:c r="AM58" s="64"/>
      <x:c r="AN58" s="48" t="str">
        <x:v>58</x:v>
      </x:c>
      <x:c r="AO58" s="48" t="str">
        <x:v>MAP_存在缺漏</x:v>
      </x:c>
      <x:c r="AP58" s="48" t="str">
        <x:v>存在报告证据，但尚未经人工逐项核验；已列依据来源，但未在本阶段逐条核验</x:v>
      </x:c>
      <x:c r="AQ58" s="64"/>
      <x:c r="AR58" s="48" t="str">
        <x:v>noise_emission_standard</x:v>
      </x:c>
      <x:c r="AS58" s="48" t="str">
        <x:v>L2_application</x:v>
      </x:c>
      <x:c r="AT58" s="48" t="str">
        <x:v>rule_applicability</x:v>
      </x:c>
      <x:c r="AU58" s="48" t="str">
        <x:v>basis_grounding</x:v>
      </x:c>
      <x:c r="AV58" s="48" t="str">
        <x:v>report_grounding</x:v>
      </x:c>
      <x:c r="AW58" s="48" t="str">
        <x:v>high</x:v>
      </x:c>
      <x:c r="AX58" s="48" t="str">
        <x:v>medium</x:v>
      </x:c>
      <x:c r="AY58" s="48" t="str">
        <x:v>report_plus_external</x:v>
      </x:c>
      <x:c r="AZ58" s="48" t="str">
        <x:v>True</x:v>
      </x:c>
      <x:c r="BA58" s="48"/>
      <x:c r="BB58" s="48" t="str">
        <x:v>auto_default</x:v>
      </x:c>
      <x:c r="BC58" s="48" t="str">
        <x:v>v1</x:v>
      </x:c>
      <x:c r="BD58" s="68"/>
    </x:row>
    <x:row r="59" ht="36" customHeight="1">
      <x:c r="A59" s="47" t="str">
        <x:v>2026-07-27</x:v>
      </x:c>
      <x:c r="B59" s="48" t="str">
        <x:v>PL010</x:v>
      </x:c>
      <x:c r="C59" s="48" t="str">
        <x:v>V01</x:v>
      </x:c>
      <x:c r="D59" s="48" t="str">
        <x:v>PL010_悍高集团股份有限公司功能拉篮车间搬迁扩建项目_01_修改评估意见.docx</x:v>
      </x:c>
      <x:c r="E59" s="48" t="str">
        <x:v>悍高集团股份有限公司功能拉篮车间搬迁扩建项目</x:v>
      </x:c>
      <x:c r="F59" s="48" t="str">
        <x:v>PL010_Emission_固体</x:v>
      </x:c>
      <x:c r="G59" s="48" t="str">
        <x:v>污染物排放标准-固体废物控制标准</x:v>
      </x:c>
      <x:c r="H59" s="48" t="str">
        <x:v>请根据项目产生的固体废物和危险废物类型，判断固体废物控制标准选取是否合理。要求总结一般工业固体废物和危险废物执行标准的标准名称及编号，分析是否缺少必要标准条目。</x:v>
      </x:c>
      <x:c r="I59"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59" s="48" t="str">
        <x:v>固废】排放标准章节文本中未检出固体废物控制标准的编制内容。</x:v>
      </x:c>
      <x:c r="K59" s="48" t="str">
        <x:v>emission-standard-kb.jsonl; DB44/26-2001; DB44/2367-2022; GB31572-2015; GB14554-93; GB12348-2008; GB18597-2023; GB18599-2020</x:v>
      </x:c>
      <x:c r="L59" s="48" t="str">
        <x:v>2</x:v>
      </x:c>
      <x:c r="M59" s="48" t="str">
        <x:v>2</x:v>
      </x:c>
      <x:c r="N59" s="48" t="str">
        <x:v>False</x:v>
      </x:c>
      <x:c r="O59" s="48" t="str">
        <x:v>无误</x:v>
      </x:c>
      <x:c r="P59"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59" s="48"/>
      <x:c r="R59" s="48"/>
      <x:c r="S59" s="48" t="str">
        <x:v>否</x:v>
      </x:c>
      <x:c r="T59" s="48" t="str">
        <x:v>修正：GB18599-2020不在知识库必须满足的标准清单中，原判定依据已更正。原综合排放标准问答对拆分而来</x:v>
      </x:c>
      <x:c r="U59" s="48" t="str">
        <x:v>30份环评_污染物排放控制执行标准复核QA(拆分版)</x:v>
      </x:c>
      <x:c r="V59" s="48" t="str">
        <x:v>固体废物控制标准</x:v>
      </x:c>
      <x:c r="W59" s="48" t="str">
        <x:v>无误</x:v>
      </x:c>
      <x:c r="X59" s="48" t="str">
        <x:v>无误</x:v>
      </x:c>
      <x:c r="Y59" s="64"/>
      <x:c r="Z59" s="64" t="str">
        <x:v>未复核</x:v>
      </x:c>
      <x:c r="AA59" s="64" t="str">
        <x:v>部分充分</x:v>
      </x:c>
      <x:c r="AB59" s="64" t="str">
        <x:v>有效</x:v>
      </x:c>
      <x:c r="AC59" s="64" t="str">
        <x:v>部分核验</x:v>
      </x:c>
      <x:c r="AD59" s="64" t="str">
        <x:v>自动默认</x:v>
      </x:c>
      <x:c r="AE59" s="64" t="str">
        <x:v>候选池</x:v>
      </x:c>
      <x:c r="AF59" s="64" t="str">
        <x:v>待分流</x:v>
      </x:c>
      <x:c r="AG59" s="64"/>
      <x:c r="AH59" s="64"/>
      <x:c r="AI59" s="64"/>
      <x:c r="AJ59" s="64"/>
      <x:c r="AK59" s="64"/>
      <x:c r="AL59" s="64"/>
      <x:c r="AM59" s="64"/>
      <x:c r="AN59" s="48" t="str">
        <x:v>59</x:v>
      </x:c>
      <x:c r="AO59" s="48" t="str">
        <x:v>MAP_无误</x:v>
      </x:c>
      <x:c r="AP59" s="48" t="str">
        <x:v>存在报告证据，但尚未经人工逐项核验；已列依据来源，但未在本阶段逐条核验</x:v>
      </x:c>
      <x:c r="AQ59" s="64"/>
      <x:c r="AR59" s="48" t="str">
        <x:v>solid_waste_standard</x:v>
      </x:c>
      <x:c r="AS59" s="48" t="str">
        <x:v>L2_application</x:v>
      </x:c>
      <x:c r="AT59" s="48" t="str">
        <x:v>rule_applicability</x:v>
      </x:c>
      <x:c r="AU59" s="48" t="str">
        <x:v>basis_grounding</x:v>
      </x:c>
      <x:c r="AV59" s="48" t="str">
        <x:v>report_grounding</x:v>
      </x:c>
      <x:c r="AW59" s="48" t="str">
        <x:v>high</x:v>
      </x:c>
      <x:c r="AX59" s="48" t="str">
        <x:v>medium</x:v>
      </x:c>
      <x:c r="AY59" s="48" t="str">
        <x:v>report_plus_external</x:v>
      </x:c>
      <x:c r="AZ59" s="48" t="str">
        <x:v>True</x:v>
      </x:c>
      <x:c r="BA59" s="48"/>
      <x:c r="BB59" s="48" t="str">
        <x:v>auto_default</x:v>
      </x:c>
      <x:c r="BC59" s="48" t="str">
        <x:v>v1</x:v>
      </x:c>
      <x:c r="BD59" s="68"/>
    </x:row>
    <x:row r="60" ht="36" customHeight="1">
      <x:c r="A60" s="47" t="str">
        <x:v>2026-07-28</x:v>
      </x:c>
      <x:c r="B60" s="48" t="str">
        <x:v>PL011</x:v>
      </x:c>
      <x:c r="C60" s="48" t="str">
        <x:v>V01</x:v>
      </x:c>
      <x:c r="D60" s="48" t="str">
        <x:v>广东潜龙化工有限公司新建项目环境影响报告表</x:v>
      </x:c>
      <x:c r="E60" s="48" t="str">
        <x:v>广东潜龙化工有限公司新建项目</x:v>
      </x:c>
      <x:c r="F60" s="48" t="str">
        <x:v>PL011_EnvQuality_Q01</x:v>
      </x:c>
      <x:c r="G60" s="48" t="str">
        <x:v>大气及地表水环境质量现状数据引用</x:v>
      </x:c>
      <x:c r="H60" s="48" t="str">
        <x:v>请根据报告引用的环境质量公报及现状数据，判断大气和地表水环境质量现状数据引用是否准确。</x:v>
      </x:c>
      <x:c r="I60"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60"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60" s="48" t="str">
        <x:v>生态环境状况公报知识库; 收纳水体地表水执行标准</x:v>
      </x:c>
      <x:c r="L60" s="48" t="str">
        <x:v>2</x:v>
      </x:c>
      <x:c r="M60" s="48" t="str">
        <x:v>2</x:v>
      </x:c>
      <x:c r="N60" s="48" t="str">
        <x:v>False</x:v>
      </x:c>
      <x:c r="O60" s="48" t="str">
        <x:v>正确</x:v>
      </x:c>
      <x:c r="P60" s="48" t="str">
        <x:v>大气:正确; 地表水:正确; 报告日期:2024-04</x:v>
      </x:c>
      <x:c r="Q60" s="48"/>
      <x:c r="R60" s="48"/>
      <x:c r="S60" s="48" t="str">
        <x:v>是</x:v>
      </x:c>
      <x:c r="T60" s="48" t="str">
        <x:v>各项引用数据与公报一致，无需修正</x:v>
      </x:c>
      <x:c r="U60" s="48" t="str">
        <x:v>30个环评_大气及地表水环境质量现状数据引用复核QA</x:v>
      </x:c>
      <x:c r="V60" s="48" t="str">
        <x:v>环境质量数据引用</x:v>
      </x:c>
      <x:c r="W60" s="48" t="str">
        <x:v>正确</x:v>
      </x:c>
      <x:c r="X60" s="48" t="str">
        <x:v>无误</x:v>
      </x:c>
      <x:c r="Y60" s="64"/>
      <x:c r="Z60" s="64" t="str">
        <x:v>未复核</x:v>
      </x:c>
      <x:c r="AA60" s="64" t="str">
        <x:v>部分充分</x:v>
      </x:c>
      <x:c r="AB60" s="64" t="str">
        <x:v>有效</x:v>
      </x:c>
      <x:c r="AC60" s="64" t="str">
        <x:v>部分核验</x:v>
      </x:c>
      <x:c r="AD60" s="64" t="str">
        <x:v>自动默认</x:v>
      </x:c>
      <x:c r="AE60" s="64" t="str">
        <x:v>候选池</x:v>
      </x:c>
      <x:c r="AF60" s="64" t="str">
        <x:v>A_仅待终审</x:v>
      </x:c>
      <x:c r="AG60" s="64"/>
      <x:c r="AH60" s="64"/>
      <x:c r="AI60" s="64"/>
      <x:c r="AJ60" s="64"/>
      <x:c r="AK60" s="64"/>
      <x:c r="AL60" s="64"/>
      <x:c r="AM60" s="64"/>
      <x:c r="AN60" s="48" t="str">
        <x:v>60</x:v>
      </x:c>
      <x:c r="AO60" s="48" t="str">
        <x:v>MAP_正确</x:v>
      </x:c>
      <x:c r="AP60" s="48" t="str">
        <x:v>存在报告证据，但尚未经人工逐项核验；已列依据来源，但未在本阶段逐条核验</x:v>
      </x:c>
      <x:c r="AQ60" s="64"/>
      <x:c r="AR60" s="48" t="str">
        <x:v>environmental_quality_data</x:v>
      </x:c>
      <x:c r="AS60" s="48" t="str">
        <x:v>L3_analysis</x:v>
      </x:c>
      <x:c r="AT60" s="48" t="str">
        <x:v>consistency_comparison</x:v>
      </x:c>
      <x:c r="AU60" s="48" t="str">
        <x:v>evidence_integration</x:v>
      </x:c>
      <x:c r="AV60" s="48" t="str">
        <x:v>report_grounding；basis_grounding</x:v>
      </x:c>
      <x:c r="AW60" s="48" t="str">
        <x:v>high</x:v>
      </x:c>
      <x:c r="AX60" s="48" t="str">
        <x:v>high</x:v>
      </x:c>
      <x:c r="AY60" s="48" t="str">
        <x:v>report_plus_external</x:v>
      </x:c>
      <x:c r="AZ60" s="48" t="str">
        <x:v>True</x:v>
      </x:c>
      <x:c r="BA60" s="48"/>
      <x:c r="BB60" s="48" t="str">
        <x:v>auto_default</x:v>
      </x:c>
      <x:c r="BC60" s="48" t="str">
        <x:v>v1</x:v>
      </x:c>
      <x:c r="BD60" s="68"/>
    </x:row>
    <x:row r="61" ht="36" customHeight="1">
      <x:c r="A61" s="47" t="str">
        <x:v>2026-07-27</x:v>
      </x:c>
      <x:c r="B61" s="48" t="str">
        <x:v>PL011</x:v>
      </x:c>
      <x:c r="C61" s="48" t="str">
        <x:v>V01</x:v>
      </x:c>
      <x:c r="D61" s="48" t="str">
        <x:v>PL011_广东潜龙化工有限公司新建项目_01_修改评估意见.docx</x:v>
      </x:c>
      <x:c r="E61" s="48" t="str">
        <x:v>广东潜龙化工有限公司新建项目</x:v>
      </x:c>
      <x:c r="F61" s="48" t="str">
        <x:v>PL011_Emission_水污</x:v>
      </x:c>
      <x:c r="G61" s="48" t="str">
        <x:v>污染物排放标准-水污染物排放标准</x:v>
      </x:c>
      <x:c r="H6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61" s="48" t="str">
        <x:v>1、水污染物排放标准中生活污水排放执行标准：无误；
2、水污染物排放标准结论的过程分析内容：无误。项目外排废水为生活污水，经三级化粪池处理达DB44/26-2001第二时段三级标准排入杏坛污水处理厂。知识库记录ESK-DOMESTIC-SEWAGE-LIMITS-002证实企业排口标准一致（COD 500mg/L）。污水处理厂出水执行GB18918-2002一级A标准及DB44/26-2001第二时段一级标准的较严值，与知识库记录ESK-SHUNDE-WWTP-MAPPING-012一致。企业排口标准与污水厂尾水标准分列正确。冷却塔排水和搅拌机电加热排水作为清净下水通过市政雨水管网排放，不适用生活污水排放标准，报告处理合理。</x:v>
      </x:c>
      <x:c r="J61" s="48" t="str">
        <x:v>水】“生活污水经三级化粪池处理达广东省地方标准《水污染物排放限值》（DB44/26-2001）第二时段三级标准排入杏坛污水处理厂集中处理，污水处理厂出水水质执行《城镇污水处理厂污染物排放标准》（GB18918-2002）一级A标准和广东省地方标准《水污染物排放限值》（DB44/26-2001）第二时段一级标准的较严值。”</x:v>
      </x:c>
      <x:c r="K61" s="48" t="str">
        <x:v>emission-standard-kb.jsonl; DB44/26-2001; DB44/2367-2022; GB31572-2015; GB14554-93; GB12348-2008; GB18597-2023; GB18599-2020</x:v>
      </x:c>
      <x:c r="L61" s="48" t="str">
        <x:v>2</x:v>
      </x:c>
      <x:c r="M61" s="48" t="str">
        <x:v>2</x:v>
      </x:c>
      <x:c r="N61" s="48" t="str">
        <x:v>False</x:v>
      </x:c>
      <x:c r="O61" s="48" t="str">
        <x:v>无误</x:v>
      </x:c>
      <x:c r="P61"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61" s="48"/>
      <x:c r="R61" s="48"/>
      <x:c r="S61" s="48" t="str">
        <x:v>否</x:v>
      </x:c>
      <x:c r="T61" s="48" t="str">
        <x:v>原综合排放标准问答对拆分而来</x:v>
      </x:c>
      <x:c r="U61" s="48" t="str">
        <x:v>30份环评_污染物排放控制执行标准复核QA(拆分版)</x:v>
      </x:c>
      <x:c r="V61" s="48" t="str">
        <x:v>水污染物排放标准</x:v>
      </x:c>
      <x:c r="W61" s="48" t="str">
        <x:v>无误</x:v>
      </x:c>
      <x:c r="X61" s="48" t="str">
        <x:v>无误</x:v>
      </x:c>
      <x:c r="Y61" s="64"/>
      <x:c r="Z61" s="64" t="str">
        <x:v>未复核</x:v>
      </x:c>
      <x:c r="AA61" s="64" t="str">
        <x:v>部分充分</x:v>
      </x:c>
      <x:c r="AB61" s="64" t="str">
        <x:v>有效</x:v>
      </x:c>
      <x:c r="AC61" s="64" t="str">
        <x:v>部分核验</x:v>
      </x:c>
      <x:c r="AD61" s="64" t="str">
        <x:v>自动默认</x:v>
      </x:c>
      <x:c r="AE61" s="64" t="str">
        <x:v>候选池</x:v>
      </x:c>
      <x:c r="AF61" s="64" t="str">
        <x:v>待分流</x:v>
      </x:c>
      <x:c r="AG61" s="64"/>
      <x:c r="AH61" s="64"/>
      <x:c r="AI61" s="64"/>
      <x:c r="AJ61" s="64"/>
      <x:c r="AK61" s="64"/>
      <x:c r="AL61" s="64"/>
      <x:c r="AM61" s="64"/>
      <x:c r="AN61" s="48" t="str">
        <x:v>61</x:v>
      </x:c>
      <x:c r="AO61" s="48" t="str">
        <x:v>MAP_无误</x:v>
      </x:c>
      <x:c r="AP61" s="48" t="str">
        <x:v>存在报告证据，但尚未经人工逐项核验；已列依据来源，但未在本阶段逐条核验</x:v>
      </x:c>
      <x:c r="AQ61" s="64"/>
      <x:c r="AR61" s="48" t="str">
        <x:v>water_emission_standard</x:v>
      </x:c>
      <x:c r="AS61" s="48" t="str">
        <x:v>L3_analysis</x:v>
      </x:c>
      <x:c r="AT61" s="48" t="str">
        <x:v>rule_applicability</x:v>
      </x:c>
      <x:c r="AU61" s="48" t="str">
        <x:v>basis_grounding</x:v>
      </x:c>
      <x:c r="AV61" s="48" t="str">
        <x:v>report_grounding；procedural_reasoning</x:v>
      </x:c>
      <x:c r="AW61" s="48" t="str">
        <x:v>high</x:v>
      </x:c>
      <x:c r="AX61" s="48" t="str">
        <x:v>high</x:v>
      </x:c>
      <x:c r="AY61" s="48" t="str">
        <x:v>report_plus_external</x:v>
      </x:c>
      <x:c r="AZ61" s="48" t="str">
        <x:v>True</x:v>
      </x:c>
      <x:c r="BA61" s="48"/>
      <x:c r="BB61" s="48" t="str">
        <x:v>auto_default</x:v>
      </x:c>
      <x:c r="BC61" s="48" t="str">
        <x:v>v1</x:v>
      </x:c>
      <x:c r="BD61" s="68"/>
    </x:row>
    <x:row r="62" ht="36" customHeight="1">
      <x:c r="A62" s="47" t="str">
        <x:v>2026-07-27</x:v>
      </x:c>
      <x:c r="B62" s="48" t="str">
        <x:v>PL011</x:v>
      </x:c>
      <x:c r="C62" s="48" t="str">
        <x:v>V01</x:v>
      </x:c>
      <x:c r="D62" s="48" t="str">
        <x:v>PL011_广东潜龙化工有限公司新建项目_01_修改评估意见.docx</x:v>
      </x:c>
      <x:c r="E62" s="48" t="str">
        <x:v>广东潜龙化工有限公司新建项目</x:v>
      </x:c>
      <x:c r="F62" s="48" t="str">
        <x:v>PL011_Emission_大气</x:v>
      </x:c>
      <x:c r="G62" s="48" t="str">
        <x:v>污染物排放标准-大气污染物排放标准</x:v>
      </x:c>
      <x:c r="H62" s="48" t="str">
        <x:v>请根据项目行业类别、生产工艺和污染因子，判断大气污染物排放标准选取是否合理。要求分析：污染源覆盖是否完整（列出所有大气污染源及对应标准），是否存在缺漏的污染源或标准。</x:v>
      </x:c>
      <x:c r="I62" s="48" t="str">
        <x:v>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x:v>
      </x:c>
      <x:c r="J62" s="48" t="str">
        <x:v>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x:v>
      </x:c>
      <x:c r="K62" s="48" t="str">
        <x:v>emission-standard-kb.jsonl; DB44/26-2001; DB44/2367-2022; GB31572-2015; GB14554-93; GB12348-2008; GB18597-2023; GB18599-2020</x:v>
      </x:c>
      <x:c r="L62" s="48" t="str">
        <x:v>2</x:v>
      </x:c>
      <x:c r="M62" s="48" t="str">
        <x:v>2</x:v>
      </x:c>
      <x:c r="N62" s="48" t="str">
        <x:v>False</x:v>
      </x:c>
      <x:c r="O62" s="48" t="str">
        <x:v>无误</x:v>
      </x:c>
      <x:c r="P62"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62" s="48"/>
      <x:c r="R62" s="48"/>
      <x:c r="S62" s="48" t="str">
        <x:v>否</x:v>
      </x:c>
      <x:c r="T62" s="48" t="str">
        <x:v>原综合排放标准问答对拆分而来</x:v>
      </x:c>
      <x:c r="U62" s="48" t="str">
        <x:v>30份环评_污染物排放控制执行标准复核QA(拆分版)</x:v>
      </x:c>
      <x:c r="V62" s="48" t="str">
        <x:v>大气污染物排放标准</x:v>
      </x:c>
      <x:c r="W62" s="48" t="str">
        <x:v>无误</x:v>
      </x:c>
      <x:c r="X62" s="48" t="str">
        <x:v>无误</x:v>
      </x:c>
      <x:c r="Y62" s="64"/>
      <x:c r="Z62" s="64" t="str">
        <x:v>未复核</x:v>
      </x:c>
      <x:c r="AA62" s="64" t="str">
        <x:v>部分充分</x:v>
      </x:c>
      <x:c r="AB62" s="64" t="str">
        <x:v>有效</x:v>
      </x:c>
      <x:c r="AC62" s="64" t="str">
        <x:v>部分核验</x:v>
      </x:c>
      <x:c r="AD62" s="64" t="str">
        <x:v>自动默认</x:v>
      </x:c>
      <x:c r="AE62" s="64" t="str">
        <x:v>候选池</x:v>
      </x:c>
      <x:c r="AF62" s="64" t="str">
        <x:v>待分流</x:v>
      </x:c>
      <x:c r="AG62" s="64"/>
      <x:c r="AH62" s="64"/>
      <x:c r="AI62" s="64"/>
      <x:c r="AJ62" s="64"/>
      <x:c r="AK62" s="64"/>
      <x:c r="AL62" s="64"/>
      <x:c r="AM62" s="64"/>
      <x:c r="AN62" s="48" t="str">
        <x:v>62</x:v>
      </x:c>
      <x:c r="AO62" s="48" t="str">
        <x:v>MAP_无误</x:v>
      </x:c>
      <x:c r="AP62" s="48" t="str">
        <x:v>存在报告证据，但尚未经人工逐项核验；已列依据来源，但未在本阶段逐条核验</x:v>
      </x:c>
      <x:c r="AQ62" s="64"/>
      <x:c r="AR62" s="48" t="str">
        <x:v>air_emission_standard</x:v>
      </x:c>
      <x:c r="AS62" s="48" t="str">
        <x:v>L3_analysis</x:v>
      </x:c>
      <x:c r="AT62" s="48" t="str">
        <x:v>multi_evidence_synthesis</x:v>
      </x:c>
      <x:c r="AU62" s="48" t="str">
        <x:v>basis_grounding</x:v>
      </x:c>
      <x:c r="AV62" s="48" t="str">
        <x:v>report_grounding；evidence_integration</x:v>
      </x:c>
      <x:c r="AW62" s="48" t="str">
        <x:v>high</x:v>
      </x:c>
      <x:c r="AX62" s="48" t="str">
        <x:v>high</x:v>
      </x:c>
      <x:c r="AY62" s="48" t="str">
        <x:v>report_plus_external</x:v>
      </x:c>
      <x:c r="AZ62" s="48" t="str">
        <x:v>True</x:v>
      </x:c>
      <x:c r="BA62" s="48"/>
      <x:c r="BB62" s="48" t="str">
        <x:v>auto_default</x:v>
      </x:c>
      <x:c r="BC62" s="48" t="str">
        <x:v>v1</x:v>
      </x:c>
      <x:c r="BD62" s="68"/>
    </x:row>
    <x:row r="63" ht="36" customHeight="1">
      <x:c r="A63" s="47" t="str">
        <x:v>2026-07-27</x:v>
      </x:c>
      <x:c r="B63" s="48" t="str">
        <x:v>PL011</x:v>
      </x:c>
      <x:c r="C63" s="48" t="str">
        <x:v>V01</x:v>
      </x:c>
      <x:c r="D63" s="48" t="str">
        <x:v>PL011_广东潜龙化工有限公司新建项目_01_修改评估意见.docx</x:v>
      </x:c>
      <x:c r="E63" s="48" t="str">
        <x:v>广东潜龙化工有限公司新建项目</x:v>
      </x:c>
      <x:c r="F63" s="48" t="str">
        <x:v>PL011_Emission_噪声</x:v>
      </x:c>
      <x:c r="G63" s="48" t="str">
        <x:v>污染物排放标准-噪声排放标准</x:v>
      </x:c>
      <x:c r="H63" s="48" t="str">
        <x:v>请根据项目所属声环境功能区类别，判断噪声排放标准选取是否合理。要求总结声功能区类型、厂界执行标准（GB12348-2008）及昼夜限值，并与环评编制内容进行一致性分析。</x:v>
      </x:c>
      <x:c r="I63" s="48" t="str">
        <x:v>1、噪声排放标准中执行标准与排放限值内容：无误；
2、无误。项目各厂界噪声执行GB12348-2008 3类标准，昼间≤65dB(A)，夜间≤55dB(A)，与知识库记录ESK-GB12348-TABLE1-004一致。报告声环境质量现状章节明确“本项目所在地属于3类声环境功能区”，声功能区类别与厂界排放标准类别对应正确。</x:v>
      </x:c>
      <x:c r="J63" s="48" t="str">
        <x:v>噪声】“项目各厂界噪声排放执行《工业企业厂界环境噪声排放标准》（GB12348-2008）3类标准：即昼间≤65dB（A）、夜间≤55dB（A）。”</x:v>
      </x:c>
      <x:c r="K63" s="48" t="str">
        <x:v>emission-standard-kb.jsonl; DB44/26-2001; DB44/2367-2022; GB31572-2015; GB14554-93; GB12348-2008; GB18597-2023; GB18599-2020</x:v>
      </x:c>
      <x:c r="L63" s="48" t="str">
        <x:v>2</x:v>
      </x:c>
      <x:c r="M63" s="48" t="str">
        <x:v>2</x:v>
      </x:c>
      <x:c r="N63" s="48" t="str">
        <x:v>False</x:v>
      </x:c>
      <x:c r="O63" s="48" t="str">
        <x:v>无误</x:v>
      </x:c>
      <x:c r="P63"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63" s="48"/>
      <x:c r="R63" s="48"/>
      <x:c r="S63" s="48" t="str">
        <x:v>否</x:v>
      </x:c>
      <x:c r="T63" s="48" t="str">
        <x:v>原综合排放标准问答对拆分而来</x:v>
      </x:c>
      <x:c r="U63" s="48" t="str">
        <x:v>30份环评_污染物排放控制执行标准复核QA(拆分版)</x:v>
      </x:c>
      <x:c r="V63" s="48" t="str">
        <x:v>噪声排放标准</x:v>
      </x:c>
      <x:c r="W63" s="48" t="str">
        <x:v>无误</x:v>
      </x:c>
      <x:c r="X63" s="48" t="str">
        <x:v>无误</x:v>
      </x:c>
      <x:c r="Y63" s="64"/>
      <x:c r="Z63" s="64" t="str">
        <x:v>未复核</x:v>
      </x:c>
      <x:c r="AA63" s="64" t="str">
        <x:v>部分充分</x:v>
      </x:c>
      <x:c r="AB63" s="64" t="str">
        <x:v>有效</x:v>
      </x:c>
      <x:c r="AC63" s="64" t="str">
        <x:v>部分核验</x:v>
      </x:c>
      <x:c r="AD63" s="64" t="str">
        <x:v>自动默认</x:v>
      </x:c>
      <x:c r="AE63" s="64" t="str">
        <x:v>候选池</x:v>
      </x:c>
      <x:c r="AF63" s="64" t="str">
        <x:v>待分流</x:v>
      </x:c>
      <x:c r="AG63" s="64"/>
      <x:c r="AH63" s="64"/>
      <x:c r="AI63" s="64"/>
      <x:c r="AJ63" s="64"/>
      <x:c r="AK63" s="64"/>
      <x:c r="AL63" s="64"/>
      <x:c r="AM63" s="64"/>
      <x:c r="AN63" s="48" t="str">
        <x:v>63</x:v>
      </x:c>
      <x:c r="AO63" s="48" t="str">
        <x:v>MAP_无误</x:v>
      </x:c>
      <x:c r="AP63" s="48" t="str">
        <x:v>存在报告证据，但尚未经人工逐项核验；已列依据来源，但未在本阶段逐条核验</x:v>
      </x:c>
      <x:c r="AQ63" s="64"/>
      <x:c r="AR63" s="48" t="str">
        <x:v>noise_emission_standard</x:v>
      </x:c>
      <x:c r="AS63" s="48" t="str">
        <x:v>L2_application</x:v>
      </x:c>
      <x:c r="AT63" s="48" t="str">
        <x:v>rule_applicability</x:v>
      </x:c>
      <x:c r="AU63" s="48" t="str">
        <x:v>basis_grounding</x:v>
      </x:c>
      <x:c r="AV63" s="48" t="str">
        <x:v>report_grounding</x:v>
      </x:c>
      <x:c r="AW63" s="48" t="str">
        <x:v>high</x:v>
      </x:c>
      <x:c r="AX63" s="48" t="str">
        <x:v>medium</x:v>
      </x:c>
      <x:c r="AY63" s="48" t="str">
        <x:v>report_plus_external</x:v>
      </x:c>
      <x:c r="AZ63" s="48" t="str">
        <x:v>True</x:v>
      </x:c>
      <x:c r="BA63" s="48"/>
      <x:c r="BB63" s="48" t="str">
        <x:v>auto_default</x:v>
      </x:c>
      <x:c r="BC63" s="48" t="str">
        <x:v>v1</x:v>
      </x:c>
      <x:c r="BD63" s="68"/>
    </x:row>
    <x:row r="64" ht="36" customHeight="1">
      <x:c r="A64" s="47" t="str">
        <x:v>2026-07-27</x:v>
      </x:c>
      <x:c r="B64" s="48" t="str">
        <x:v>PL011</x:v>
      </x:c>
      <x:c r="C64" s="48" t="str">
        <x:v>V01</x:v>
      </x:c>
      <x:c r="D64" s="48" t="str">
        <x:v>PL011_广东潜龙化工有限公司新建项目_01_修改评估意见.docx</x:v>
      </x:c>
      <x:c r="E64" s="48" t="str">
        <x:v>广东潜龙化工有限公司新建项目</x:v>
      </x:c>
      <x:c r="F64" s="48" t="str">
        <x:v>PL011_Emission_固体</x:v>
      </x:c>
      <x:c r="G64" s="48" t="str">
        <x:v>污染物排放标准-固体废物控制标准</x:v>
      </x:c>
      <x:c r="H64" s="48" t="str">
        <x:v>请根据项目产生的固体废物和危险废物类型，判断固体废物控制标准选取是否合理。要求总结一般工业固体废物和危险废物执行标准的标准名称及编号，分析是否缺少必要标准条目。</x:v>
      </x:c>
      <x:c r="I64"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64" s="48" t="str">
        <x:v>固废】“一般固体废物暂存于一般固体废物仓库，仓库应满足防渗漏、防雨淋、防扬尘等要求。危险废物执行《国家危险废物名录》（2021版）、《危险废物收集贮存运输技术规范》（HJ 2025-2012）；危险废物执行《危险废物贮存污染控制标准》（GB 18597-2023）。”</x:v>
      </x:c>
      <x:c r="K64" s="48" t="str">
        <x:v>emission-standard-kb.jsonl; DB44/26-2001; DB44/2367-2022; GB31572-2015; GB14554-93; GB12348-2008; GB18597-2023; GB18599-2020</x:v>
      </x:c>
      <x:c r="L64" s="48" t="str">
        <x:v>2</x:v>
      </x:c>
      <x:c r="M64" s="48" t="str">
        <x:v>2</x:v>
      </x:c>
      <x:c r="N64" s="48" t="str">
        <x:v>False</x:v>
      </x:c>
      <x:c r="O64" s="48" t="str">
        <x:v>无误</x:v>
      </x:c>
      <x:c r="P64"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64" s="48"/>
      <x:c r="R64" s="48"/>
      <x:c r="S64" s="48" t="str">
        <x:v>否</x:v>
      </x:c>
      <x:c r="T64" s="48" t="str">
        <x:v>修正：GB18599-2020不在知识库必须满足的标准清单中，原判定依据已更正。原综合排放标准问答对拆分而来</x:v>
      </x:c>
      <x:c r="U64" s="48" t="str">
        <x:v>30份环评_污染物排放控制执行标准复核QA(拆分版)</x:v>
      </x:c>
      <x:c r="V64" s="48" t="str">
        <x:v>固体废物控制标准</x:v>
      </x:c>
      <x:c r="W64" s="48" t="str">
        <x:v>无误</x:v>
      </x:c>
      <x:c r="X64" s="48" t="str">
        <x:v>无误</x:v>
      </x:c>
      <x:c r="Y64" s="64"/>
      <x:c r="Z64" s="64" t="str">
        <x:v>未复核</x:v>
      </x:c>
      <x:c r="AA64" s="64" t="str">
        <x:v>部分充分</x:v>
      </x:c>
      <x:c r="AB64" s="64" t="str">
        <x:v>有效</x:v>
      </x:c>
      <x:c r="AC64" s="64" t="str">
        <x:v>部分核验</x:v>
      </x:c>
      <x:c r="AD64" s="64" t="str">
        <x:v>自动默认</x:v>
      </x:c>
      <x:c r="AE64" s="64" t="str">
        <x:v>候选池</x:v>
      </x:c>
      <x:c r="AF64" s="64" t="str">
        <x:v>待分流</x:v>
      </x:c>
      <x:c r="AG64" s="64"/>
      <x:c r="AH64" s="64"/>
      <x:c r="AI64" s="64"/>
      <x:c r="AJ64" s="64"/>
      <x:c r="AK64" s="64"/>
      <x:c r="AL64" s="64"/>
      <x:c r="AM64" s="64"/>
      <x:c r="AN64" s="48" t="str">
        <x:v>64</x:v>
      </x:c>
      <x:c r="AO64" s="48" t="str">
        <x:v>MAP_无误</x:v>
      </x:c>
      <x:c r="AP64" s="48" t="str">
        <x:v>存在报告证据，但尚未经人工逐项核验；已列依据来源，但未在本阶段逐条核验</x:v>
      </x:c>
      <x:c r="AQ64" s="64"/>
      <x:c r="AR64" s="48" t="str">
        <x:v>solid_waste_standard</x:v>
      </x:c>
      <x:c r="AS64" s="48" t="str">
        <x:v>L2_application</x:v>
      </x:c>
      <x:c r="AT64" s="48" t="str">
        <x:v>rule_applicability</x:v>
      </x:c>
      <x:c r="AU64" s="48" t="str">
        <x:v>basis_grounding</x:v>
      </x:c>
      <x:c r="AV64" s="48" t="str">
        <x:v>report_grounding</x:v>
      </x:c>
      <x:c r="AW64" s="48" t="str">
        <x:v>high</x:v>
      </x:c>
      <x:c r="AX64" s="48" t="str">
        <x:v>medium</x:v>
      </x:c>
      <x:c r="AY64" s="48" t="str">
        <x:v>report_plus_external</x:v>
      </x:c>
      <x:c r="AZ64" s="48" t="str">
        <x:v>True</x:v>
      </x:c>
      <x:c r="BA64" s="48"/>
      <x:c r="BB64" s="48" t="str">
        <x:v>auto_default</x:v>
      </x:c>
      <x:c r="BC64" s="48" t="str">
        <x:v>v1</x:v>
      </x:c>
      <x:c r="BD64" s="68"/>
    </x:row>
    <x:row r="65" ht="36" customHeight="1">
      <x:c r="A65" s="47" t="str">
        <x:v>2026-07-28</x:v>
      </x:c>
      <x:c r="B65" s="48" t="str">
        <x:v>PL012</x:v>
      </x:c>
      <x:c r="C65" s="48" t="str">
        <x:v>V01</x:v>
      </x:c>
      <x:c r="D65" s="48" t="str">
        <x:v>PL012_佛山市瀚铭新材料有限公司新建项目_01_修改评估意见.docx</x:v>
      </x:c>
      <x:c r="E65" s="48" t="str">
        <x:v>佛山市瀚铭新材料有限公司新建项目</x:v>
      </x:c>
      <x:c r="F65" s="48" t="str">
        <x:v>PL012_EnvQuality_Q01</x:v>
      </x:c>
      <x:c r="G65" s="48" t="str">
        <x:v>大气及地表水环境质量现状数据引用</x:v>
      </x:c>
      <x:c r="H65" s="48" t="str">
        <x:v>请根据报告引用的环境质量公报及现状数据，判断大气和地表水环境质量现状数据引用是否准确。</x:v>
      </x:c>
      <x:c r="I65" s="48" t="str">
        <x:v>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x:v>
      </x:c>
      <x:c r="J65" s="48" t="str">
        <x:v>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x:v>
      </x:c>
      <x:c r="K65" s="48" t="str">
        <x:v>生态环境状况公报知识库; 收纳水体地表水执行标准</x:v>
      </x:c>
      <x:c r="L65" s="48" t="str">
        <x:v>2</x:v>
      </x:c>
      <x:c r="M65" s="48" t="str">
        <x:v>2</x:v>
      </x:c>
      <x:c r="N65" s="48" t="str">
        <x:v>False</x:v>
      </x:c>
      <x:c r="O65" s="48" t="str">
        <x:v>不正确</x:v>
      </x:c>
      <x:c r="P65" s="48" t="str">
        <x:v>大气:正确; 地表水:不正确; 报告日期:2023</x:v>
      </x:c>
      <x:c r="Q65" s="48"/>
      <x:c r="R65" s="48"/>
      <x:c r="S65" s="48" t="str">
        <x:v>是</x:v>
      </x:c>
      <x:c r="T65" s="48" t="str">
        <x:v>杏坛污水处理厂尾水受纳河道报告称为顺德支流，与官方登记的顺德水道不一致；执行标准报告称为Ⅲ类，与官方登记的II类不一致。顺德支流与顺德水道为不同水体。</x:v>
      </x:c>
      <x:c r="U65" s="48" t="str">
        <x:v>30个环评_大气及地表水环境质量现状数据引用复核QA</x:v>
      </x:c>
      <x:c r="V65" s="48" t="str">
        <x:v>环境质量数据引用</x:v>
      </x:c>
      <x:c r="W65" s="48" t="str">
        <x:v>不正确</x:v>
      </x:c>
      <x:c r="X65" s="48" t="str">
        <x:v>待判断</x:v>
      </x:c>
      <x:c r="Y65" s="64"/>
      <x:c r="Z65" s="64" t="str">
        <x:v>未复核</x:v>
      </x:c>
      <x:c r="AA65" s="64" t="str">
        <x:v>部分充分</x:v>
      </x:c>
      <x:c r="AB65" s="64" t="str">
        <x:v>有效</x:v>
      </x:c>
      <x:c r="AC65" s="64" t="str">
        <x:v>部分核验</x:v>
      </x:c>
      <x:c r="AD65" s="64" t="str">
        <x:v>自动默认</x:v>
      </x:c>
      <x:c r="AE65" s="64" t="str">
        <x:v>候选池</x:v>
      </x:c>
      <x:c r="AF65" s="64" t="str">
        <x:v>A_仅待终审</x:v>
      </x:c>
      <x:c r="AG65" s="64"/>
      <x:c r="AH65" s="64"/>
      <x:c r="AI65" s="64"/>
      <x:c r="AJ65" s="64"/>
      <x:c r="AK65" s="64"/>
      <x:c r="AL65" s="64"/>
      <x:c r="AM65" s="64"/>
      <x:c r="AN65" s="48" t="str">
        <x:v>65</x:v>
      </x:c>
      <x:c r="AO65" s="48" t="str">
        <x:v>MAP_不正确</x:v>
      </x:c>
      <x:c r="AP65" s="48" t="str">
        <x:v>需人工区分存在错误或存在缺漏；存在报告证据，但尚未经人工逐项核验；已列依据来源，但未在本阶段逐条核验</x:v>
      </x:c>
      <x:c r="AQ65" s="64"/>
      <x:c r="AR65" s="48" t="str">
        <x:v>environmental_quality_data</x:v>
      </x:c>
      <x:c r="AS65" s="48" t="str">
        <x:v>L3_analysis</x:v>
      </x:c>
      <x:c r="AT65" s="48" t="str">
        <x:v>consistency_comparison</x:v>
      </x:c>
      <x:c r="AU65" s="48" t="str">
        <x:v>evidence_integration</x:v>
      </x:c>
      <x:c r="AV65" s="48" t="str">
        <x:v>report_grounding；basis_grounding</x:v>
      </x:c>
      <x:c r="AW65" s="48" t="str">
        <x:v>high</x:v>
      </x:c>
      <x:c r="AX65" s="48" t="str">
        <x:v>high</x:v>
      </x:c>
      <x:c r="AY65" s="48" t="str">
        <x:v>report_plus_external</x:v>
      </x:c>
      <x:c r="AZ65" s="48" t="str">
        <x:v>True</x:v>
      </x:c>
      <x:c r="BA65" s="48"/>
      <x:c r="BB65" s="48" t="str">
        <x:v>auto_default</x:v>
      </x:c>
      <x:c r="BC65" s="48" t="str">
        <x:v>v1</x:v>
      </x:c>
      <x:c r="BD65" s="68"/>
    </x:row>
    <x:row r="66" ht="36" customHeight="1">
      <x:c r="A66" s="47" t="str">
        <x:v>2026-07-27</x:v>
      </x:c>
      <x:c r="B66" s="48" t="str">
        <x:v>PL012</x:v>
      </x:c>
      <x:c r="C66" s="48" t="str">
        <x:v>V01</x:v>
      </x:c>
      <x:c r="D66" s="48" t="str">
        <x:v>PL012_佛山市瀚铭新材料有限公司新建项目_01_修改评估意见.docx</x:v>
      </x:c>
      <x:c r="E66" s="48" t="str">
        <x:v>佛山市瀚铭新材料有限公司新建项目</x:v>
      </x:c>
      <x:c r="F66" s="48" t="str">
        <x:v>PL012_Emission_水污</x:v>
      </x:c>
      <x:c r="G66" s="48" t="str">
        <x:v>污染物排放标准-水污染物排放标准</x:v>
      </x:c>
      <x:c r="H6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66" s="48" t="str">
        <x:v>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x:v>
      </x:c>
      <x:c r="J66" s="48" t="str">
        <x:v>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x:v>
      </x:c>
      <x:c r="K66" s="48" t="str">
        <x:v>emission-standard-kb.jsonl; DB44/26-2001; DB44/2367-2022; GB31572-2015; GB14554-93; GB12348-2008; GB18597-2023; GB18599-2020</x:v>
      </x:c>
      <x:c r="L66" s="48" t="str">
        <x:v>2</x:v>
      </x:c>
      <x:c r="M66" s="48" t="str">
        <x:v>2</x:v>
      </x:c>
      <x:c r="N66" s="48" t="str">
        <x:v>False</x:v>
      </x:c>
      <x:c r="O66" s="48" t="str">
        <x:v>需复核</x:v>
      </x:c>
      <x:c r="P66"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66" s="48"/>
      <x:c r="R66" s="48"/>
      <x:c r="S66" s="48" t="str">
        <x:v>是</x:v>
      </x:c>
      <x:c r="T66" s="48" t="str">
        <x:v>原综合排放标准问答对拆分而来</x:v>
      </x:c>
      <x:c r="U66" s="48" t="str">
        <x:v>30份环评_污染物排放控制执行标准复核QA(拆分版)</x:v>
      </x:c>
      <x:c r="V66" s="48" t="str">
        <x:v>水污染物排放标准</x:v>
      </x:c>
      <x:c r="W66" s="48" t="str">
        <x:v>需复核</x:v>
      </x:c>
      <x:c r="X66" s="48" t="str">
        <x:v>需人工复核</x:v>
      </x:c>
      <x:c r="Y66" s="64"/>
      <x:c r="Z66" s="64" t="str">
        <x:v>未复核</x:v>
      </x:c>
      <x:c r="AA66" s="64" t="str">
        <x:v>部分充分</x:v>
      </x:c>
      <x:c r="AB66" s="64" t="str">
        <x:v>有效</x:v>
      </x:c>
      <x:c r="AC66" s="64" t="str">
        <x:v>部分核验</x:v>
      </x:c>
      <x:c r="AD66" s="64" t="str">
        <x:v>自动默认</x:v>
      </x:c>
      <x:c r="AE66" s="64" t="str">
        <x:v>候选池</x:v>
      </x:c>
      <x:c r="AF66" s="64" t="str">
        <x:v>B_证据不足</x:v>
      </x:c>
      <x:c r="AG66" s="64"/>
      <x:c r="AH66" s="64"/>
      <x:c r="AI66" s="64"/>
      <x:c r="AJ66" s="64"/>
      <x:c r="AK66" s="64"/>
      <x:c r="AL66" s="64"/>
      <x:c r="AM66" s="64"/>
      <x:c r="AN66" s="48" t="str">
        <x:v>66</x:v>
      </x:c>
      <x:c r="AO66" s="48" t="str">
        <x:v>MAP_需复核</x:v>
      </x:c>
      <x:c r="AP66" s="48" t="str">
        <x:v>原结论明确要求人工复核；存在报告证据，但尚未经人工逐项核验；已列依据来源，但未在本阶段逐条核验</x:v>
      </x:c>
      <x:c r="AQ66" s="64"/>
      <x:c r="AR66" s="48" t="str">
        <x:v>water_emission_standard</x:v>
      </x:c>
      <x:c r="AS66" s="48" t="str">
        <x:v>L3_analysis</x:v>
      </x:c>
      <x:c r="AT66" s="48" t="str">
        <x:v>rule_applicability</x:v>
      </x:c>
      <x:c r="AU66" s="48" t="str">
        <x:v>basis_grounding</x:v>
      </x:c>
      <x:c r="AV66" s="48" t="str">
        <x:v>report_grounding；procedural_reasoning</x:v>
      </x:c>
      <x:c r="AW66" s="48" t="str">
        <x:v>high</x:v>
      </x:c>
      <x:c r="AX66" s="48" t="str">
        <x:v>high</x:v>
      </x:c>
      <x:c r="AY66" s="48" t="str">
        <x:v>report_plus_external</x:v>
      </x:c>
      <x:c r="AZ66" s="48" t="str">
        <x:v>True</x:v>
      </x:c>
      <x:c r="BA66" s="48"/>
      <x:c r="BB66" s="48" t="str">
        <x:v>auto_default</x:v>
      </x:c>
      <x:c r="BC66" s="48" t="str">
        <x:v>v1</x:v>
      </x:c>
      <x:c r="BD66" s="68"/>
    </x:row>
    <x:row r="67" ht="36" customHeight="1">
      <x:c r="A67" s="47" t="str">
        <x:v>2026-07-27</x:v>
      </x:c>
      <x:c r="B67" s="48" t="str">
        <x:v>PL012</x:v>
      </x:c>
      <x:c r="C67" s="48" t="str">
        <x:v>V01</x:v>
      </x:c>
      <x:c r="D67" s="48" t="str">
        <x:v>PL012_佛山市瀚铭新材料有限公司新建项目_01_修改评估意见.docx</x:v>
      </x:c>
      <x:c r="E67" s="48" t="str">
        <x:v>佛山市瀚铭新材料有限公司新建项目</x:v>
      </x:c>
      <x:c r="F67" s="48" t="str">
        <x:v>PL012_Emission_大气</x:v>
      </x:c>
      <x:c r="G67" s="48" t="str">
        <x:v>污染物排放标准-大气污染物排放标准</x:v>
      </x:c>
      <x:c r="H67" s="48" t="str">
        <x:v>请根据项目行业类别、生产工艺和污染因子，判断大气污染物排放标准选取是否合理。要求分析：污染源覆盖是否完整（列出所有大气污染源及对应标准），是否存在缺漏的污染源或标准。</x:v>
      </x:c>
      <x:c r="I67" s="48" t="str">
        <x:v>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x:v>
      </x:c>
      <x:c r="J67" s="48" t="str">
        <x:v>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x:v>
      </x:c>
      <x:c r="K67" s="48" t="str">
        <x:v>emission-standard-kb.jsonl; DB44/26-2001; DB44/2367-2022; GB31572-2015; GB14554-93; GB12348-2008; GB18597-2023; GB18599-2020</x:v>
      </x:c>
      <x:c r="L67" s="48" t="str">
        <x:v>2</x:v>
      </x:c>
      <x:c r="M67" s="48" t="str">
        <x:v>2</x:v>
      </x:c>
      <x:c r="N67" s="48" t="str">
        <x:v>False</x:v>
      </x:c>
      <x:c r="O67" s="48" t="str">
        <x:v>存在缺漏</x:v>
      </x:c>
      <x:c r="P67"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67" s="48"/>
      <x:c r="R67" s="48"/>
      <x:c r="S67" s="48" t="str">
        <x:v>是</x:v>
      </x:c>
      <x:c r="T67" s="48" t="str">
        <x:v>原综合排放标准问答对拆分而来</x:v>
      </x:c>
      <x:c r="U67" s="48" t="str">
        <x:v>30份环评_污染物排放控制执行标准复核QA(拆分版)</x:v>
      </x:c>
      <x:c r="V67" s="48" t="str">
        <x:v>大气污染物排放标准</x:v>
      </x:c>
      <x:c r="W67" s="48" t="str">
        <x:v>存在缺漏</x:v>
      </x:c>
      <x:c r="X67" s="48" t="str">
        <x:v>存在缺漏</x:v>
      </x:c>
      <x:c r="Y67" s="64"/>
      <x:c r="Z67" s="64" t="str">
        <x:v>未复核</x:v>
      </x:c>
      <x:c r="AA67" s="64" t="str">
        <x:v>部分充分</x:v>
      </x:c>
      <x:c r="AB67" s="64" t="str">
        <x:v>有效</x:v>
      </x:c>
      <x:c r="AC67" s="64" t="str">
        <x:v>部分核验</x:v>
      </x:c>
      <x:c r="AD67" s="64" t="str">
        <x:v>自动默认</x:v>
      </x:c>
      <x:c r="AE67" s="64" t="str">
        <x:v>候选池</x:v>
      </x:c>
      <x:c r="AF67" s="64" t="str">
        <x:v>A_仅待终审</x:v>
      </x:c>
      <x:c r="AG67" s="64"/>
      <x:c r="AH67" s="64"/>
      <x:c r="AI67" s="64"/>
      <x:c r="AJ67" s="64"/>
      <x:c r="AK67" s="64"/>
      <x:c r="AL67" s="64"/>
      <x:c r="AM67" s="64"/>
      <x:c r="AN67" s="48" t="str">
        <x:v>67</x:v>
      </x:c>
      <x:c r="AO67" s="48" t="str">
        <x:v>MAP_存在缺漏</x:v>
      </x:c>
      <x:c r="AP67" s="48" t="str">
        <x:v>存在报告证据，但尚未经人工逐项核验；已列依据来源，但未在本阶段逐条核验</x:v>
      </x:c>
      <x:c r="AQ67" s="64"/>
      <x:c r="AR67" s="48" t="str">
        <x:v>air_emission_standard</x:v>
      </x:c>
      <x:c r="AS67" s="48" t="str">
        <x:v>L3_analysis</x:v>
      </x:c>
      <x:c r="AT67" s="48" t="str">
        <x:v>multi_evidence_synthesis</x:v>
      </x:c>
      <x:c r="AU67" s="48" t="str">
        <x:v>basis_grounding</x:v>
      </x:c>
      <x:c r="AV67" s="48" t="str">
        <x:v>report_grounding；evidence_integration</x:v>
      </x:c>
      <x:c r="AW67" s="48" t="str">
        <x:v>high</x:v>
      </x:c>
      <x:c r="AX67" s="48" t="str">
        <x:v>high</x:v>
      </x:c>
      <x:c r="AY67" s="48" t="str">
        <x:v>report_plus_external</x:v>
      </x:c>
      <x:c r="AZ67" s="48" t="str">
        <x:v>True</x:v>
      </x:c>
      <x:c r="BA67" s="48"/>
      <x:c r="BB67" s="48" t="str">
        <x:v>auto_default</x:v>
      </x:c>
      <x:c r="BC67" s="48" t="str">
        <x:v>v1</x:v>
      </x:c>
      <x:c r="BD67" s="68"/>
    </x:row>
    <x:row r="68" ht="36" customHeight="1">
      <x:c r="A68" s="47" t="str">
        <x:v>2026-07-27</x:v>
      </x:c>
      <x:c r="B68" s="48" t="str">
        <x:v>PL012</x:v>
      </x:c>
      <x:c r="C68" s="48" t="str">
        <x:v>V01</x:v>
      </x:c>
      <x:c r="D68" s="48" t="str">
        <x:v>PL012_佛山市瀚铭新材料有限公司新建项目_01_修改评估意见.docx</x:v>
      </x:c>
      <x:c r="E68" s="48" t="str">
        <x:v>佛山市瀚铭新材料有限公司新建项目</x:v>
      </x:c>
      <x:c r="F68" s="48" t="str">
        <x:v>PL012_Emission_噪声</x:v>
      </x:c>
      <x:c r="G68" s="48" t="str">
        <x:v>污染物排放标准-噪声排放标准</x:v>
      </x:c>
      <x:c r="H68" s="48" t="str">
        <x:v>请根据项目所属声环境功能区类别，判断噪声排放标准选取是否合理。要求总结声功能区类型、厂界执行标准（GB12348-2008）及昼夜限值，并与环评编制内容进行一致性分析。</x:v>
      </x:c>
      <x:c r="I68" s="48" t="str">
        <x:v>1、噪声排放标准中执行标准与排放限值内容：无误；
2、项目厂界噪声执行《工业企业厂界环境噪声排放标准》（GB12348-2008）3类标准。标准选取正确，适用，无误。</x:v>
      </x:c>
      <x:c r="J68" s="48" t="str">
        <x:v>噪声标准：'《工业企业厂界环境噪声排放标准》(GB12348-2008)3类标准'
4.</x:v>
      </x:c>
      <x:c r="K68" s="48" t="str">
        <x:v>emission-standard-kb.jsonl; DB44/26-2001; DB44/2367-2022; GB31572-2015; GB14554-93; GB12348-2008; GB18597-2023; GB18599-2020</x:v>
      </x:c>
      <x:c r="L68" s="48" t="str">
        <x:v>2</x:v>
      </x:c>
      <x:c r="M68" s="48" t="str">
        <x:v>2</x:v>
      </x:c>
      <x:c r="N68" s="48" t="str">
        <x:v>False</x:v>
      </x:c>
      <x:c r="O68" s="48" t="str">
        <x:v>无误</x:v>
      </x:c>
      <x:c r="P68"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68" s="48"/>
      <x:c r="R68" s="48"/>
      <x:c r="S68" s="48" t="str">
        <x:v>否</x:v>
      </x:c>
      <x:c r="T68" s="48" t="str">
        <x:v>原综合排放标准问答对拆分而来</x:v>
      </x:c>
      <x:c r="U68" s="48" t="str">
        <x:v>30份环评_污染物排放控制执行标准复核QA(拆分版)</x:v>
      </x:c>
      <x:c r="V68" s="48" t="str">
        <x:v>噪声排放标准</x:v>
      </x:c>
      <x:c r="W68" s="48" t="str">
        <x:v>无误</x:v>
      </x:c>
      <x:c r="X68" s="48" t="str">
        <x:v>无误</x:v>
      </x:c>
      <x:c r="Y68" s="64"/>
      <x:c r="Z68" s="64" t="str">
        <x:v>未复核</x:v>
      </x:c>
      <x:c r="AA68" s="64" t="str">
        <x:v>部分充分</x:v>
      </x:c>
      <x:c r="AB68" s="64" t="str">
        <x:v>有效</x:v>
      </x:c>
      <x:c r="AC68" s="64" t="str">
        <x:v>部分核验</x:v>
      </x:c>
      <x:c r="AD68" s="64" t="str">
        <x:v>自动默认</x:v>
      </x:c>
      <x:c r="AE68" s="64" t="str">
        <x:v>候选池</x:v>
      </x:c>
      <x:c r="AF68" s="64" t="str">
        <x:v>待分流</x:v>
      </x:c>
      <x:c r="AG68" s="64"/>
      <x:c r="AH68" s="64"/>
      <x:c r="AI68" s="64"/>
      <x:c r="AJ68" s="64"/>
      <x:c r="AK68" s="64"/>
      <x:c r="AL68" s="64"/>
      <x:c r="AM68" s="64"/>
      <x:c r="AN68" s="48" t="str">
        <x:v>68</x:v>
      </x:c>
      <x:c r="AO68" s="48" t="str">
        <x:v>MAP_无误</x:v>
      </x:c>
      <x:c r="AP68" s="48" t="str">
        <x:v>存在报告证据，但尚未经人工逐项核验；已列依据来源，但未在本阶段逐条核验</x:v>
      </x:c>
      <x:c r="AQ68" s="64"/>
      <x:c r="AR68" s="48" t="str">
        <x:v>noise_emission_standard</x:v>
      </x:c>
      <x:c r="AS68" s="48" t="str">
        <x:v>L2_application</x:v>
      </x:c>
      <x:c r="AT68" s="48" t="str">
        <x:v>rule_applicability</x:v>
      </x:c>
      <x:c r="AU68" s="48" t="str">
        <x:v>basis_grounding</x:v>
      </x:c>
      <x:c r="AV68" s="48" t="str">
        <x:v>report_grounding</x:v>
      </x:c>
      <x:c r="AW68" s="48" t="str">
        <x:v>high</x:v>
      </x:c>
      <x:c r="AX68" s="48" t="str">
        <x:v>medium</x:v>
      </x:c>
      <x:c r="AY68" s="48" t="str">
        <x:v>report_plus_external</x:v>
      </x:c>
      <x:c r="AZ68" s="48" t="str">
        <x:v>True</x:v>
      </x:c>
      <x:c r="BA68" s="48"/>
      <x:c r="BB68" s="48" t="str">
        <x:v>auto_default</x:v>
      </x:c>
      <x:c r="BC68" s="48" t="str">
        <x:v>v1</x:v>
      </x:c>
      <x:c r="BD68" s="68"/>
    </x:row>
    <x:row r="69" ht="36" customHeight="1">
      <x:c r="A69" s="47" t="str">
        <x:v>2026-07-27</x:v>
      </x:c>
      <x:c r="B69" s="48" t="str">
        <x:v>PL012</x:v>
      </x:c>
      <x:c r="C69" s="48" t="str">
        <x:v>V01</x:v>
      </x:c>
      <x:c r="D69" s="48" t="str">
        <x:v>PL012_佛山市瀚铭新材料有限公司新建项目_01_修改评估意见.docx</x:v>
      </x:c>
      <x:c r="E69" s="48" t="str">
        <x:v>佛山市瀚铭新材料有限公司新建项目</x:v>
      </x:c>
      <x:c r="F69" s="48" t="str">
        <x:v>PL012_Emission_固体</x:v>
      </x:c>
      <x:c r="G69" s="48" t="str">
        <x:v>污染物排放标准-固体废物控制标准</x:v>
      </x:c>
      <x:c r="H69" s="48" t="str">
        <x:v>请根据项目产生的固体废物和危险废物类型，判断固体废物控制标准选取是否合理。要求总结一般工业固体废物和危险废物执行标准的标准名称及编号，分析是否缺少必要标准条目。</x:v>
      </x:c>
      <x:c r="I69"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69" s="48" t="str">
        <x:v>固废标准：'固体废物管理遵照《中华人民共和国固体废物污染环境防治法》、《广东省固体废物污染环境防治条例》执行……危险废物执行《危险废物贮存污染控制标准》（GB 18597-2023）、《国家危险废物名录》（2021年）有关规定。'</x:v>
      </x:c>
      <x:c r="K69" s="48" t="str">
        <x:v>emission-standard-kb.jsonl; DB44/26-2001; DB44/2367-2022; GB31572-2015; GB14554-93; GB12348-2008; GB18597-2023; GB18599-2020</x:v>
      </x:c>
      <x:c r="L69" s="48" t="str">
        <x:v>2</x:v>
      </x:c>
      <x:c r="M69" s="48" t="str">
        <x:v>2</x:v>
      </x:c>
      <x:c r="N69" s="48" t="str">
        <x:v>False</x:v>
      </x:c>
      <x:c r="O69" s="48" t="str">
        <x:v>无误</x:v>
      </x:c>
      <x:c r="P69"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69" s="48"/>
      <x:c r="R69" s="48"/>
      <x:c r="S69" s="48" t="str">
        <x:v>否</x:v>
      </x:c>
      <x:c r="T69" s="48" t="str">
        <x:v>修正：GB18599-2020不在知识库必须满足的标准清单中，原判定依据已更正。原综合排放标准问答对拆分而来</x:v>
      </x:c>
      <x:c r="U69" s="48" t="str">
        <x:v>30份环评_污染物排放控制执行标准复核QA(拆分版)</x:v>
      </x:c>
      <x:c r="V69" s="48" t="str">
        <x:v>固体废物控制标准</x:v>
      </x:c>
      <x:c r="W69" s="48" t="str">
        <x:v>无误</x:v>
      </x:c>
      <x:c r="X69" s="48" t="str">
        <x:v>无误</x:v>
      </x:c>
      <x:c r="Y69" s="64"/>
      <x:c r="Z69" s="64" t="str">
        <x:v>未复核</x:v>
      </x:c>
      <x:c r="AA69" s="64" t="str">
        <x:v>部分充分</x:v>
      </x:c>
      <x:c r="AB69" s="64" t="str">
        <x:v>有效</x:v>
      </x:c>
      <x:c r="AC69" s="64" t="str">
        <x:v>部分核验</x:v>
      </x:c>
      <x:c r="AD69" s="64" t="str">
        <x:v>自动默认</x:v>
      </x:c>
      <x:c r="AE69" s="64" t="str">
        <x:v>候选池</x:v>
      </x:c>
      <x:c r="AF69" s="64" t="str">
        <x:v>待分流</x:v>
      </x:c>
      <x:c r="AG69" s="64"/>
      <x:c r="AH69" s="64"/>
      <x:c r="AI69" s="64"/>
      <x:c r="AJ69" s="64"/>
      <x:c r="AK69" s="64"/>
      <x:c r="AL69" s="64"/>
      <x:c r="AM69" s="64"/>
      <x:c r="AN69" s="48" t="str">
        <x:v>69</x:v>
      </x:c>
      <x:c r="AO69" s="48" t="str">
        <x:v>MAP_无误</x:v>
      </x:c>
      <x:c r="AP69" s="48" t="str">
        <x:v>存在报告证据，但尚未经人工逐项核验；已列依据来源，但未在本阶段逐条核验</x:v>
      </x:c>
      <x:c r="AQ69" s="64"/>
      <x:c r="AR69" s="48" t="str">
        <x:v>solid_waste_standard</x:v>
      </x:c>
      <x:c r="AS69" s="48" t="str">
        <x:v>L2_application</x:v>
      </x:c>
      <x:c r="AT69" s="48" t="str">
        <x:v>rule_applicability</x:v>
      </x:c>
      <x:c r="AU69" s="48" t="str">
        <x:v>basis_grounding</x:v>
      </x:c>
      <x:c r="AV69" s="48" t="str">
        <x:v>report_grounding</x:v>
      </x:c>
      <x:c r="AW69" s="48" t="str">
        <x:v>high</x:v>
      </x:c>
      <x:c r="AX69" s="48" t="str">
        <x:v>medium</x:v>
      </x:c>
      <x:c r="AY69" s="48" t="str">
        <x:v>report_plus_external</x:v>
      </x:c>
      <x:c r="AZ69" s="48" t="str">
        <x:v>True</x:v>
      </x:c>
      <x:c r="BA69" s="48"/>
      <x:c r="BB69" s="48" t="str">
        <x:v>auto_default</x:v>
      </x:c>
      <x:c r="BC69" s="48" t="str">
        <x:v>v1</x:v>
      </x:c>
      <x:c r="BD69" s="68"/>
    </x:row>
    <x:row r="70" ht="36" customHeight="1">
      <x:c r="A70" s="47" t="str">
        <x:v>2026-07-28</x:v>
      </x:c>
      <x:c r="B70" s="48" t="str">
        <x:v>PL013</x:v>
      </x:c>
      <x:c r="C70" s="48" t="str">
        <x:v>V01</x:v>
      </x:c>
      <x:c r="D70" s="48" t="str">
        <x:v>PL013_佛山市顺德区百洛电器有限公司迁扩建项目_01_修改评估意见.docx</x:v>
      </x:c>
      <x:c r="E70" s="48" t="str">
        <x:v>佛山市顺德区百洛电器有限公司迁扩建项目</x:v>
      </x:c>
      <x:c r="F70" s="48" t="str">
        <x:v>PL013_EnvQuality_Q01</x:v>
      </x:c>
      <x:c r="G70" s="48" t="str">
        <x:v>大气及地表水环境质量现状数据引用</x:v>
      </x:c>
      <x:c r="H70" s="48" t="str">
        <x:v>请根据报告引用的环境质量公报及现状数据，判断大气和地表水环境质量现状数据引用是否准确。</x:v>
      </x:c>
      <x:c r="I70" s="48" t="str">
        <x:v>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x:v>
      </x:c>
      <x:c r="J70" s="48" t="str">
        <x:v>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x:v>
      </x:c>
      <x:c r="K70" s="48" t="str">
        <x:v>生态环境状况公报知识库; 收纳水体地表水执行标准</x:v>
      </x:c>
      <x:c r="L70" s="48" t="str">
        <x:v>2</x:v>
      </x:c>
      <x:c r="M70" s="48" t="str">
        <x:v>2</x:v>
      </x:c>
      <x:c r="N70" s="48" t="str">
        <x:v>False</x:v>
      </x:c>
      <x:c r="O70" s="48" t="str">
        <x:v>正确</x:v>
      </x:c>
      <x:c r="P70" s="48" t="str">
        <x:v>大气:正确; 地表水:正确; 报告日期:2023</x:v>
      </x:c>
      <x:c r="Q70" s="48"/>
      <x:c r="R70" s="48"/>
      <x:c r="S70" s="48" t="str">
        <x:v>是</x:v>
      </x:c>
      <x:c r="T70" s="48" t="str">
        <x:v>未发现实质性问题。报告大气和地表水环境质量引用数据与2022年度公报一致，伦教污水处理厂受纳水体李家沙水道及执行标准Ⅲ类与官方登记一致。</x:v>
      </x:c>
      <x:c r="U70" s="48" t="str">
        <x:v>30个环评_大气及地表水环境质量现状数据引用复核QA</x:v>
      </x:c>
      <x:c r="V70" s="48" t="str">
        <x:v>环境质量数据引用</x:v>
      </x:c>
      <x:c r="W70" s="48" t="str">
        <x:v>正确</x:v>
      </x:c>
      <x:c r="X70" s="48" t="str">
        <x:v>无误</x:v>
      </x:c>
      <x:c r="Y70" s="64"/>
      <x:c r="Z70" s="64" t="str">
        <x:v>未复核</x:v>
      </x:c>
      <x:c r="AA70" s="64" t="str">
        <x:v>部分充分</x:v>
      </x:c>
      <x:c r="AB70" s="64" t="str">
        <x:v>有效</x:v>
      </x:c>
      <x:c r="AC70" s="64" t="str">
        <x:v>部分核验</x:v>
      </x:c>
      <x:c r="AD70" s="64" t="str">
        <x:v>自动默认</x:v>
      </x:c>
      <x:c r="AE70" s="64" t="str">
        <x:v>候选池</x:v>
      </x:c>
      <x:c r="AF70" s="64" t="str">
        <x:v>A_仅待终审</x:v>
      </x:c>
      <x:c r="AG70" s="64"/>
      <x:c r="AH70" s="64"/>
      <x:c r="AI70" s="64"/>
      <x:c r="AJ70" s="64"/>
      <x:c r="AK70" s="64"/>
      <x:c r="AL70" s="64"/>
      <x:c r="AM70" s="64"/>
      <x:c r="AN70" s="48" t="str">
        <x:v>70</x:v>
      </x:c>
      <x:c r="AO70" s="48" t="str">
        <x:v>MAP_正确</x:v>
      </x:c>
      <x:c r="AP70" s="48" t="str">
        <x:v>存在报告证据，但尚未经人工逐项核验；已列依据来源，但未在本阶段逐条核验</x:v>
      </x:c>
      <x:c r="AQ70" s="64"/>
      <x:c r="AR70" s="48" t="str">
        <x:v>environmental_quality_data</x:v>
      </x:c>
      <x:c r="AS70" s="48" t="str">
        <x:v>L3_analysis</x:v>
      </x:c>
      <x:c r="AT70" s="48" t="str">
        <x:v>consistency_comparison</x:v>
      </x:c>
      <x:c r="AU70" s="48" t="str">
        <x:v>evidence_integration</x:v>
      </x:c>
      <x:c r="AV70" s="48" t="str">
        <x:v>report_grounding；basis_grounding</x:v>
      </x:c>
      <x:c r="AW70" s="48" t="str">
        <x:v>high</x:v>
      </x:c>
      <x:c r="AX70" s="48" t="str">
        <x:v>high</x:v>
      </x:c>
      <x:c r="AY70" s="48" t="str">
        <x:v>report_plus_external</x:v>
      </x:c>
      <x:c r="AZ70" s="48" t="str">
        <x:v>True</x:v>
      </x:c>
      <x:c r="BA70" s="48"/>
      <x:c r="BB70" s="48" t="str">
        <x:v>auto_default</x:v>
      </x:c>
      <x:c r="BC70" s="48" t="str">
        <x:v>v1</x:v>
      </x:c>
      <x:c r="BD70" s="68"/>
    </x:row>
    <x:row r="71" ht="36" customHeight="1">
      <x:c r="A71" s="47" t="str">
        <x:v>2026-07-27</x:v>
      </x:c>
      <x:c r="B71" s="48" t="str">
        <x:v>PL013</x:v>
      </x:c>
      <x:c r="C71" s="48" t="str">
        <x:v>V01</x:v>
      </x:c>
      <x:c r="D71" s="48" t="str">
        <x:v>PL013_佛山市顺德区百洛电器有限公司迁扩建项目_01_修改评估意见.docx</x:v>
      </x:c>
      <x:c r="E71" s="48" t="str">
        <x:v>佛山市顺德区百洛电器有限公司迁扩建项目</x:v>
      </x:c>
      <x:c r="F71" s="48" t="str">
        <x:v>PL013_Emission_水污</x:v>
      </x:c>
      <x:c r="G71" s="48" t="str">
        <x:v>污染物排放标准-水污染物排放标准</x:v>
      </x:c>
      <x:c r="H7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71" s="48" t="str">
        <x:v>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x:v>
      </x:c>
      <x:c r="J71" s="48" t="str">
        <x:v>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x:v>
      </x:c>
      <x:c r="K71" s="48" t="str">
        <x:v>emission-standard-kb.jsonl; DB44/26-2001; DB44/2367-2022; GB31572-2015; GB14554-93; GB12348-2008; GB18597-2023; GB18599-2020</x:v>
      </x:c>
      <x:c r="L71" s="48" t="str">
        <x:v>2</x:v>
      </x:c>
      <x:c r="M71" s="48" t="str">
        <x:v>2</x:v>
      </x:c>
      <x:c r="N71" s="48" t="str">
        <x:v>False</x:v>
      </x:c>
      <x:c r="O71" s="48" t="str">
        <x:v>需复核</x:v>
      </x:c>
      <x:c r="P71"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71" s="48"/>
      <x:c r="R71" s="48"/>
      <x:c r="S71" s="48" t="str">
        <x:v>是</x:v>
      </x:c>
      <x:c r="T71" s="48" t="str">
        <x:v>原综合排放标准问答对拆分而来</x:v>
      </x:c>
      <x:c r="U71" s="48" t="str">
        <x:v>30份环评_污染物排放控制执行标准复核QA(拆分版)</x:v>
      </x:c>
      <x:c r="V71" s="48" t="str">
        <x:v>水污染物排放标准</x:v>
      </x:c>
      <x:c r="W71" s="48" t="str">
        <x:v>需复核</x:v>
      </x:c>
      <x:c r="X71" s="48" t="str">
        <x:v>需人工复核</x:v>
      </x:c>
      <x:c r="Y71" s="64"/>
      <x:c r="Z71" s="64" t="str">
        <x:v>未复核</x:v>
      </x:c>
      <x:c r="AA71" s="64" t="str">
        <x:v>部分充分</x:v>
      </x:c>
      <x:c r="AB71" s="64" t="str">
        <x:v>有效</x:v>
      </x:c>
      <x:c r="AC71" s="64" t="str">
        <x:v>部分核验</x:v>
      </x:c>
      <x:c r="AD71" s="64" t="str">
        <x:v>自动默认</x:v>
      </x:c>
      <x:c r="AE71" s="64" t="str">
        <x:v>候选池</x:v>
      </x:c>
      <x:c r="AF71" s="64" t="str">
        <x:v>B_证据不足</x:v>
      </x:c>
      <x:c r="AG71" s="64"/>
      <x:c r="AH71" s="64"/>
      <x:c r="AI71" s="64"/>
      <x:c r="AJ71" s="64"/>
      <x:c r="AK71" s="64"/>
      <x:c r="AL71" s="64"/>
      <x:c r="AM71" s="64"/>
      <x:c r="AN71" s="48" t="str">
        <x:v>71</x:v>
      </x:c>
      <x:c r="AO71" s="48" t="str">
        <x:v>MAP_需复核</x:v>
      </x:c>
      <x:c r="AP71" s="48" t="str">
        <x:v>原结论明确要求人工复核；存在报告证据，但尚未经人工逐项核验；已列依据来源，但未在本阶段逐条核验</x:v>
      </x:c>
      <x:c r="AQ71" s="64"/>
      <x:c r="AR71" s="48" t="str">
        <x:v>water_emission_standard</x:v>
      </x:c>
      <x:c r="AS71" s="48" t="str">
        <x:v>L3_analysis</x:v>
      </x:c>
      <x:c r="AT71" s="48" t="str">
        <x:v>rule_applicability</x:v>
      </x:c>
      <x:c r="AU71" s="48" t="str">
        <x:v>basis_grounding</x:v>
      </x:c>
      <x:c r="AV71" s="48" t="str">
        <x:v>report_grounding；procedural_reasoning</x:v>
      </x:c>
      <x:c r="AW71" s="48" t="str">
        <x:v>high</x:v>
      </x:c>
      <x:c r="AX71" s="48" t="str">
        <x:v>high</x:v>
      </x:c>
      <x:c r="AY71" s="48" t="str">
        <x:v>report_plus_external</x:v>
      </x:c>
      <x:c r="AZ71" s="48" t="str">
        <x:v>True</x:v>
      </x:c>
      <x:c r="BA71" s="48"/>
      <x:c r="BB71" s="48" t="str">
        <x:v>auto_default</x:v>
      </x:c>
      <x:c r="BC71" s="48" t="str">
        <x:v>v1</x:v>
      </x:c>
      <x:c r="BD71" s="68"/>
    </x:row>
    <x:row r="72" ht="36" customHeight="1">
      <x:c r="A72" s="47" t="str">
        <x:v>2026-07-27</x:v>
      </x:c>
      <x:c r="B72" s="48" t="str">
        <x:v>PL013</x:v>
      </x:c>
      <x:c r="C72" s="48" t="str">
        <x:v>V01</x:v>
      </x:c>
      <x:c r="D72" s="48" t="str">
        <x:v>PL013_佛山市顺德区百洛电器有限公司迁扩建项目_01_修改评估意见.docx</x:v>
      </x:c>
      <x:c r="E72" s="48" t="str">
        <x:v>佛山市顺德区百洛电器有限公司迁扩建项目</x:v>
      </x:c>
      <x:c r="F72" s="48" t="str">
        <x:v>PL013_Emission_大气</x:v>
      </x:c>
      <x:c r="G72" s="48" t="str">
        <x:v>污染物排放标准-大气污染物排放标准</x:v>
      </x:c>
      <x:c r="H72" s="48" t="str">
        <x:v>请根据项目行业类别、生产工艺和污染因子，判断大气污染物排放标准选取是否合理。要求分析：污染源覆盖是否完整（列出所有大气污染源及对应标准），是否存在缺漏的污染源或标准。</x:v>
      </x:c>
      <x:c r="I72" s="48" t="str">
        <x:v>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x:v>
      </x:c>
      <x:c r="J72" s="48" t="str">
        <x:v>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x:v>
      </x:c>
      <x:c r="K72" s="48" t="str">
        <x:v>emission-standard-kb.jsonl; DB44/26-2001; DB44/2367-2022; GB31572-2015; GB14554-93; GB12348-2008; GB18597-2023; GB18599-2020</x:v>
      </x:c>
      <x:c r="L72" s="48" t="str">
        <x:v>2</x:v>
      </x:c>
      <x:c r="M72" s="48" t="str">
        <x:v>2</x:v>
      </x:c>
      <x:c r="N72" s="48" t="str">
        <x:v>False</x:v>
      </x:c>
      <x:c r="O72" s="48" t="str">
        <x:v>需复核</x:v>
      </x:c>
      <x:c r="P72"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72" s="48"/>
      <x:c r="R72" s="48"/>
      <x:c r="S72" s="48" t="str">
        <x:v>是</x:v>
      </x:c>
      <x:c r="T72" s="48" t="str">
        <x:v>原综合排放标准问答对拆分而来</x:v>
      </x:c>
      <x:c r="U72" s="48" t="str">
        <x:v>30份环评_污染物排放控制执行标准复核QA(拆分版)</x:v>
      </x:c>
      <x:c r="V72" s="48" t="str">
        <x:v>大气污染物排放标准</x:v>
      </x:c>
      <x:c r="W72" s="48" t="str">
        <x:v>需复核</x:v>
      </x:c>
      <x:c r="X72" s="48" t="str">
        <x:v>需人工复核</x:v>
      </x:c>
      <x:c r="Y72" s="64"/>
      <x:c r="Z72" s="64" t="str">
        <x:v>未复核</x:v>
      </x:c>
      <x:c r="AA72" s="64" t="str">
        <x:v>部分充分</x:v>
      </x:c>
      <x:c r="AB72" s="64" t="str">
        <x:v>有效</x:v>
      </x:c>
      <x:c r="AC72" s="64" t="str">
        <x:v>部分核验</x:v>
      </x:c>
      <x:c r="AD72" s="64" t="str">
        <x:v>自动默认</x:v>
      </x:c>
      <x:c r="AE72" s="64" t="str">
        <x:v>候选池</x:v>
      </x:c>
      <x:c r="AF72" s="64" t="str">
        <x:v>B_证据不足</x:v>
      </x:c>
      <x:c r="AG72" s="64"/>
      <x:c r="AH72" s="64"/>
      <x:c r="AI72" s="64"/>
      <x:c r="AJ72" s="64"/>
      <x:c r="AK72" s="64"/>
      <x:c r="AL72" s="64"/>
      <x:c r="AM72" s="64"/>
      <x:c r="AN72" s="48" t="str">
        <x:v>72</x:v>
      </x:c>
      <x:c r="AO72" s="48" t="str">
        <x:v>MAP_需复核</x:v>
      </x:c>
      <x:c r="AP72" s="48" t="str">
        <x:v>原结论明确要求人工复核；存在报告证据，但尚未经人工逐项核验；已列依据来源，但未在本阶段逐条核验</x:v>
      </x:c>
      <x:c r="AQ72" s="64"/>
      <x:c r="AR72" s="48" t="str">
        <x:v>air_emission_standard</x:v>
      </x:c>
      <x:c r="AS72" s="48" t="str">
        <x:v>L3_analysis</x:v>
      </x:c>
      <x:c r="AT72" s="48" t="str">
        <x:v>multi_evidence_synthesis</x:v>
      </x:c>
      <x:c r="AU72" s="48" t="str">
        <x:v>basis_grounding</x:v>
      </x:c>
      <x:c r="AV72" s="48" t="str">
        <x:v>report_grounding；evidence_integration</x:v>
      </x:c>
      <x:c r="AW72" s="48" t="str">
        <x:v>high</x:v>
      </x:c>
      <x:c r="AX72" s="48" t="str">
        <x:v>high</x:v>
      </x:c>
      <x:c r="AY72" s="48" t="str">
        <x:v>report_plus_external</x:v>
      </x:c>
      <x:c r="AZ72" s="48" t="str">
        <x:v>True</x:v>
      </x:c>
      <x:c r="BA72" s="48"/>
      <x:c r="BB72" s="48" t="str">
        <x:v>auto_default</x:v>
      </x:c>
      <x:c r="BC72" s="48" t="str">
        <x:v>v1</x:v>
      </x:c>
      <x:c r="BD72" s="68"/>
    </x:row>
    <x:row r="73" ht="36" customHeight="1">
      <x:c r="A73" s="47" t="str">
        <x:v>2026-07-27</x:v>
      </x:c>
      <x:c r="B73" s="48" t="str">
        <x:v>PL013</x:v>
      </x:c>
      <x:c r="C73" s="48" t="str">
        <x:v>V01</x:v>
      </x:c>
      <x:c r="D73" s="48" t="str">
        <x:v>PL013_佛山市顺德区百洛电器有限公司迁扩建项目_01_修改评估意见.docx</x:v>
      </x:c>
      <x:c r="E73" s="48" t="str">
        <x:v>佛山市顺德区百洛电器有限公司迁扩建项目</x:v>
      </x:c>
      <x:c r="F73" s="48" t="str">
        <x:v>PL013_Emission_噪声</x:v>
      </x:c>
      <x:c r="G73" s="48" t="str">
        <x:v>污染物排放标准-噪声排放标准</x:v>
      </x:c>
      <x:c r="H73" s="48" t="str">
        <x:v>请根据项目所属声环境功能区类别，判断噪声排放标准选取是否合理。要求总结声功能区类型、厂界执行标准（GB12348-2008）及昼夜限值，并与环评编制内容进行一致性分析。</x:v>
      </x:c>
      <x:c r="I73" s="48" t="str">
        <x:v>1、噪声排放标准中执行标准与排放限值内容：无误；
2、项目厂界噪声执行GB12348-2008 3类标准（昼间≤65dB(A)，夜间≤55dB(A)）。标准选取正确，适用，无误。</x:v>
      </x:c>
      <x:c r="J73" s="48" t="str">
        <x:v>噪声标准：'项目边界执行《工业企业厂界环境噪声排放标准》（GB12348-2008）中的3类标准：昼间≤65dB（A），夜间≤55dB（A）。'
4.</x:v>
      </x:c>
      <x:c r="K73" s="48" t="str">
        <x:v>emission-standard-kb.jsonl; DB44/26-2001; DB44/2367-2022; GB31572-2015; GB14554-93; GB12348-2008; GB18597-2023; GB18599-2020</x:v>
      </x:c>
      <x:c r="L73" s="48" t="str">
        <x:v>2</x:v>
      </x:c>
      <x:c r="M73" s="48" t="str">
        <x:v>2</x:v>
      </x:c>
      <x:c r="N73" s="48" t="str">
        <x:v>False</x:v>
      </x:c>
      <x:c r="O73" s="48" t="str">
        <x:v>无误</x:v>
      </x:c>
      <x:c r="P73"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73" s="48"/>
      <x:c r="R73" s="48"/>
      <x:c r="S73" s="48" t="str">
        <x:v>否</x:v>
      </x:c>
      <x:c r="T73" s="48" t="str">
        <x:v>原综合排放标准问答对拆分而来</x:v>
      </x:c>
      <x:c r="U73" s="48" t="str">
        <x:v>30份环评_污染物排放控制执行标准复核QA(拆分版)</x:v>
      </x:c>
      <x:c r="V73" s="48" t="str">
        <x:v>噪声排放标准</x:v>
      </x:c>
      <x:c r="W73" s="48" t="str">
        <x:v>无误</x:v>
      </x:c>
      <x:c r="X73" s="48" t="str">
        <x:v>无误</x:v>
      </x:c>
      <x:c r="Y73" s="64"/>
      <x:c r="Z73" s="64" t="str">
        <x:v>未复核</x:v>
      </x:c>
      <x:c r="AA73" s="64" t="str">
        <x:v>部分充分</x:v>
      </x:c>
      <x:c r="AB73" s="64" t="str">
        <x:v>有效</x:v>
      </x:c>
      <x:c r="AC73" s="64" t="str">
        <x:v>部分核验</x:v>
      </x:c>
      <x:c r="AD73" s="64" t="str">
        <x:v>自动默认</x:v>
      </x:c>
      <x:c r="AE73" s="64" t="str">
        <x:v>候选池</x:v>
      </x:c>
      <x:c r="AF73" s="64" t="str">
        <x:v>待分流</x:v>
      </x:c>
      <x:c r="AG73" s="64"/>
      <x:c r="AH73" s="64"/>
      <x:c r="AI73" s="64"/>
      <x:c r="AJ73" s="64"/>
      <x:c r="AK73" s="64"/>
      <x:c r="AL73" s="64"/>
      <x:c r="AM73" s="64"/>
      <x:c r="AN73" s="48" t="str">
        <x:v>73</x:v>
      </x:c>
      <x:c r="AO73" s="48" t="str">
        <x:v>MAP_无误</x:v>
      </x:c>
      <x:c r="AP73" s="48" t="str">
        <x:v>存在报告证据，但尚未经人工逐项核验；已列依据来源，但未在本阶段逐条核验</x:v>
      </x:c>
      <x:c r="AQ73" s="64"/>
      <x:c r="AR73" s="48" t="str">
        <x:v>noise_emission_standard</x:v>
      </x:c>
      <x:c r="AS73" s="48" t="str">
        <x:v>L2_application</x:v>
      </x:c>
      <x:c r="AT73" s="48" t="str">
        <x:v>rule_applicability</x:v>
      </x:c>
      <x:c r="AU73" s="48" t="str">
        <x:v>basis_grounding</x:v>
      </x:c>
      <x:c r="AV73" s="48" t="str">
        <x:v>report_grounding</x:v>
      </x:c>
      <x:c r="AW73" s="48" t="str">
        <x:v>high</x:v>
      </x:c>
      <x:c r="AX73" s="48" t="str">
        <x:v>medium</x:v>
      </x:c>
      <x:c r="AY73" s="48" t="str">
        <x:v>report_plus_external</x:v>
      </x:c>
      <x:c r="AZ73" s="48" t="str">
        <x:v>True</x:v>
      </x:c>
      <x:c r="BA73" s="48"/>
      <x:c r="BB73" s="48" t="str">
        <x:v>auto_default</x:v>
      </x:c>
      <x:c r="BC73" s="48" t="str">
        <x:v>v1</x:v>
      </x:c>
      <x:c r="BD73" s="68"/>
    </x:row>
    <x:row r="74" ht="36" customHeight="1">
      <x:c r="A74" s="47" t="str">
        <x:v>2026-07-27</x:v>
      </x:c>
      <x:c r="B74" s="48" t="str">
        <x:v>PL013</x:v>
      </x:c>
      <x:c r="C74" s="48" t="str">
        <x:v>V01</x:v>
      </x:c>
      <x:c r="D74" s="48" t="str">
        <x:v>PL013_佛山市顺德区百洛电器有限公司迁扩建项目_01_修改评估意见.docx</x:v>
      </x:c>
      <x:c r="E74" s="48" t="str">
        <x:v>佛山市顺德区百洛电器有限公司迁扩建项目</x:v>
      </x:c>
      <x:c r="F74" s="48" t="str">
        <x:v>PL013_Emission_固体</x:v>
      </x:c>
      <x:c r="G74" s="48" t="str">
        <x:v>污染物排放标准-固体废物控制标准</x:v>
      </x:c>
      <x:c r="H74" s="48" t="str">
        <x:v>请根据项目产生的固体废物和危险废物类型，判断固体废物控制标准选取是否合理。要求总结一般工业固体废物和危险废物执行标准的标准名称及编号，分析是否缺少必要标准条目。</x:v>
      </x:c>
      <x:c r="I74" s="4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74" s="48" t="str">
        <x:v>固废标准：'危险废物执行《国家危险废物名录》（2021版）以及《危险废物贮存污染控制标准》（GB18597-2023）。'</x:v>
      </x:c>
      <x:c r="K74" s="48" t="str">
        <x:v>emission-standard-kb.jsonl; DB44/26-2001; DB44/2367-2022; GB31572-2015; GB14554-93; GB12348-2008; GB18597-2023; GB18599-2020</x:v>
      </x:c>
      <x:c r="L74" s="48" t="str">
        <x:v>2</x:v>
      </x:c>
      <x:c r="M74" s="48" t="str">
        <x:v>2</x:v>
      </x:c>
      <x:c r="N74" s="48" t="str">
        <x:v>False</x:v>
      </x:c>
      <x:c r="O74" s="48" t="str">
        <x:v>无误</x:v>
      </x:c>
      <x:c r="P74"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74" s="48"/>
      <x:c r="R74" s="48"/>
      <x:c r="S74" s="48" t="str">
        <x:v>否</x:v>
      </x:c>
      <x:c r="T74" s="48" t="str">
        <x:v>修正：GB18599-2020不在知识库必须满足的标准清单中，原判定依据已更正。原综合排放标准问答对拆分而来</x:v>
      </x:c>
      <x:c r="U74" s="48" t="str">
        <x:v>30份环评_污染物排放控制执行标准复核QA(拆分版)</x:v>
      </x:c>
      <x:c r="V74" s="48" t="str">
        <x:v>固体废物控制标准</x:v>
      </x:c>
      <x:c r="W74" s="48" t="str">
        <x:v>无误</x:v>
      </x:c>
      <x:c r="X74" s="48" t="str">
        <x:v>无误</x:v>
      </x:c>
      <x:c r="Y74" s="64"/>
      <x:c r="Z74" s="64" t="str">
        <x:v>未复核</x:v>
      </x:c>
      <x:c r="AA74" s="64" t="str">
        <x:v>部分充分</x:v>
      </x:c>
      <x:c r="AB74" s="64" t="str">
        <x:v>有效</x:v>
      </x:c>
      <x:c r="AC74" s="64" t="str">
        <x:v>部分核验</x:v>
      </x:c>
      <x:c r="AD74" s="64" t="str">
        <x:v>自动默认</x:v>
      </x:c>
      <x:c r="AE74" s="64" t="str">
        <x:v>候选池</x:v>
      </x:c>
      <x:c r="AF74" s="64" t="str">
        <x:v>待分流</x:v>
      </x:c>
      <x:c r="AG74" s="64"/>
      <x:c r="AH74" s="64"/>
      <x:c r="AI74" s="64"/>
      <x:c r="AJ74" s="64"/>
      <x:c r="AK74" s="64"/>
      <x:c r="AL74" s="64"/>
      <x:c r="AM74" s="64"/>
      <x:c r="AN74" s="48" t="str">
        <x:v>74</x:v>
      </x:c>
      <x:c r="AO74" s="48" t="str">
        <x:v>MAP_无误</x:v>
      </x:c>
      <x:c r="AP74" s="48" t="str">
        <x:v>存在报告证据，但尚未经人工逐项核验；已列依据来源，但未在本阶段逐条核验</x:v>
      </x:c>
      <x:c r="AQ74" s="64"/>
      <x:c r="AR74" s="48" t="str">
        <x:v>solid_waste_standard</x:v>
      </x:c>
      <x:c r="AS74" s="48" t="str">
        <x:v>L2_application</x:v>
      </x:c>
      <x:c r="AT74" s="48" t="str">
        <x:v>rule_applicability</x:v>
      </x:c>
      <x:c r="AU74" s="48" t="str">
        <x:v>basis_grounding</x:v>
      </x:c>
      <x:c r="AV74" s="48" t="str">
        <x:v>report_grounding</x:v>
      </x:c>
      <x:c r="AW74" s="48" t="str">
        <x:v>high</x:v>
      </x:c>
      <x:c r="AX74" s="48" t="str">
        <x:v>medium</x:v>
      </x:c>
      <x:c r="AY74" s="48" t="str">
        <x:v>report_plus_external</x:v>
      </x:c>
      <x:c r="AZ74" s="48" t="str">
        <x:v>True</x:v>
      </x:c>
      <x:c r="BA74" s="48"/>
      <x:c r="BB74" s="48" t="str">
        <x:v>auto_default</x:v>
      </x:c>
      <x:c r="BC74" s="48" t="str">
        <x:v>v1</x:v>
      </x:c>
      <x:c r="BD74" s="68"/>
    </x:row>
    <x:row r="75" ht="36" customHeight="1">
      <x:c r="A75" s="47" t="str">
        <x:v>2026-07-28</x:v>
      </x:c>
      <x:c r="B75" s="48" t="str">
        <x:v>PL014</x:v>
      </x:c>
      <x:c r="C75" s="48" t="str">
        <x:v>V01</x:v>
      </x:c>
      <x:c r="D75" s="48" t="str">
        <x:v>PL014_佛山市顺德区蓝顿涂料有限公司迁建项目_01_修改评估意见.docx</x:v>
      </x:c>
      <x:c r="E75" s="48" t="str">
        <x:v>佛山市顺德区蓝顿涂料有限公司迁建项目</x:v>
      </x:c>
      <x:c r="F75" s="48" t="str">
        <x:v>PL014_EnvQuality_Q01</x:v>
      </x:c>
      <x:c r="G75" s="48" t="str">
        <x:v>大气及地表水环境质量现状数据引用</x:v>
      </x:c>
      <x:c r="H75" s="48" t="str">
        <x:v>请根据报告引用的环境质量公报及现状数据，判断大气和地表水环境质量现状数据引用是否准确。</x:v>
      </x:c>
      <x:c r="I75" s="48" t="str">
        <x:v>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x:v>
      </x:c>
      <x:c r="J75" s="48" t="str">
        <x:v>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x:v>
      </x:c>
      <x:c r="K75" s="48" t="str">
        <x:v>生态环境状况公报知识库; 收纳水体地表水执行标准</x:v>
      </x:c>
      <x:c r="L75" s="48" t="str">
        <x:v>2</x:v>
      </x:c>
      <x:c r="M75" s="48" t="str">
        <x:v>2</x:v>
      </x:c>
      <x:c r="N75" s="48" t="str">
        <x:v>False</x:v>
      </x:c>
      <x:c r="O75" s="48" t="str">
        <x:v>不正确</x:v>
      </x:c>
      <x:c r="P75" s="48" t="str">
        <x:v>大气:正确; 地表水:不正确; 报告日期:2024</x:v>
      </x:c>
      <x:c r="Q75" s="48"/>
      <x:c r="R75" s="48"/>
      <x:c r="S75" s="48" t="str">
        <x:v>是</x:v>
      </x:c>
      <x:c r="T75" s="48" t="str">
        <x:v>杏坛污水处理厂尾水受纳河道报告称为顺德支流，与官方登记的顺德水道不一致；执行标准报告称为Ⅲ类，与官方登记的II类不一致。顺德支流与顺德水道为不同水体。</x:v>
      </x:c>
      <x:c r="U75" s="48" t="str">
        <x:v>30个环评_大气及地表水环境质量现状数据引用复核QA</x:v>
      </x:c>
      <x:c r="V75" s="48" t="str">
        <x:v>环境质量数据引用</x:v>
      </x:c>
      <x:c r="W75" s="48" t="str">
        <x:v>不正确</x:v>
      </x:c>
      <x:c r="X75" s="48" t="str">
        <x:v>待判断</x:v>
      </x:c>
      <x:c r="Y75" s="64"/>
      <x:c r="Z75" s="64" t="str">
        <x:v>未复核</x:v>
      </x:c>
      <x:c r="AA75" s="64" t="str">
        <x:v>部分充分</x:v>
      </x:c>
      <x:c r="AB75" s="64" t="str">
        <x:v>有效</x:v>
      </x:c>
      <x:c r="AC75" s="64" t="str">
        <x:v>部分核验</x:v>
      </x:c>
      <x:c r="AD75" s="64" t="str">
        <x:v>自动默认</x:v>
      </x:c>
      <x:c r="AE75" s="64" t="str">
        <x:v>候选池</x:v>
      </x:c>
      <x:c r="AF75" s="64" t="str">
        <x:v>A_仅待终审</x:v>
      </x:c>
      <x:c r="AG75" s="64"/>
      <x:c r="AH75" s="64"/>
      <x:c r="AI75" s="64"/>
      <x:c r="AJ75" s="64"/>
      <x:c r="AK75" s="64"/>
      <x:c r="AL75" s="64"/>
      <x:c r="AM75" s="64"/>
      <x:c r="AN75" s="48" t="str">
        <x:v>75</x:v>
      </x:c>
      <x:c r="AO75" s="48" t="str">
        <x:v>MAP_不正确</x:v>
      </x:c>
      <x:c r="AP75" s="48" t="str">
        <x:v>需人工区分存在错误或存在缺漏；存在报告证据，但尚未经人工逐项核验；已列依据来源，但未在本阶段逐条核验</x:v>
      </x:c>
      <x:c r="AQ75" s="64"/>
      <x:c r="AR75" s="48" t="str">
        <x:v>environmental_quality_data</x:v>
      </x:c>
      <x:c r="AS75" s="48" t="str">
        <x:v>L3_analysis</x:v>
      </x:c>
      <x:c r="AT75" s="48" t="str">
        <x:v>consistency_comparison</x:v>
      </x:c>
      <x:c r="AU75" s="48" t="str">
        <x:v>evidence_integration</x:v>
      </x:c>
      <x:c r="AV75" s="48" t="str">
        <x:v>report_grounding；basis_grounding</x:v>
      </x:c>
      <x:c r="AW75" s="48" t="str">
        <x:v>high</x:v>
      </x:c>
      <x:c r="AX75" s="48" t="str">
        <x:v>high</x:v>
      </x:c>
      <x:c r="AY75" s="48" t="str">
        <x:v>report_plus_external</x:v>
      </x:c>
      <x:c r="AZ75" s="48" t="str">
        <x:v>True</x:v>
      </x:c>
      <x:c r="BA75" s="48"/>
      <x:c r="BB75" s="48" t="str">
        <x:v>auto_default</x:v>
      </x:c>
      <x:c r="BC75" s="48" t="str">
        <x:v>v1</x:v>
      </x:c>
      <x:c r="BD75" s="68"/>
    </x:row>
    <x:row r="76" ht="36" customHeight="1">
      <x:c r="A76" s="47" t="str">
        <x:v>2026-07-27</x:v>
      </x:c>
      <x:c r="B76" s="48" t="str">
        <x:v>PL014</x:v>
      </x:c>
      <x:c r="C76" s="48" t="str">
        <x:v>V01</x:v>
      </x:c>
      <x:c r="D76" s="48" t="str">
        <x:v>PL014_佛山市顺德区蓝顿涂料有限公司迁建项目_01_修改评估意见.docx</x:v>
      </x:c>
      <x:c r="E76" s="48" t="str">
        <x:v>佛山市顺德区蓝顿涂料有限公司迁建项目</x:v>
      </x:c>
      <x:c r="F76" s="48" t="str">
        <x:v>PL014_Emission_水污</x:v>
      </x:c>
      <x:c r="G76" s="48" t="str">
        <x:v>污染物排放标准-水污染物排放标准</x:v>
      </x:c>
      <x:c r="H7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76" s="48" t="str">
        <x:v>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x:v>
      </x:c>
      <x:c r="J76" s="48" t="str">
        <x:v>水标准：'迁建前项目外排废水主要为员工生活污水……经独立的生活污水处理设施处理达标后排至附近竹筒窖涌。'（未明确执行标准名称）</x:v>
      </x:c>
      <x:c r="K76" s="48" t="str">
        <x:v>emission-standard-kb.jsonl; DB44/26-2001; DB44/2367-2022; GB31572-2015; GB14554-93; GB12348-2008; GB18597-2023; GB18599-2020</x:v>
      </x:c>
      <x:c r="L76" s="48" t="str">
        <x:v>2</x:v>
      </x:c>
      <x:c r="M76" s="48" t="str">
        <x:v>2</x:v>
      </x:c>
      <x:c r="N76" s="48" t="str">
        <x:v>False</x:v>
      </x:c>
      <x:c r="O76" s="48" t="str">
        <x:v>无法判断</x:v>
      </x:c>
      <x:c r="P76"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76" s="48"/>
      <x:c r="R76" s="48"/>
      <x:c r="S76" s="48" t="str">
        <x:v>是</x:v>
      </x:c>
      <x:c r="T76" s="48" t="str">
        <x:v>原综合排放标准问答对拆分而来</x:v>
      </x:c>
      <x:c r="U76" s="48" t="str">
        <x:v>30份环评_污染物排放控制执行标准复核QA(拆分版)</x:v>
      </x:c>
      <x:c r="V76" s="48" t="str">
        <x:v>水污染物排放标准</x:v>
      </x:c>
      <x:c r="W76" s="48" t="str">
        <x:v>无法判断</x:v>
      </x:c>
      <x:c r="X76" s="48" t="str">
        <x:v>证据不足</x:v>
      </x:c>
      <x:c r="Y76" s="64"/>
      <x:c r="Z76" s="64" t="str">
        <x:v>未复核</x:v>
      </x:c>
      <x:c r="AA76" s="64" t="str">
        <x:v>不足</x:v>
      </x:c>
      <x:c r="AB76" s="64" t="str">
        <x:v>有效</x:v>
      </x:c>
      <x:c r="AC76" s="64" t="str">
        <x:v>部分核验</x:v>
      </x:c>
      <x:c r="AD76" s="64" t="str">
        <x:v>自动默认</x:v>
      </x:c>
      <x:c r="AE76" s="64" t="str">
        <x:v>候选池</x:v>
      </x:c>
      <x:c r="AF76" s="64" t="str">
        <x:v>B_证据不足</x:v>
      </x:c>
      <x:c r="AG76" s="64"/>
      <x:c r="AH76" s="64"/>
      <x:c r="AI76" s="64"/>
      <x:c r="AJ76" s="64"/>
      <x:c r="AK76" s="64"/>
      <x:c r="AL76" s="64"/>
      <x:c r="AM76" s="64"/>
      <x:c r="AN76" s="48" t="str">
        <x:v>76</x:v>
      </x:c>
      <x:c r="AO76" s="48" t="str">
        <x:v>MAP_无法判断+EVIDENCE_INSUFFICIENCY_SIGNAL</x:v>
      </x:c>
      <x:c r="AP76" s="48" t="str">
        <x:v>需人工区分证据不足、材料缺失或尚未审核；命中证据不足候选词：无法判断；已列依据来源，但未在本阶段逐条核验</x:v>
      </x:c>
      <x:c r="AQ76" s="64"/>
      <x:c r="AR76" s="48" t="str">
        <x:v>water_emission_standard</x:v>
      </x:c>
      <x:c r="AS76" s="48" t="str">
        <x:v>L3_analysis</x:v>
      </x:c>
      <x:c r="AT76" s="48" t="str">
        <x:v>rule_applicability</x:v>
      </x:c>
      <x:c r="AU76" s="48" t="str">
        <x:v>basis_grounding</x:v>
      </x:c>
      <x:c r="AV76" s="48" t="str">
        <x:v>report_grounding；procedural_reasoning</x:v>
      </x:c>
      <x:c r="AW76" s="48" t="str">
        <x:v>high</x:v>
      </x:c>
      <x:c r="AX76" s="48" t="str">
        <x:v>high</x:v>
      </x:c>
      <x:c r="AY76" s="48" t="str">
        <x:v>report_plus_external</x:v>
      </x:c>
      <x:c r="AZ76" s="48" t="str">
        <x:v>True</x:v>
      </x:c>
      <x:c r="BA76" s="48"/>
      <x:c r="BB76" s="48" t="str">
        <x:v>auto_default</x:v>
      </x:c>
      <x:c r="BC76" s="48" t="str">
        <x:v>v1</x:v>
      </x:c>
      <x:c r="BD76" s="68"/>
    </x:row>
    <x:row r="77" ht="36" customHeight="1">
      <x:c r="A77" s="47" t="str">
        <x:v>2026-07-27</x:v>
      </x:c>
      <x:c r="B77" s="48" t="str">
        <x:v>PL014</x:v>
      </x:c>
      <x:c r="C77" s="48" t="str">
        <x:v>V01</x:v>
      </x:c>
      <x:c r="D77" s="48" t="str">
        <x:v>PL014_佛山市顺德区蓝顿涂料有限公司迁建项目_01_修改评估意见.docx</x:v>
      </x:c>
      <x:c r="E77" s="48" t="str">
        <x:v>佛山市顺德区蓝顿涂料有限公司迁建项目</x:v>
      </x:c>
      <x:c r="F77" s="48" t="str">
        <x:v>PL014_Emission_大气</x:v>
      </x:c>
      <x:c r="G77" s="48" t="str">
        <x:v>污染物排放标准-大气污染物排放标准</x:v>
      </x:c>
      <x:c r="H77" s="48" t="str">
        <x:v>请根据项目行业类别、生产工艺和污染因子，判断大气污染物排放标准选取是否合理。要求分析：污染源覆盖是否完整（列出所有大气污染源及对应标准），是否存在缺漏的污染源或标准。</x:v>
      </x:c>
      <x:c r="I77" s="48" t="str">
        <x:v>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x:v>
      </x:c>
      <x:c r="J77" s="48" t="str">
        <x:v>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x:v>
      </x:c>
      <x:c r="K77" s="48" t="str">
        <x:v>emission-standard-kb.jsonl; DB44/26-2001; DB44/2367-2022; GB31572-2015; GB14554-93; GB12348-2008; GB18597-2023; GB18599-2020</x:v>
      </x:c>
      <x:c r="L77" s="48" t="str">
        <x:v>2</x:v>
      </x:c>
      <x:c r="M77" s="48" t="str">
        <x:v>2</x:v>
      </x:c>
      <x:c r="N77" s="48" t="str">
        <x:v>False</x:v>
      </x:c>
      <x:c r="O77" s="48" t="str">
        <x:v>需复核</x:v>
      </x:c>
      <x:c r="P77"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77" s="48"/>
      <x:c r="R77" s="48"/>
      <x:c r="S77" s="48" t="str">
        <x:v>是</x:v>
      </x:c>
      <x:c r="T77" s="48" t="str">
        <x:v>原综合排放标准问答对拆分而来</x:v>
      </x:c>
      <x:c r="U77" s="48" t="str">
        <x:v>30份环评_污染物排放控制执行标准复核QA(拆分版)</x:v>
      </x:c>
      <x:c r="V77" s="48" t="str">
        <x:v>大气污染物排放标准</x:v>
      </x:c>
      <x:c r="W77" s="48" t="str">
        <x:v>需复核</x:v>
      </x:c>
      <x:c r="X77" s="48" t="str">
        <x:v>需人工复核</x:v>
      </x:c>
      <x:c r="Y77" s="64"/>
      <x:c r="Z77" s="64" t="str">
        <x:v>未复核</x:v>
      </x:c>
      <x:c r="AA77" s="64" t="str">
        <x:v>部分充分</x:v>
      </x:c>
      <x:c r="AB77" s="64" t="str">
        <x:v>有效</x:v>
      </x:c>
      <x:c r="AC77" s="64" t="str">
        <x:v>部分核验</x:v>
      </x:c>
      <x:c r="AD77" s="64" t="str">
        <x:v>自动默认</x:v>
      </x:c>
      <x:c r="AE77" s="64" t="str">
        <x:v>候选池</x:v>
      </x:c>
      <x:c r="AF77" s="64" t="str">
        <x:v>B_证据不足</x:v>
      </x:c>
      <x:c r="AG77" s="64"/>
      <x:c r="AH77" s="64"/>
      <x:c r="AI77" s="64"/>
      <x:c r="AJ77" s="64"/>
      <x:c r="AK77" s="64"/>
      <x:c r="AL77" s="64"/>
      <x:c r="AM77" s="64"/>
      <x:c r="AN77" s="48" t="str">
        <x:v>77</x:v>
      </x:c>
      <x:c r="AO77" s="48" t="str">
        <x:v>MAP_需复核</x:v>
      </x:c>
      <x:c r="AP77" s="48" t="str">
        <x:v>原结论明确要求人工复核；存在报告证据，但尚未经人工逐项核验；已列依据来源，但未在本阶段逐条核验</x:v>
      </x:c>
      <x:c r="AQ77" s="64"/>
      <x:c r="AR77" s="48" t="str">
        <x:v>air_emission_standard</x:v>
      </x:c>
      <x:c r="AS77" s="48" t="str">
        <x:v>L3_analysis</x:v>
      </x:c>
      <x:c r="AT77" s="48" t="str">
        <x:v>multi_evidence_synthesis</x:v>
      </x:c>
      <x:c r="AU77" s="48" t="str">
        <x:v>basis_grounding</x:v>
      </x:c>
      <x:c r="AV77" s="48" t="str">
        <x:v>report_grounding；evidence_integration</x:v>
      </x:c>
      <x:c r="AW77" s="48" t="str">
        <x:v>high</x:v>
      </x:c>
      <x:c r="AX77" s="48" t="str">
        <x:v>high</x:v>
      </x:c>
      <x:c r="AY77" s="48" t="str">
        <x:v>report_plus_external</x:v>
      </x:c>
      <x:c r="AZ77" s="48" t="str">
        <x:v>True</x:v>
      </x:c>
      <x:c r="BA77" s="48"/>
      <x:c r="BB77" s="48" t="str">
        <x:v>auto_default</x:v>
      </x:c>
      <x:c r="BC77" s="48" t="str">
        <x:v>v1</x:v>
      </x:c>
      <x:c r="BD77" s="68"/>
    </x:row>
    <x:row r="78" ht="36" customHeight="1">
      <x:c r="A78" s="47" t="str">
        <x:v>2026-07-27</x:v>
      </x:c>
      <x:c r="B78" s="48" t="str">
        <x:v>PL014</x:v>
      </x:c>
      <x:c r="C78" s="48" t="str">
        <x:v>V01</x:v>
      </x:c>
      <x:c r="D78" s="48" t="str">
        <x:v>PL014_佛山市顺德区蓝顿涂料有限公司迁建项目_01_修改评估意见.docx</x:v>
      </x:c>
      <x:c r="E78" s="48" t="str">
        <x:v>佛山市顺德区蓝顿涂料有限公司迁建项目</x:v>
      </x:c>
      <x:c r="F78" s="48" t="str">
        <x:v>PL014_Emission_噪声</x:v>
      </x:c>
      <x:c r="G78" s="48" t="str">
        <x:v>污染物排放标准-噪声排放标准</x:v>
      </x:c>
      <x:c r="H78" s="48" t="str">
        <x:v>请根据项目所属声环境功能区类别，判断噪声排放标准选取是否合理。要求总结声功能区类型、厂界执行标准（GB12348-2008）及昼夜限值，并与环评编制内容进行一致性分析。</x:v>
      </x:c>
      <x:c r="I78" s="48" t="str">
        <x:v>1、噪声排放标准中执行标准与排放限值内容：需复核；
2、文本显示迁建前项目厂界噪声达到GB12348-2008 3类标准。标准选取正确。迁建后项目噪声标准未在本段明确。</x:v>
      </x:c>
      <x:c r="J78" s="48" t="str">
        <x:v>噪声标准：'根据监测结果可知，厂界噪声可达到《工业企业厂界环境噪声排放标准》（GB12348-2008）中3类标准。'
4.</x:v>
      </x:c>
      <x:c r="K78" s="48" t="str">
        <x:v>emission-standard-kb.jsonl; DB44/26-2001; DB44/2367-2022; GB31572-2015; GB14554-93; GB12348-2008; GB18597-2023; GB18599-2020</x:v>
      </x:c>
      <x:c r="L78" s="48" t="str">
        <x:v>2</x:v>
      </x:c>
      <x:c r="M78" s="48" t="str">
        <x:v>2</x:v>
      </x:c>
      <x:c r="N78" s="48" t="str">
        <x:v>False</x:v>
      </x:c>
      <x:c r="O78" s="48" t="str">
        <x:v>需复核</x:v>
      </x:c>
      <x:c r="P78"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78" s="48"/>
      <x:c r="R78" s="48"/>
      <x:c r="S78" s="48" t="str">
        <x:v>是</x:v>
      </x:c>
      <x:c r="T78" s="48" t="str">
        <x:v>原综合排放标准问答对拆分而来</x:v>
      </x:c>
      <x:c r="U78" s="48" t="str">
        <x:v>30份环评_污染物排放控制执行标准复核QA(拆分版)</x:v>
      </x:c>
      <x:c r="V78" s="48" t="str">
        <x:v>噪声排放标准</x:v>
      </x:c>
      <x:c r="W78" s="48" t="str">
        <x:v>需复核</x:v>
      </x:c>
      <x:c r="X78" s="48" t="str">
        <x:v>需人工复核</x:v>
      </x:c>
      <x:c r="Y78" s="64"/>
      <x:c r="Z78" s="64" t="str">
        <x:v>未复核</x:v>
      </x:c>
      <x:c r="AA78" s="64" t="str">
        <x:v>部分充分</x:v>
      </x:c>
      <x:c r="AB78" s="64" t="str">
        <x:v>有效</x:v>
      </x:c>
      <x:c r="AC78" s="64" t="str">
        <x:v>部分核验</x:v>
      </x:c>
      <x:c r="AD78" s="64" t="str">
        <x:v>自动默认</x:v>
      </x:c>
      <x:c r="AE78" s="64" t="str">
        <x:v>候选池</x:v>
      </x:c>
      <x:c r="AF78" s="64" t="str">
        <x:v>B_证据不足</x:v>
      </x:c>
      <x:c r="AG78" s="64"/>
      <x:c r="AH78" s="64"/>
      <x:c r="AI78" s="64"/>
      <x:c r="AJ78" s="64"/>
      <x:c r="AK78" s="64"/>
      <x:c r="AL78" s="64"/>
      <x:c r="AM78" s="64"/>
      <x:c r="AN78" s="48" t="str">
        <x:v>78</x:v>
      </x:c>
      <x:c r="AO78" s="48" t="str">
        <x:v>MAP_需复核</x:v>
      </x:c>
      <x:c r="AP78" s="48" t="str">
        <x:v>原结论明确要求人工复核；存在报告证据，但尚未经人工逐项核验；已列依据来源，但未在本阶段逐条核验</x:v>
      </x:c>
      <x:c r="AQ78" s="64"/>
      <x:c r="AR78" s="48" t="str">
        <x:v>noise_emission_standard</x:v>
      </x:c>
      <x:c r="AS78" s="48" t="str">
        <x:v>L2_application</x:v>
      </x:c>
      <x:c r="AT78" s="48" t="str">
        <x:v>rule_applicability</x:v>
      </x:c>
      <x:c r="AU78" s="48" t="str">
        <x:v>basis_grounding</x:v>
      </x:c>
      <x:c r="AV78" s="48" t="str">
        <x:v>report_grounding</x:v>
      </x:c>
      <x:c r="AW78" s="48" t="str">
        <x:v>high</x:v>
      </x:c>
      <x:c r="AX78" s="48" t="str">
        <x:v>medium</x:v>
      </x:c>
      <x:c r="AY78" s="48" t="str">
        <x:v>report_plus_external</x:v>
      </x:c>
      <x:c r="AZ78" s="48" t="str">
        <x:v>True</x:v>
      </x:c>
      <x:c r="BA78" s="48"/>
      <x:c r="BB78" s="48" t="str">
        <x:v>auto_default</x:v>
      </x:c>
      <x:c r="BC78" s="48" t="str">
        <x:v>v1</x:v>
      </x:c>
      <x:c r="BD78" s="68"/>
    </x:row>
    <x:row r="79" ht="36" customHeight="1">
      <x:c r="A79" s="47" t="str">
        <x:v>2026-07-27</x:v>
      </x:c>
      <x:c r="B79" s="48" t="str">
        <x:v>PL014</x:v>
      </x:c>
      <x:c r="C79" s="48" t="str">
        <x:v>V01</x:v>
      </x:c>
      <x:c r="D79" s="48" t="str">
        <x:v>PL014_佛山市顺德区蓝顿涂料有限公司迁建项目_01_修改评估意见.docx</x:v>
      </x:c>
      <x:c r="E79" s="48" t="str">
        <x:v>佛山市顺德区蓝顿涂料有限公司迁建项目</x:v>
      </x:c>
      <x:c r="F79" s="48" t="str">
        <x:v>PL014_Emission_固体</x:v>
      </x:c>
      <x:c r="G79" s="48" t="str">
        <x:v>污染物排放标准-固体废物控制标准</x:v>
      </x:c>
      <x:c r="H79" s="48" t="str">
        <x:v>请根据项目产生的固体废物和危险废物类型，判断固体废物控制标准选取是否合理。要求总结一般工业固体废物和危险废物执行标准的标准名称及编号，分析是否缺少必要标准条目。</x:v>
      </x:c>
      <x:c r="I79"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79" s="48" t="str">
        <x:v>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x:v>
      </x:c>
      <x:c r="K79" s="48" t="str">
        <x:v>emission-standard-kb.jsonl; DB44/26-2001; DB44/2367-2022; GB31572-2015; GB14554-93; GB12348-2008; GB18597-2023; GB18599-2020</x:v>
      </x:c>
      <x:c r="L79" s="48" t="str">
        <x:v>2</x:v>
      </x:c>
      <x:c r="M79" s="48" t="str">
        <x:v>2</x:v>
      </x:c>
      <x:c r="N79" s="48" t="str">
        <x:v>False</x:v>
      </x:c>
      <x:c r="O79" s="48" t="str">
        <x:v>无误</x:v>
      </x:c>
      <x:c r="P79"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79" s="48"/>
      <x:c r="R79" s="48"/>
      <x:c r="S79" s="48" t="str">
        <x:v>否</x:v>
      </x:c>
      <x:c r="T79" s="48" t="str">
        <x:v>修正：GB18599-2020不在知识库必须满足的标准清单中，原判定依据已更正。原综合排放标准问答对拆分而来</x:v>
      </x:c>
      <x:c r="U79" s="48" t="str">
        <x:v>30份环评_污染物排放控制执行标准复核QA(拆分版)</x:v>
      </x:c>
      <x:c r="V79" s="48" t="str">
        <x:v>固体废物控制标准</x:v>
      </x:c>
      <x:c r="W79" s="48" t="str">
        <x:v>无误</x:v>
      </x:c>
      <x:c r="X79" s="48" t="str">
        <x:v>无误</x:v>
      </x:c>
      <x:c r="Y79" s="64"/>
      <x:c r="Z79" s="64" t="str">
        <x:v>未复核</x:v>
      </x:c>
      <x:c r="AA79" s="64" t="str">
        <x:v>部分充分</x:v>
      </x:c>
      <x:c r="AB79" s="64" t="str">
        <x:v>有效</x:v>
      </x:c>
      <x:c r="AC79" s="64" t="str">
        <x:v>部分核验</x:v>
      </x:c>
      <x:c r="AD79" s="64" t="str">
        <x:v>自动默认</x:v>
      </x:c>
      <x:c r="AE79" s="64" t="str">
        <x:v>候选池</x:v>
      </x:c>
      <x:c r="AF79" s="64" t="str">
        <x:v>待分流</x:v>
      </x:c>
      <x:c r="AG79" s="64"/>
      <x:c r="AH79" s="64"/>
      <x:c r="AI79" s="64"/>
      <x:c r="AJ79" s="64"/>
      <x:c r="AK79" s="64"/>
      <x:c r="AL79" s="64"/>
      <x:c r="AM79" s="64"/>
      <x:c r="AN79" s="48" t="str">
        <x:v>79</x:v>
      </x:c>
      <x:c r="AO79" s="48" t="str">
        <x:v>MAP_无误</x:v>
      </x:c>
      <x:c r="AP79" s="48" t="str">
        <x:v>存在报告证据，但尚未经人工逐项核验；已列依据来源，但未在本阶段逐条核验</x:v>
      </x:c>
      <x:c r="AQ79" s="64"/>
      <x:c r="AR79" s="48" t="str">
        <x:v>solid_waste_standard</x:v>
      </x:c>
      <x:c r="AS79" s="48" t="str">
        <x:v>L2_application</x:v>
      </x:c>
      <x:c r="AT79" s="48" t="str">
        <x:v>rule_applicability</x:v>
      </x:c>
      <x:c r="AU79" s="48" t="str">
        <x:v>basis_grounding</x:v>
      </x:c>
      <x:c r="AV79" s="48" t="str">
        <x:v>report_grounding</x:v>
      </x:c>
      <x:c r="AW79" s="48" t="str">
        <x:v>high</x:v>
      </x:c>
      <x:c r="AX79" s="48" t="str">
        <x:v>medium</x:v>
      </x:c>
      <x:c r="AY79" s="48" t="str">
        <x:v>report_plus_external</x:v>
      </x:c>
      <x:c r="AZ79" s="48" t="str">
        <x:v>True</x:v>
      </x:c>
      <x:c r="BA79" s="48"/>
      <x:c r="BB79" s="48" t="str">
        <x:v>auto_default</x:v>
      </x:c>
      <x:c r="BC79" s="48" t="str">
        <x:v>v1</x:v>
      </x:c>
      <x:c r="BD79" s="68"/>
    </x:row>
    <x:row r="80" ht="36" customHeight="1">
      <x:c r="A80" s="47" t="str">
        <x:v>2026-07-28</x:v>
      </x:c>
      <x:c r="B80" s="48" t="str">
        <x:v>PL015</x:v>
      </x:c>
      <x:c r="C80" s="48" t="str">
        <x:v>V01</x:v>
      </x:c>
      <x:c r="D80" s="48" t="str">
        <x:v>PL015_佛山市镪优金属制品有限公司迁扩建项目_01_修改评估意见.docx</x:v>
      </x:c>
      <x:c r="E80" s="48" t="str">
        <x:v>佛山市镪优金属制品有限公司迁扩建项目</x:v>
      </x:c>
      <x:c r="F80" s="48" t="str">
        <x:v>PL015_EnvQuality_Q01</x:v>
      </x:c>
      <x:c r="G80" s="48" t="str">
        <x:v>大气及地表水环境质量现状数据引用</x:v>
      </x:c>
      <x:c r="H80" s="48" t="str">
        <x:v>请根据报告引用的环境质量公报及现状数据，判断大气和地表水环境质量现状数据引用是否准确。</x:v>
      </x:c>
      <x:c r="I80" s="48" t="str">
        <x:v>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x:v>
      </x:c>
      <x:c r="J80" s="48" t="str">
        <x:v>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x:v>
      </x:c>
      <x:c r="K80" s="48" t="str">
        <x:v>生态环境状况公报知识库; 收纳水体地表水执行标准</x:v>
      </x:c>
      <x:c r="L80" s="48" t="str">
        <x:v>2</x:v>
      </x:c>
      <x:c r="M80" s="48" t="str">
        <x:v>2</x:v>
      </x:c>
      <x:c r="N80" s="48" t="str">
        <x:v>False</x:v>
      </x:c>
      <x:c r="O80" s="48" t="str">
        <x:v>无法判断</x:v>
      </x:c>
      <x:c r="P80" s="48" t="str">
        <x:v>大气:正确; 地表水:无法判断; 报告日期:2023</x:v>
      </x:c>
      <x:c r="Q80" s="48"/>
      <x:c r="R80" s="48"/>
      <x:c r="S80" s="48" t="str">
        <x:v>是</x:v>
      </x:c>
      <x:c r="T80" s="48" t="str">
        <x:v>项目依托的逢简工业园废水处理站不在污水处理厂知识库中，无法核验其尾水受纳水体（报告称见龙涌后汇入顺德支流）和执行标准是否与官方登记一致，地表水判定为无法判断。</x:v>
      </x:c>
      <x:c r="U80" s="48" t="str">
        <x:v>30个环评_大气及地表水环境质量现状数据引用复核QA</x:v>
      </x:c>
      <x:c r="V80" s="48" t="str">
        <x:v>环境质量数据引用</x:v>
      </x:c>
      <x:c r="W80" s="48" t="str">
        <x:v>无法判断</x:v>
      </x:c>
      <x:c r="X80" s="48" t="str">
        <x:v>证据不足</x:v>
      </x:c>
      <x:c r="Y80" s="64"/>
      <x:c r="Z80" s="64" t="str">
        <x:v>未复核</x:v>
      </x:c>
      <x:c r="AA80" s="64" t="str">
        <x:v>不足</x:v>
      </x:c>
      <x:c r="AB80" s="64" t="str">
        <x:v>有效</x:v>
      </x:c>
      <x:c r="AC80" s="64" t="str">
        <x:v>部分核验</x:v>
      </x:c>
      <x:c r="AD80" s="64" t="str">
        <x:v>自动默认</x:v>
      </x:c>
      <x:c r="AE80" s="64" t="str">
        <x:v>候选池</x:v>
      </x:c>
      <x:c r="AF80" s="64" t="str">
        <x:v>B_证据不足</x:v>
      </x:c>
      <x:c r="AG80" s="64"/>
      <x:c r="AH80" s="64"/>
      <x:c r="AI80" s="64"/>
      <x:c r="AJ80" s="64"/>
      <x:c r="AK80" s="64"/>
      <x:c r="AL80" s="64"/>
      <x:c r="AM80" s="64"/>
      <x:c r="AN80" s="48" t="str">
        <x:v>80</x:v>
      </x:c>
      <x:c r="AO80" s="48" t="str">
        <x:v>MAP_无法判断+EVIDENCE_INSUFFICIENCY_SIGNAL</x:v>
      </x:c>
      <x:c r="AP80" s="48" t="str">
        <x:v>需人工区分证据不足、材料缺失或尚未审核；命中证据不足候选词：无法判断；已列依据来源，但未在本阶段逐条核验</x:v>
      </x:c>
      <x:c r="AQ80" s="64"/>
      <x:c r="AR80" s="48" t="str">
        <x:v>environmental_quality_data</x:v>
      </x:c>
      <x:c r="AS80" s="48" t="str">
        <x:v>L3_analysis</x:v>
      </x:c>
      <x:c r="AT80" s="48" t="str">
        <x:v>consistency_comparison</x:v>
      </x:c>
      <x:c r="AU80" s="48" t="str">
        <x:v>evidence_integration</x:v>
      </x:c>
      <x:c r="AV80" s="48" t="str">
        <x:v>report_grounding；basis_grounding</x:v>
      </x:c>
      <x:c r="AW80" s="48" t="str">
        <x:v>high</x:v>
      </x:c>
      <x:c r="AX80" s="48" t="str">
        <x:v>high</x:v>
      </x:c>
      <x:c r="AY80" s="48" t="str">
        <x:v>report_plus_external</x:v>
      </x:c>
      <x:c r="AZ80" s="48" t="str">
        <x:v>True</x:v>
      </x:c>
      <x:c r="BA80" s="48"/>
      <x:c r="BB80" s="48" t="str">
        <x:v>auto_default</x:v>
      </x:c>
      <x:c r="BC80" s="48" t="str">
        <x:v>v1</x:v>
      </x:c>
      <x:c r="BD80" s="68"/>
    </x:row>
    <x:row r="81" ht="36" customHeight="1">
      <x:c r="A81" s="47" t="str">
        <x:v>2026-07-27</x:v>
      </x:c>
      <x:c r="B81" s="48" t="str">
        <x:v>PL015</x:v>
      </x:c>
      <x:c r="C81" s="48" t="str">
        <x:v>V01</x:v>
      </x:c>
      <x:c r="D81" s="48" t="str">
        <x:v>PL015_佛山市镪优金属制品有限公司迁扩建项目_01_修改评估意见.docx</x:v>
      </x:c>
      <x:c r="E81" s="48" t="str">
        <x:v>佛山市镪优金属制品有限公司迁扩建项目</x:v>
      </x:c>
      <x:c r="F81" s="48" t="str">
        <x:v>PL015_Emission_水污</x:v>
      </x:c>
      <x:c r="G81" s="48" t="str">
        <x:v>污染物排放标准-水污染物排放标准</x:v>
      </x:c>
      <x:c r="H8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81" s="48" t="str">
        <x:v>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x:v>
      </x:c>
      <x:c r="J81" s="48" t="str">
        <x:v>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x:v>
      </x:c>
      <x:c r="K81" s="48" t="str">
        <x:v>emission-standard-kb.jsonl; DB44/26-2001; DB44/2367-2022; GB31572-2015; GB14554-93; GB12348-2008; GB18597-2023; GB18599-2020</x:v>
      </x:c>
      <x:c r="L81" s="48" t="str">
        <x:v>2</x:v>
      </x:c>
      <x:c r="M81" s="48" t="str">
        <x:v>2</x:v>
      </x:c>
      <x:c r="N81" s="48" t="str">
        <x:v>False</x:v>
      </x:c>
      <x:c r="O81" s="48" t="str">
        <x:v>需复核</x:v>
      </x:c>
      <x:c r="P81"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81" s="48"/>
      <x:c r="R81" s="48"/>
      <x:c r="S81" s="48" t="str">
        <x:v>是</x:v>
      </x:c>
      <x:c r="T81" s="48" t="str">
        <x:v>原综合排放标准问答对拆分而来</x:v>
      </x:c>
      <x:c r="U81" s="48" t="str">
        <x:v>30份环评_污染物排放控制执行标准复核QA(拆分版)</x:v>
      </x:c>
      <x:c r="V81" s="48" t="str">
        <x:v>水污染物排放标准</x:v>
      </x:c>
      <x:c r="W81" s="48" t="str">
        <x:v>需复核</x:v>
      </x:c>
      <x:c r="X81" s="48" t="str">
        <x:v>需人工复核</x:v>
      </x:c>
      <x:c r="Y81" s="64"/>
      <x:c r="Z81" s="64" t="str">
        <x:v>未复核</x:v>
      </x:c>
      <x:c r="AA81" s="64" t="str">
        <x:v>部分充分</x:v>
      </x:c>
      <x:c r="AB81" s="64" t="str">
        <x:v>有效</x:v>
      </x:c>
      <x:c r="AC81" s="64" t="str">
        <x:v>部分核验</x:v>
      </x:c>
      <x:c r="AD81" s="64" t="str">
        <x:v>自动默认</x:v>
      </x:c>
      <x:c r="AE81" s="64" t="str">
        <x:v>候选池</x:v>
      </x:c>
      <x:c r="AF81" s="64" t="str">
        <x:v>B_证据不足</x:v>
      </x:c>
      <x:c r="AG81" s="64"/>
      <x:c r="AH81" s="64"/>
      <x:c r="AI81" s="64"/>
      <x:c r="AJ81" s="64"/>
      <x:c r="AK81" s="64"/>
      <x:c r="AL81" s="64"/>
      <x:c r="AM81" s="64"/>
      <x:c r="AN81" s="48" t="str">
        <x:v>81</x:v>
      </x:c>
      <x:c r="AO81" s="48" t="str">
        <x:v>MAP_需复核</x:v>
      </x:c>
      <x:c r="AP81" s="48" t="str">
        <x:v>原结论明确要求人工复核；存在报告证据，但尚未经人工逐项核验；已列依据来源，但未在本阶段逐条核验</x:v>
      </x:c>
      <x:c r="AQ81" s="64"/>
      <x:c r="AR81" s="48" t="str">
        <x:v>water_emission_standard</x:v>
      </x:c>
      <x:c r="AS81" s="48" t="str">
        <x:v>L3_analysis</x:v>
      </x:c>
      <x:c r="AT81" s="48" t="str">
        <x:v>rule_applicability</x:v>
      </x:c>
      <x:c r="AU81" s="48" t="str">
        <x:v>basis_grounding</x:v>
      </x:c>
      <x:c r="AV81" s="48" t="str">
        <x:v>report_grounding；procedural_reasoning</x:v>
      </x:c>
      <x:c r="AW81" s="48" t="str">
        <x:v>high</x:v>
      </x:c>
      <x:c r="AX81" s="48" t="str">
        <x:v>high</x:v>
      </x:c>
      <x:c r="AY81" s="48" t="str">
        <x:v>report_plus_external</x:v>
      </x:c>
      <x:c r="AZ81" s="48" t="str">
        <x:v>True</x:v>
      </x:c>
      <x:c r="BA81" s="48"/>
      <x:c r="BB81" s="48" t="str">
        <x:v>auto_default</x:v>
      </x:c>
      <x:c r="BC81" s="48" t="str">
        <x:v>v1</x:v>
      </x:c>
      <x:c r="BD81" s="68"/>
    </x:row>
    <x:row r="82" ht="36" customHeight="1">
      <x:c r="A82" s="47" t="str">
        <x:v>2026-07-27</x:v>
      </x:c>
      <x:c r="B82" s="48" t="str">
        <x:v>PL015</x:v>
      </x:c>
      <x:c r="C82" s="48" t="str">
        <x:v>V01</x:v>
      </x:c>
      <x:c r="D82" s="48" t="str">
        <x:v>PL015_佛山市镪优金属制品有限公司迁扩建项目_01_修改评估意见.docx</x:v>
      </x:c>
      <x:c r="E82" s="48" t="str">
        <x:v>佛山市镪优金属制品有限公司迁扩建项目</x:v>
      </x:c>
      <x:c r="F82" s="48" t="str">
        <x:v>PL015_Emission_大气</x:v>
      </x:c>
      <x:c r="G82" s="48" t="str">
        <x:v>污染物排放标准-大气污染物排放标准</x:v>
      </x:c>
      <x:c r="H82" s="48" t="str">
        <x:v>请根据项目行业类别、生产工艺和污染因子，判断大气污染物排放标准选取是否合理。要求分析：污染源覆盖是否完整（列出所有大气污染源及对应标准），是否存在缺漏的污染源或标准。</x:v>
      </x:c>
      <x:c r="I82" s="48" t="str">
        <x:v>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x:v>
      </x:c>
      <x:c r="J82" s="48" t="str">
        <x:v>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x:v>
      </x:c>
      <x:c r="K82" s="48" t="str">
        <x:v>emission-standard-kb.jsonl; DB44/26-2001; DB44/2367-2022; GB31572-2015; GB14554-93; GB12348-2008; GB18597-2023; GB18599-2020</x:v>
      </x:c>
      <x:c r="L82" s="48" t="str">
        <x:v>2</x:v>
      </x:c>
      <x:c r="M82" s="48" t="str">
        <x:v>2</x:v>
      </x:c>
      <x:c r="N82" s="48" t="str">
        <x:v>False</x:v>
      </x:c>
      <x:c r="O82" s="48" t="str">
        <x:v>存在缺漏</x:v>
      </x:c>
      <x:c r="P82"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82" s="48"/>
      <x:c r="R82" s="48"/>
      <x:c r="S82" s="48" t="str">
        <x:v>是</x:v>
      </x:c>
      <x:c r="T82" s="48" t="str">
        <x:v>原综合排放标准问答对拆分而来</x:v>
      </x:c>
      <x:c r="U82" s="48" t="str">
        <x:v>30份环评_污染物排放控制执行标准复核QA(拆分版)</x:v>
      </x:c>
      <x:c r="V82" s="48" t="str">
        <x:v>大气污染物排放标准</x:v>
      </x:c>
      <x:c r="W82" s="48" t="str">
        <x:v>存在缺漏</x:v>
      </x:c>
      <x:c r="X82" s="48" t="str">
        <x:v>存在缺漏</x:v>
      </x:c>
      <x:c r="Y82" s="64"/>
      <x:c r="Z82" s="64" t="str">
        <x:v>未复核</x:v>
      </x:c>
      <x:c r="AA82" s="64" t="str">
        <x:v>部分充分</x:v>
      </x:c>
      <x:c r="AB82" s="64" t="str">
        <x:v>有效</x:v>
      </x:c>
      <x:c r="AC82" s="64" t="str">
        <x:v>部分核验</x:v>
      </x:c>
      <x:c r="AD82" s="64" t="str">
        <x:v>自动默认</x:v>
      </x:c>
      <x:c r="AE82" s="64" t="str">
        <x:v>候选池</x:v>
      </x:c>
      <x:c r="AF82" s="64" t="str">
        <x:v>A_仅待终审</x:v>
      </x:c>
      <x:c r="AG82" s="64"/>
      <x:c r="AH82" s="64"/>
      <x:c r="AI82" s="64"/>
      <x:c r="AJ82" s="64"/>
      <x:c r="AK82" s="64"/>
      <x:c r="AL82" s="64"/>
      <x:c r="AM82" s="64"/>
      <x:c r="AN82" s="48" t="str">
        <x:v>82</x:v>
      </x:c>
      <x:c r="AO82" s="48" t="str">
        <x:v>MAP_存在缺漏</x:v>
      </x:c>
      <x:c r="AP82" s="48" t="str">
        <x:v>存在报告证据，但尚未经人工逐项核验；已列依据来源，但未在本阶段逐条核验</x:v>
      </x:c>
      <x:c r="AQ82" s="64"/>
      <x:c r="AR82" s="48" t="str">
        <x:v>air_emission_standard</x:v>
      </x:c>
      <x:c r="AS82" s="48" t="str">
        <x:v>L3_analysis</x:v>
      </x:c>
      <x:c r="AT82" s="48" t="str">
        <x:v>multi_evidence_synthesis</x:v>
      </x:c>
      <x:c r="AU82" s="48" t="str">
        <x:v>basis_grounding</x:v>
      </x:c>
      <x:c r="AV82" s="48" t="str">
        <x:v>report_grounding；evidence_integration</x:v>
      </x:c>
      <x:c r="AW82" s="48" t="str">
        <x:v>high</x:v>
      </x:c>
      <x:c r="AX82" s="48" t="str">
        <x:v>high</x:v>
      </x:c>
      <x:c r="AY82" s="48" t="str">
        <x:v>report_plus_external</x:v>
      </x:c>
      <x:c r="AZ82" s="48" t="str">
        <x:v>True</x:v>
      </x:c>
      <x:c r="BA82" s="48"/>
      <x:c r="BB82" s="48" t="str">
        <x:v>auto_default</x:v>
      </x:c>
      <x:c r="BC82" s="48" t="str">
        <x:v>v1</x:v>
      </x:c>
      <x:c r="BD82" s="68"/>
    </x:row>
    <x:row r="83" ht="36" customHeight="1">
      <x:c r="A83" s="47" t="str">
        <x:v>2026-07-27</x:v>
      </x:c>
      <x:c r="B83" s="48" t="str">
        <x:v>PL015</x:v>
      </x:c>
      <x:c r="C83" s="48" t="str">
        <x:v>V01</x:v>
      </x:c>
      <x:c r="D83" s="48" t="str">
        <x:v>PL015_佛山市镪优金属制品有限公司迁扩建项目_01_修改评估意见.docx</x:v>
      </x:c>
      <x:c r="E83" s="48" t="str">
        <x:v>佛山市镪优金属制品有限公司迁扩建项目</x:v>
      </x:c>
      <x:c r="F83" s="48" t="str">
        <x:v>PL015_Emission_噪声</x:v>
      </x:c>
      <x:c r="G83" s="48" t="str">
        <x:v>污染物排放标准-噪声排放标准</x:v>
      </x:c>
      <x:c r="H83" s="48" t="str">
        <x:v>请根据项目所属声环境功能区类别，判断噪声排放标准选取是否合理。要求总结声功能区类型、厂界执行标准（GB12348-2008）及昼夜限值，并与环评编制内容进行一致性分析。</x:v>
      </x:c>
      <x:c r="I83" s="48" t="str">
        <x:v>1、噪声排放标准中执行标准与排放限值内容：无误；
2、厂界噪声执行GB12348-2008 2类标准（昼间≤60dB(A)，夜间≤50dB(A)）。项目位于声环境功能2类区，标准选取正确，适用，无误。</x:v>
      </x:c>
      <x:c r="J83" s="48" t="str">
        <x:v>噪声标准：'厂界噪声排放执行《工业企业厂界环境噪声排放标准》（GB12348-2008）中的2类标准，昼间≤60dB（A）,夜间≤50dB（A）。'
4.</x:v>
      </x:c>
      <x:c r="K83" s="48" t="str">
        <x:v>emission-standard-kb.jsonl; DB44/26-2001; DB44/2367-2022; GB31572-2015; GB14554-93; GB12348-2008; GB18597-2023; GB18599-2020</x:v>
      </x:c>
      <x:c r="L83" s="48" t="str">
        <x:v>2</x:v>
      </x:c>
      <x:c r="M83" s="48" t="str">
        <x:v>2</x:v>
      </x:c>
      <x:c r="N83" s="48" t="str">
        <x:v>False</x:v>
      </x:c>
      <x:c r="O83" s="48" t="str">
        <x:v>无误</x:v>
      </x:c>
      <x:c r="P83"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83" s="48"/>
      <x:c r="R83" s="48"/>
      <x:c r="S83" s="48" t="str">
        <x:v>否</x:v>
      </x:c>
      <x:c r="T83" s="48" t="str">
        <x:v>原综合排放标准问答对拆分而来</x:v>
      </x:c>
      <x:c r="U83" s="48" t="str">
        <x:v>30份环评_污染物排放控制执行标准复核QA(拆分版)</x:v>
      </x:c>
      <x:c r="V83" s="48" t="str">
        <x:v>噪声排放标准</x:v>
      </x:c>
      <x:c r="W83" s="48" t="str">
        <x:v>无误</x:v>
      </x:c>
      <x:c r="X83" s="48" t="str">
        <x:v>无误</x:v>
      </x:c>
      <x:c r="Y83" s="64"/>
      <x:c r="Z83" s="64" t="str">
        <x:v>未复核</x:v>
      </x:c>
      <x:c r="AA83" s="64" t="str">
        <x:v>部分充分</x:v>
      </x:c>
      <x:c r="AB83" s="64" t="str">
        <x:v>有效</x:v>
      </x:c>
      <x:c r="AC83" s="64" t="str">
        <x:v>部分核验</x:v>
      </x:c>
      <x:c r="AD83" s="64" t="str">
        <x:v>自动默认</x:v>
      </x:c>
      <x:c r="AE83" s="64" t="str">
        <x:v>候选池</x:v>
      </x:c>
      <x:c r="AF83" s="64" t="str">
        <x:v>待分流</x:v>
      </x:c>
      <x:c r="AG83" s="64"/>
      <x:c r="AH83" s="64"/>
      <x:c r="AI83" s="64"/>
      <x:c r="AJ83" s="64"/>
      <x:c r="AK83" s="64"/>
      <x:c r="AL83" s="64"/>
      <x:c r="AM83" s="64"/>
      <x:c r="AN83" s="48" t="str">
        <x:v>83</x:v>
      </x:c>
      <x:c r="AO83" s="48" t="str">
        <x:v>MAP_无误</x:v>
      </x:c>
      <x:c r="AP83" s="48" t="str">
        <x:v>存在报告证据，但尚未经人工逐项核验；已列依据来源，但未在本阶段逐条核验</x:v>
      </x:c>
      <x:c r="AQ83" s="64"/>
      <x:c r="AR83" s="48" t="str">
        <x:v>noise_emission_standard</x:v>
      </x:c>
      <x:c r="AS83" s="48" t="str">
        <x:v>L2_application</x:v>
      </x:c>
      <x:c r="AT83" s="48" t="str">
        <x:v>rule_applicability</x:v>
      </x:c>
      <x:c r="AU83" s="48" t="str">
        <x:v>basis_grounding</x:v>
      </x:c>
      <x:c r="AV83" s="48" t="str">
        <x:v>report_grounding</x:v>
      </x:c>
      <x:c r="AW83" s="48" t="str">
        <x:v>high</x:v>
      </x:c>
      <x:c r="AX83" s="48" t="str">
        <x:v>medium</x:v>
      </x:c>
      <x:c r="AY83" s="48" t="str">
        <x:v>report_plus_external</x:v>
      </x:c>
      <x:c r="AZ83" s="48" t="str">
        <x:v>True</x:v>
      </x:c>
      <x:c r="BA83" s="48"/>
      <x:c r="BB83" s="48" t="str">
        <x:v>auto_default</x:v>
      </x:c>
      <x:c r="BC83" s="48" t="str">
        <x:v>v1</x:v>
      </x:c>
      <x:c r="BD83" s="68"/>
    </x:row>
    <x:row r="84" ht="36" customHeight="1">
      <x:c r="A84" s="47" t="str">
        <x:v>2026-07-27</x:v>
      </x:c>
      <x:c r="B84" s="48" t="str">
        <x:v>PL015</x:v>
      </x:c>
      <x:c r="C84" s="48" t="str">
        <x:v>V01</x:v>
      </x:c>
      <x:c r="D84" s="48" t="str">
        <x:v>PL015_佛山市镪优金属制品有限公司迁扩建项目_01_修改评估意见.docx</x:v>
      </x:c>
      <x:c r="E84" s="48" t="str">
        <x:v>佛山市镪优金属制品有限公司迁扩建项目</x:v>
      </x:c>
      <x:c r="F84" s="48" t="str">
        <x:v>PL015_Emission_固体</x:v>
      </x:c>
      <x:c r="G84" s="48" t="str">
        <x:v>污染物排放标准-固体废物控制标准</x:v>
      </x:c>
      <x:c r="H84" s="48" t="str">
        <x:v>请根据项目产生的固体废物和危险废物类型，判断固体废物控制标准选取是否合理。要求总结一般工业固体废物和危险废物执行标准的标准名称及编号，分析是否缺少必要标准条目。</x:v>
      </x:c>
      <x:c r="I84" s="4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84" s="48" t="str">
        <x:v>固废标准：'危险废物执行《国家危险废物名录》、《危险废物贮存污染控制标准》（GB18597-2023）和《危险废物收集贮存运输技术规范》（HJ 2025-2012）相关要求。'</x:v>
      </x:c>
      <x:c r="K84" s="48" t="str">
        <x:v>emission-standard-kb.jsonl; DB44/26-2001; DB44/2367-2022; GB31572-2015; GB14554-93; GB12348-2008; GB18597-2023; GB18599-2020</x:v>
      </x:c>
      <x:c r="L84" s="48" t="str">
        <x:v>2</x:v>
      </x:c>
      <x:c r="M84" s="48" t="str">
        <x:v>2</x:v>
      </x:c>
      <x:c r="N84" s="48" t="str">
        <x:v>False</x:v>
      </x:c>
      <x:c r="O84" s="48" t="str">
        <x:v>无误</x:v>
      </x:c>
      <x:c r="P84"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84" s="48"/>
      <x:c r="R84" s="48"/>
      <x:c r="S84" s="48" t="str">
        <x:v>否</x:v>
      </x:c>
      <x:c r="T84" s="48" t="str">
        <x:v>修正：GB18599-2020不在知识库必须满足的标准清单中，原判定依据已更正。原综合排放标准问答对拆分而来</x:v>
      </x:c>
      <x:c r="U84" s="48" t="str">
        <x:v>30份环评_污染物排放控制执行标准复核QA(拆分版)</x:v>
      </x:c>
      <x:c r="V84" s="48" t="str">
        <x:v>固体废物控制标准</x:v>
      </x:c>
      <x:c r="W84" s="48" t="str">
        <x:v>无误</x:v>
      </x:c>
      <x:c r="X84" s="48" t="str">
        <x:v>无误</x:v>
      </x:c>
      <x:c r="Y84" s="64"/>
      <x:c r="Z84" s="64" t="str">
        <x:v>未复核</x:v>
      </x:c>
      <x:c r="AA84" s="64" t="str">
        <x:v>部分充分</x:v>
      </x:c>
      <x:c r="AB84" s="64" t="str">
        <x:v>有效</x:v>
      </x:c>
      <x:c r="AC84" s="64" t="str">
        <x:v>部分核验</x:v>
      </x:c>
      <x:c r="AD84" s="64" t="str">
        <x:v>自动默认</x:v>
      </x:c>
      <x:c r="AE84" s="64" t="str">
        <x:v>候选池</x:v>
      </x:c>
      <x:c r="AF84" s="64" t="str">
        <x:v>待分流</x:v>
      </x:c>
      <x:c r="AG84" s="64"/>
      <x:c r="AH84" s="64"/>
      <x:c r="AI84" s="64"/>
      <x:c r="AJ84" s="64"/>
      <x:c r="AK84" s="64"/>
      <x:c r="AL84" s="64"/>
      <x:c r="AM84" s="64"/>
      <x:c r="AN84" s="48" t="str">
        <x:v>84</x:v>
      </x:c>
      <x:c r="AO84" s="48" t="str">
        <x:v>MAP_无误</x:v>
      </x:c>
      <x:c r="AP84" s="48" t="str">
        <x:v>存在报告证据，但尚未经人工逐项核验；已列依据来源，但未在本阶段逐条核验</x:v>
      </x:c>
      <x:c r="AQ84" s="64"/>
      <x:c r="AR84" s="48" t="str">
        <x:v>solid_waste_standard</x:v>
      </x:c>
      <x:c r="AS84" s="48" t="str">
        <x:v>L2_application</x:v>
      </x:c>
      <x:c r="AT84" s="48" t="str">
        <x:v>rule_applicability</x:v>
      </x:c>
      <x:c r="AU84" s="48" t="str">
        <x:v>basis_grounding</x:v>
      </x:c>
      <x:c r="AV84" s="48" t="str">
        <x:v>report_grounding</x:v>
      </x:c>
      <x:c r="AW84" s="48" t="str">
        <x:v>high</x:v>
      </x:c>
      <x:c r="AX84" s="48" t="str">
        <x:v>medium</x:v>
      </x:c>
      <x:c r="AY84" s="48" t="str">
        <x:v>report_plus_external</x:v>
      </x:c>
      <x:c r="AZ84" s="48" t="str">
        <x:v>True</x:v>
      </x:c>
      <x:c r="BA84" s="48"/>
      <x:c r="BB84" s="48" t="str">
        <x:v>auto_default</x:v>
      </x:c>
      <x:c r="BC84" s="48" t="str">
        <x:v>v1</x:v>
      </x:c>
      <x:c r="BD84" s="68"/>
    </x:row>
    <x:row r="85" ht="36" customHeight="1">
      <x:c r="A85" s="47" t="str">
        <x:v>2026-06-25</x:v>
      </x:c>
      <x:c r="B85" s="48" t="str">
        <x:v>PL018</x:v>
      </x:c>
      <x:c r="C85" s="48" t="str">
        <x:v>V01</x:v>
      </x:c>
      <x:c r="D85" s="48" t="str">
        <x:v>年10月10日建设项目环境影响报告书（表）受理公告（佛山市生态环境局顺德分局）_4.pdf</x:v>
      </x:c>
      <x:c r="E85" s="48" t="str">
        <x:v>广东台塑智能科技有限公司新建项目</x:v>
      </x:c>
      <x:c r="F85" s="48" t="str">
        <x:v>PL018_V01_Q01</x:v>
      </x:c>
      <x:c r="G85" s="48" t="str">
        <x:v>1. 塑胶行业样本筛选与国民经济行业分类</x:v>
      </x:c>
      <x:c r="H85" s="48" t="str">
        <x:v>请结合项目产品、原辅材料和生产工艺，判断该报告行业类别是否基本合理。</x:v>
      </x:c>
      <x:c r="I85" s="48" t="str">
        <x:v>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x:v>
      </x:c>
      <x:c r="J85" s="48" t="str">
        <x:v>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v>
      </x:c>
      <x:c r="K85" s="48" t="str">
        <x:v>《国民经济行业分类》(GB/T 4754—2017)；本任务C292筛选及C17/C18排除规则</x:v>
      </x:c>
      <x:c r="L85" s="48" t="str">
        <x:v>结合本项目行业代码、建设性质、工艺关键词及PDF证据生成，非脱离项目的通用题。</x:v>
      </x:c>
      <x:c r="M85" s="48" t="str">
        <x:v>可依据对应PDF原文、工程分析表格及所列法规标准逐项复核。</x:v>
      </x:c>
      <x:c r="N85" s="48" t="str">
        <x:v>True</x:v>
      </x:c>
      <x:c r="O85" s="48"/>
      <x:c r="P85" s="48"/>
      <x:c r="Q85" s="48"/>
      <x:c r="R85" s="48" t="str">
        <x:v>新增</x:v>
      </x:c>
      <x:c r="S85" s="48" t="str">
        <x:v>是</x:v>
      </x:c>
      <x:c r="T85" s="48" t="str">
        <x:v>自动生成；需人工复核项目参数、公式取值、标准适用范围及PDF文字提取完整性。</x:v>
      </x:c>
      <x:c r="U85" s="48" t="str">
        <x:v>seed_qa_塑胶行业筛选版_30个国民经济行业分类的人工标记</x:v>
      </x:c>
      <x:c r="V85" s="48" t="str">
        <x:v>国民经济行业分类</x:v>
      </x:c>
      <x:c r="W85" s="48"/>
      <x:c r="X85" s="48" t="str">
        <x:v>待判断</x:v>
      </x:c>
      <x:c r="Y85" s="64"/>
      <x:c r="Z85" s="64" t="str">
        <x:v>未复核</x:v>
      </x:c>
      <x:c r="AA85" s="64" t="str">
        <x:v>部分充分</x:v>
      </x:c>
      <x:c r="AB85" s="64" t="str">
        <x:v>待判断</x:v>
      </x:c>
      <x:c r="AC85" s="64" t="str">
        <x:v>部分核验</x:v>
      </x:c>
      <x:c r="AD85" s="64" t="str">
        <x:v>自动默认</x:v>
      </x:c>
      <x:c r="AE85" s="64" t="str">
        <x:v>候选池</x:v>
      </x:c>
      <x:c r="AF85" s="64" t="str">
        <x:v>C_题目或材料问题</x:v>
      </x:c>
      <x:c r="AG85" s="64"/>
      <x:c r="AH85" s="64"/>
      <x:c r="AI85" s="64"/>
      <x:c r="AJ85" s="64"/>
      <x:c r="AK85" s="64"/>
      <x:c r="AL85" s="64"/>
      <x:c r="AM85" s="64"/>
      <x:c r="AN85" s="48" t="str">
        <x:v>85</x:v>
      </x:c>
      <x:c r="AO85" s="48" t="str">
        <x:v>MAP_BLANK</x:v>
      </x:c>
      <x:c r="AP85" s="48" t="str">
        <x:v>人工判断为空：不得自动补填结论；人工判断为空；结构完整但原因需人工确认；存在报告证据，但尚未经人工逐项核验；已列依据来源，但未在本阶段逐条核验</x:v>
      </x:c>
      <x:c r="AQ85" s="64"/>
      <x:c r="AR85" s="48" t="str">
        <x:v>industry_classification</x:v>
      </x:c>
      <x:c r="AS85" s="48" t="str">
        <x:v>L3_analysis</x:v>
      </x:c>
      <x:c r="AT85" s="48" t="str">
        <x:v>multi_evidence_synthesis</x:v>
      </x:c>
      <x:c r="AU85" s="48" t="str">
        <x:v>evidence_integration</x:v>
      </x:c>
      <x:c r="AV85" s="48" t="str">
        <x:v>report_grounding；basis_grounding</x:v>
      </x:c>
      <x:c r="AW85" s="48" t="str">
        <x:v>high</x:v>
      </x:c>
      <x:c r="AX85" s="48" t="str">
        <x:v>high</x:v>
      </x:c>
      <x:c r="AY85" s="48" t="str">
        <x:v>cross_section</x:v>
      </x:c>
      <x:c r="AZ85" s="48" t="str">
        <x:v>True</x:v>
      </x:c>
      <x:c r="BA85" s="48"/>
      <x:c r="BB85" s="48" t="str">
        <x:v>auto_default</x:v>
      </x:c>
      <x:c r="BC85" s="48" t="str">
        <x:v>v1</x:v>
      </x:c>
      <x:c r="BD85" s="68"/>
    </x:row>
    <x:row r="86" ht="36" customHeight="1">
      <x:c r="A86" s="47" t="str">
        <x:v>2026-07-24</x:v>
      </x:c>
      <x:c r="B86" s="48" t="str">
        <x:v>PL018</x:v>
      </x:c>
      <x:c r="C86" s="48" t="str">
        <x:v>V01</x:v>
      </x:c>
      <x:c r="D86" s="48" t="str">
        <x:v>PL018_广东台塑智能科技有限公司新建项目</x:v>
      </x:c>
      <x:c r="E86" s="48" t="str">
        <x:v>广东台塑智能科技有限公司新建项目</x:v>
      </x:c>
      <x:c r="F86" s="48" t="str">
        <x:v>PL018_V01_Q03</x:v>
      </x:c>
      <x:c r="G86" s="48" t="str">
        <x:v>环评投资核算</x:v>
      </x:c>
      <x:c r="H86" s="48" t="str">
        <x:v>请根据报告中的总投资、环保投资和环保工程投资明细，判断环保投资核算是否前后一致、比例是否正确。</x:v>
      </x:c>
      <x:c r="I86" s="48" t="str">
        <x:v>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x:v>
      </x:c>
      <x:c r="J86" s="48" t="str">
        <x:v>一、建设项目基本情况：总投资1000万元、环保投资30万元、占比3%。来源：解析文本拼接_01_001-020(4).md</x:v>
      </x:c>
      <x:c r="K86" s="48" t="str">
        <x:v>报告原文-环保投资明细表</x:v>
      </x:c>
      <x:c r="L86" s="48" t="str">
        <x:v>2</x:v>
      </x:c>
      <x:c r="M86" s="48" t="str">
        <x:v>2</x:v>
      </x:c>
      <x:c r="N86" s="48" t="str">
        <x:v>False</x:v>
      </x:c>
      <x:c r="O86" s="48" t="str">
        <x:v>需复核</x:v>
      </x:c>
      <x:c r="P86" s="48"/>
      <x:c r="Q86" s="48"/>
      <x:c r="R86" s="48"/>
      <x:c r="S86" s="48" t="str">
        <x:v>是</x:v>
      </x:c>
      <x:c r="T86" s="48"/>
      <x:c r="U86" s="48" t="str">
        <x:v>30个PL_环评投资核算QA</x:v>
      </x:c>
      <x:c r="V86" s="48" t="str">
        <x:v>环评投资概算</x:v>
      </x:c>
      <x:c r="W86" s="48" t="str">
        <x:v>需复核</x:v>
      </x:c>
      <x:c r="X86" s="48" t="str">
        <x:v>证据不足</x:v>
      </x:c>
      <x:c r="Y86" s="64"/>
      <x:c r="Z86" s="64" t="str">
        <x:v>未复核</x:v>
      </x:c>
      <x:c r="AA86" s="64" t="str">
        <x:v>不足</x:v>
      </x:c>
      <x:c r="AB86" s="64" t="str">
        <x:v>有效</x:v>
      </x:c>
      <x:c r="AC86" s="64" t="str">
        <x:v>不需要外部依据</x:v>
      </x:c>
      <x:c r="AD86" s="64" t="str">
        <x:v>自动默认</x:v>
      </x:c>
      <x:c r="AE86" s="64" t="str">
        <x:v>候选池</x:v>
      </x:c>
      <x:c r="AF86" s="64" t="str">
        <x:v>B_证据不足</x:v>
      </x:c>
      <x:c r="AG86" s="64"/>
      <x:c r="AH86" s="64"/>
      <x:c r="AI86" s="64"/>
      <x:c r="AJ86" s="64"/>
      <x:c r="AK86" s="64"/>
      <x:c r="AL86" s="64"/>
      <x:c r="AM86" s="64"/>
      <x:c r="AN86" s="48" t="str">
        <x:v>86</x:v>
      </x:c>
      <x:c r="AO86" s="48" t="str">
        <x:v>MAP_需复核+EVIDENCE_INSUFFICIENCY_SIGNAL</x:v>
      </x:c>
      <x:c r="AP86" s="48" t="str">
        <x:v>原结论明确要求人工复核；命中证据不足候选词：未检索到、无法核对；投资复核主要依据报告内金额与算式</x:v>
      </x:c>
      <x:c r="AQ86" s="64"/>
      <x:c r="AR86" s="48" t="str">
        <x:v>environmental_investment</x:v>
      </x:c>
      <x:c r="AS86" s="48" t="str">
        <x:v>L2_application</x:v>
      </x:c>
      <x:c r="AT86" s="48" t="str">
        <x:v>quantitative_verification</x:v>
      </x:c>
      <x:c r="AU86" s="48" t="str">
        <x:v>numerical_accuracy</x:v>
      </x:c>
      <x:c r="AV86" s="48" t="str">
        <x:v>report_grounding；procedural_reasoning</x:v>
      </x:c>
      <x:c r="AW86" s="48" t="str">
        <x:v>low</x:v>
      </x:c>
      <x:c r="AX86" s="48" t="str">
        <x:v>medium</x:v>
      </x:c>
      <x:c r="AY86" s="48" t="str">
        <x:v>cross_section</x:v>
      </x:c>
      <x:c r="AZ86" s="48" t="str">
        <x:v>True</x:v>
      </x:c>
      <x:c r="BA86" s="48"/>
      <x:c r="BB86" s="48" t="str">
        <x:v>auto_default</x:v>
      </x:c>
      <x:c r="BC86" s="48" t="str">
        <x:v>v1</x:v>
      </x:c>
      <x:c r="BD86" s="68"/>
    </x:row>
    <x:row r="87" ht="36" customHeight="1">
      <x:c r="A87" s="47" t="str">
        <x:v>2026-07-28</x:v>
      </x:c>
      <x:c r="B87" s="48" t="str">
        <x:v>PL018</x:v>
      </x:c>
      <x:c r="C87" s="48" t="str">
        <x:v>V01</x:v>
      </x:c>
      <x:c r="D87" s="48" t="str">
        <x:v>PL018_广东台塑智能科技有限公司新建项目_01_受理公告或公示版.pdf</x:v>
      </x:c>
      <x:c r="E87" s="48" t="str">
        <x:v>广东台塑智能科技有限公司新建项目</x:v>
      </x:c>
      <x:c r="F87" s="48" t="str">
        <x:v>PL018_EnvQuality_Q01</x:v>
      </x:c>
      <x:c r="G87" s="48" t="str">
        <x:v>大气及地表水环境质量现状数据引用</x:v>
      </x:c>
      <x:c r="H87" s="48" t="str">
        <x:v>请根据报告引用的环境质量公报及现状数据，判断大气和地表水环境质量现状数据引用是否准确。</x:v>
      </x:c>
      <x:c r="I87" s="48" t="str">
        <x:v>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x:v>
      </x:c>
      <x:c r="J87" s="48" t="str">
        <x:v>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x:v>
      </x:c>
      <x:c r="K87" s="48" t="str">
        <x:v>生态环境状况公报知识库; 收纳水体地表水执行标准</x:v>
      </x:c>
      <x:c r="L87" s="48" t="str">
        <x:v>2</x:v>
      </x:c>
      <x:c r="M87" s="48" t="str">
        <x:v>2</x:v>
      </x:c>
      <x:c r="N87" s="48" t="str">
        <x:v>False</x:v>
      </x:c>
      <x:c r="O87" s="48" t="str">
        <x:v>正确</x:v>
      </x:c>
      <x:c r="P87" s="48" t="str">
        <x:v>大气:正确; 地表水:正确; 报告日期:2024</x:v>
      </x:c>
      <x:c r="Q87" s="48"/>
      <x:c r="R87" s="48"/>
      <x:c r="S87" s="48" t="str">
        <x:v>是</x:v>
      </x:c>
      <x:c r="T87" s="48" t="str">
        <x:v>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x:v>
      </x:c>
      <x:c r="U87" s="48" t="str">
        <x:v>30个环评_大气及地表水环境质量现状数据引用复核QA</x:v>
      </x:c>
      <x:c r="V87" s="48" t="str">
        <x:v>环境质量数据引用</x:v>
      </x:c>
      <x:c r="W87" s="48" t="str">
        <x:v>正确</x:v>
      </x:c>
      <x:c r="X87" s="48" t="str">
        <x:v>无误</x:v>
      </x:c>
      <x:c r="Y87" s="64"/>
      <x:c r="Z87" s="64" t="str">
        <x:v>未复核</x:v>
      </x:c>
      <x:c r="AA87" s="64" t="str">
        <x:v>部分充分</x:v>
      </x:c>
      <x:c r="AB87" s="64" t="str">
        <x:v>有效</x:v>
      </x:c>
      <x:c r="AC87" s="64" t="str">
        <x:v>部分核验</x:v>
      </x:c>
      <x:c r="AD87" s="64" t="str">
        <x:v>自动默认</x:v>
      </x:c>
      <x:c r="AE87" s="64" t="str">
        <x:v>候选池</x:v>
      </x:c>
      <x:c r="AF87" s="64" t="str">
        <x:v>A_仅待终审</x:v>
      </x:c>
      <x:c r="AG87" s="64"/>
      <x:c r="AH87" s="64"/>
      <x:c r="AI87" s="64"/>
      <x:c r="AJ87" s="64"/>
      <x:c r="AK87" s="64"/>
      <x:c r="AL87" s="64"/>
      <x:c r="AM87" s="64"/>
      <x:c r="AN87" s="48" t="str">
        <x:v>87</x:v>
      </x:c>
      <x:c r="AO87" s="48" t="str">
        <x:v>MAP_正确</x:v>
      </x:c>
      <x:c r="AP87" s="48" t="str">
        <x:v>存在报告证据，但尚未经人工逐项核验；已列依据来源，但未在本阶段逐条核验</x:v>
      </x:c>
      <x:c r="AQ87" s="64"/>
      <x:c r="AR87" s="48" t="str">
        <x:v>environmental_quality_data</x:v>
      </x:c>
      <x:c r="AS87" s="48" t="str">
        <x:v>L3_analysis</x:v>
      </x:c>
      <x:c r="AT87" s="48" t="str">
        <x:v>consistency_comparison</x:v>
      </x:c>
      <x:c r="AU87" s="48" t="str">
        <x:v>evidence_integration</x:v>
      </x:c>
      <x:c r="AV87" s="48" t="str">
        <x:v>report_grounding；basis_grounding</x:v>
      </x:c>
      <x:c r="AW87" s="48" t="str">
        <x:v>high</x:v>
      </x:c>
      <x:c r="AX87" s="48" t="str">
        <x:v>high</x:v>
      </x:c>
      <x:c r="AY87" s="48" t="str">
        <x:v>report_plus_external</x:v>
      </x:c>
      <x:c r="AZ87" s="48" t="str">
        <x:v>True</x:v>
      </x:c>
      <x:c r="BA87" s="48"/>
      <x:c r="BB87" s="48" t="str">
        <x:v>auto_default</x:v>
      </x:c>
      <x:c r="BC87" s="48" t="str">
        <x:v>v1</x:v>
      </x:c>
      <x:c r="BD87" s="68"/>
    </x:row>
    <x:row r="88" ht="36" customHeight="1">
      <x:c r="A88" s="47" t="str">
        <x:v>2026-07-27</x:v>
      </x:c>
      <x:c r="B88" s="48" t="str">
        <x:v>PL018</x:v>
      </x:c>
      <x:c r="C88" s="48" t="str">
        <x:v>V01</x:v>
      </x:c>
      <x:c r="D88" s="48" t="str">
        <x:v>PL018_广东台塑智能科技有限公司新建项目_01_受理公告或公示版.pdf</x:v>
      </x:c>
      <x:c r="E88" s="48" t="str">
        <x:v>广东台塑智能科技有限公司新建项目</x:v>
      </x:c>
      <x:c r="F88" s="48" t="str">
        <x:v>PL018_Emission_水污</x:v>
      </x:c>
      <x:c r="G88" s="48" t="str">
        <x:v>污染物排放标准-水污染物排放标准</x:v>
      </x:c>
      <x:c r="H88"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88" s="48" t="str">
        <x:v>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x:v>
      </x:c>
      <x:c r="J88"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88" s="48" t="str">
        <x:v>emission-standard-kb.jsonl; DB44/26-2001; DB44/2367-2022; GB31572-2015; GB14554-93; GB12348-2008; GB18597-2023; GB18599-2020</x:v>
      </x:c>
      <x:c r="L88" s="48" t="str">
        <x:v>2</x:v>
      </x:c>
      <x:c r="M88" s="48" t="str">
        <x:v>2</x:v>
      </x:c>
      <x:c r="N88" s="48" t="str">
        <x:v>False</x:v>
      </x:c>
      <x:c r="O88" s="48" t="str">
        <x:v>需复核</x:v>
      </x:c>
      <x:c r="P88"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88" s="48"/>
      <x:c r="R88" s="48"/>
      <x:c r="S88" s="48" t="str">
        <x:v>是</x:v>
      </x:c>
      <x:c r="T88" s="48" t="str">
        <x:v>原综合排放标准问答对拆分而来</x:v>
      </x:c>
      <x:c r="U88" s="48" t="str">
        <x:v>30份环评_污染物排放控制执行标准复核QA(拆分版)</x:v>
      </x:c>
      <x:c r="V88" s="48" t="str">
        <x:v>水污染物排放标准</x:v>
      </x:c>
      <x:c r="W88" s="48" t="str">
        <x:v>需复核</x:v>
      </x:c>
      <x:c r="X88" s="48" t="str">
        <x:v>需人工复核</x:v>
      </x:c>
      <x:c r="Y88" s="64"/>
      <x:c r="Z88" s="64" t="str">
        <x:v>未复核</x:v>
      </x:c>
      <x:c r="AA88" s="64" t="str">
        <x:v>部分充分</x:v>
      </x:c>
      <x:c r="AB88" s="64" t="str">
        <x:v>有效</x:v>
      </x:c>
      <x:c r="AC88" s="64" t="str">
        <x:v>部分核验</x:v>
      </x:c>
      <x:c r="AD88" s="64" t="str">
        <x:v>自动默认</x:v>
      </x:c>
      <x:c r="AE88" s="64" t="str">
        <x:v>候选池</x:v>
      </x:c>
      <x:c r="AF88" s="64" t="str">
        <x:v>B_证据不足</x:v>
      </x:c>
      <x:c r="AG88" s="64"/>
      <x:c r="AH88" s="64"/>
      <x:c r="AI88" s="64"/>
      <x:c r="AJ88" s="64"/>
      <x:c r="AK88" s="64"/>
      <x:c r="AL88" s="64"/>
      <x:c r="AM88" s="64"/>
      <x:c r="AN88" s="48" t="str">
        <x:v>88</x:v>
      </x:c>
      <x:c r="AO88" s="48" t="str">
        <x:v>MAP_需复核</x:v>
      </x:c>
      <x:c r="AP88" s="48" t="str">
        <x:v>原结论明确要求人工复核；存在报告证据，但尚未经人工逐项核验；已列依据来源，但未在本阶段逐条核验</x:v>
      </x:c>
      <x:c r="AQ88" s="64"/>
      <x:c r="AR88" s="48" t="str">
        <x:v>water_emission_standard</x:v>
      </x:c>
      <x:c r="AS88" s="48" t="str">
        <x:v>L3_analysis</x:v>
      </x:c>
      <x:c r="AT88" s="48" t="str">
        <x:v>rule_applicability</x:v>
      </x:c>
      <x:c r="AU88" s="48" t="str">
        <x:v>basis_grounding</x:v>
      </x:c>
      <x:c r="AV88" s="48" t="str">
        <x:v>report_grounding；procedural_reasoning</x:v>
      </x:c>
      <x:c r="AW88" s="48" t="str">
        <x:v>high</x:v>
      </x:c>
      <x:c r="AX88" s="48" t="str">
        <x:v>high</x:v>
      </x:c>
      <x:c r="AY88" s="48" t="str">
        <x:v>report_plus_external</x:v>
      </x:c>
      <x:c r="AZ88" s="48" t="str">
        <x:v>True</x:v>
      </x:c>
      <x:c r="BA88" s="48"/>
      <x:c r="BB88" s="48" t="str">
        <x:v>auto_default</x:v>
      </x:c>
      <x:c r="BC88" s="48" t="str">
        <x:v>v1</x:v>
      </x:c>
      <x:c r="BD88" s="68"/>
    </x:row>
    <x:row r="89" ht="36" customHeight="1">
      <x:c r="A89" s="47" t="str">
        <x:v>2026-07-27</x:v>
      </x:c>
      <x:c r="B89" s="48" t="str">
        <x:v>PL018</x:v>
      </x:c>
      <x:c r="C89" s="48" t="str">
        <x:v>V01</x:v>
      </x:c>
      <x:c r="D89" s="48" t="str">
        <x:v>PL018_广东台塑智能科技有限公司新建项目_01_受理公告或公示版.pdf</x:v>
      </x:c>
      <x:c r="E89" s="48" t="str">
        <x:v>广东台塑智能科技有限公司新建项目</x:v>
      </x:c>
      <x:c r="F89" s="48" t="str">
        <x:v>PL018_Emission_大气</x:v>
      </x:c>
      <x:c r="G89" s="48" t="str">
        <x:v>污染物排放标准-大气污染物排放标准</x:v>
      </x:c>
      <x:c r="H89" s="48" t="str">
        <x:v>请根据项目行业类别、生产工艺和污染因子，判断大气污染物排放标准选取是否合理。要求分析：污染源覆盖是否完整（列出所有大气污染源及对应标准），是否存在缺漏的污染源或标准。</x:v>
      </x:c>
      <x:c r="I89" s="48" t="str">
        <x:v>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x:v>
      </x:c>
      <x:c r="J89"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89" s="48" t="str">
        <x:v>emission-standard-kb.jsonl; DB44/26-2001; DB44/2367-2022; GB31572-2015; GB14554-93; GB12348-2008; GB18597-2023; GB18599-2020</x:v>
      </x:c>
      <x:c r="L89" s="48" t="str">
        <x:v>2</x:v>
      </x:c>
      <x:c r="M89" s="48" t="str">
        <x:v>2</x:v>
      </x:c>
      <x:c r="N89" s="48" t="str">
        <x:v>False</x:v>
      </x:c>
      <x:c r="O89" s="48" t="str">
        <x:v>需复核</x:v>
      </x:c>
      <x:c r="P89"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89" s="48"/>
      <x:c r="R89" s="48"/>
      <x:c r="S89" s="48" t="str">
        <x:v>是</x:v>
      </x:c>
      <x:c r="T89" s="48" t="str">
        <x:v>原综合排放标准问答对拆分而来</x:v>
      </x:c>
      <x:c r="U89" s="48" t="str">
        <x:v>30份环评_污染物排放控制执行标准复核QA(拆分版)</x:v>
      </x:c>
      <x:c r="V89" s="48" t="str">
        <x:v>大气污染物排放标准</x:v>
      </x:c>
      <x:c r="W89" s="48" t="str">
        <x:v>需复核</x:v>
      </x:c>
      <x:c r="X89" s="48" t="str">
        <x:v>需人工复核</x:v>
      </x:c>
      <x:c r="Y89" s="64"/>
      <x:c r="Z89" s="64" t="str">
        <x:v>未复核</x:v>
      </x:c>
      <x:c r="AA89" s="64" t="str">
        <x:v>部分充分</x:v>
      </x:c>
      <x:c r="AB89" s="64" t="str">
        <x:v>有效</x:v>
      </x:c>
      <x:c r="AC89" s="64" t="str">
        <x:v>部分核验</x:v>
      </x:c>
      <x:c r="AD89" s="64" t="str">
        <x:v>自动默认</x:v>
      </x:c>
      <x:c r="AE89" s="64" t="str">
        <x:v>候选池</x:v>
      </x:c>
      <x:c r="AF89" s="64" t="str">
        <x:v>B_证据不足</x:v>
      </x:c>
      <x:c r="AG89" s="64"/>
      <x:c r="AH89" s="64"/>
      <x:c r="AI89" s="64"/>
      <x:c r="AJ89" s="64"/>
      <x:c r="AK89" s="64"/>
      <x:c r="AL89" s="64"/>
      <x:c r="AM89" s="64"/>
      <x:c r="AN89" s="48" t="str">
        <x:v>89</x:v>
      </x:c>
      <x:c r="AO89" s="48" t="str">
        <x:v>MAP_需复核</x:v>
      </x:c>
      <x:c r="AP89" s="48" t="str">
        <x:v>原结论明确要求人工复核；存在报告证据，但尚未经人工逐项核验；已列依据来源，但未在本阶段逐条核验</x:v>
      </x:c>
      <x:c r="AQ89" s="64"/>
      <x:c r="AR89" s="48" t="str">
        <x:v>air_emission_standard</x:v>
      </x:c>
      <x:c r="AS89" s="48" t="str">
        <x:v>L3_analysis</x:v>
      </x:c>
      <x:c r="AT89" s="48" t="str">
        <x:v>multi_evidence_synthesis</x:v>
      </x:c>
      <x:c r="AU89" s="48" t="str">
        <x:v>basis_grounding</x:v>
      </x:c>
      <x:c r="AV89" s="48" t="str">
        <x:v>report_grounding；evidence_integration</x:v>
      </x:c>
      <x:c r="AW89" s="48" t="str">
        <x:v>high</x:v>
      </x:c>
      <x:c r="AX89" s="48" t="str">
        <x:v>high</x:v>
      </x:c>
      <x:c r="AY89" s="48" t="str">
        <x:v>report_plus_external</x:v>
      </x:c>
      <x:c r="AZ89" s="48" t="str">
        <x:v>True</x:v>
      </x:c>
      <x:c r="BA89" s="48"/>
      <x:c r="BB89" s="48" t="str">
        <x:v>auto_default</x:v>
      </x:c>
      <x:c r="BC89" s="48" t="str">
        <x:v>v1</x:v>
      </x:c>
      <x:c r="BD89" s="68"/>
    </x:row>
    <x:row r="90" ht="36" customHeight="1">
      <x:c r="A90" s="47" t="str">
        <x:v>2026-07-27</x:v>
      </x:c>
      <x:c r="B90" s="48" t="str">
        <x:v>PL018</x:v>
      </x:c>
      <x:c r="C90" s="48" t="str">
        <x:v>V01</x:v>
      </x:c>
      <x:c r="D90" s="48" t="str">
        <x:v>PL018_广东台塑智能科技有限公司新建项目_01_受理公告或公示版.pdf</x:v>
      </x:c>
      <x:c r="E90" s="48" t="str">
        <x:v>广东台塑智能科技有限公司新建项目</x:v>
      </x:c>
      <x:c r="F90" s="48" t="str">
        <x:v>PL018_Emission_噪声</x:v>
      </x:c>
      <x:c r="G90" s="48" t="str">
        <x:v>污染物排放标准-噪声排放标准</x:v>
      </x:c>
      <x:c r="H90" s="48" t="str">
        <x:v>请根据项目所属声环境功能区类别，判断噪声排放标准选取是否合理。要求总结声功能区类型、厂界执行标准（GB12348-2008）及昼夜限值，并与环评编制内容进行一致性分析。</x:v>
      </x:c>
      <x:c r="I90" s="48" t="str">
        <x:v>1、噪声排放标准中执行标准与排放限值内容：无法判断；
2、文本未在可见章节中明确列出噪声排放标准。无法判断。</x:v>
      </x:c>
      <x:c r="J90"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90" s="48" t="str">
        <x:v>emission-standard-kb.jsonl; DB44/26-2001; DB44/2367-2022; GB31572-2015; GB14554-93; GB12348-2008; GB18597-2023; GB18599-2020</x:v>
      </x:c>
      <x:c r="L90" s="48" t="str">
        <x:v>2</x:v>
      </x:c>
      <x:c r="M90" s="48" t="str">
        <x:v>2</x:v>
      </x:c>
      <x:c r="N90" s="48" t="str">
        <x:v>False</x:v>
      </x:c>
      <x:c r="O90" s="48" t="str">
        <x:v>无法判断</x:v>
      </x:c>
      <x:c r="P90"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90" s="48"/>
      <x:c r="R90" s="48"/>
      <x:c r="S90" s="48" t="str">
        <x:v>是</x:v>
      </x:c>
      <x:c r="T90" s="48" t="str">
        <x:v>原综合排放标准问答对拆分而来</x:v>
      </x:c>
      <x:c r="U90" s="48" t="str">
        <x:v>30份环评_污染物排放控制执行标准复核QA(拆分版)</x:v>
      </x:c>
      <x:c r="V90" s="48" t="str">
        <x:v>噪声排放标准</x:v>
      </x:c>
      <x:c r="W90" s="48" t="str">
        <x:v>无法判断</x:v>
      </x:c>
      <x:c r="X90" s="48" t="str">
        <x:v>证据不足</x:v>
      </x:c>
      <x:c r="Y90" s="64"/>
      <x:c r="Z90" s="64" t="str">
        <x:v>未复核</x:v>
      </x:c>
      <x:c r="AA90" s="64" t="str">
        <x:v>不足</x:v>
      </x:c>
      <x:c r="AB90" s="64" t="str">
        <x:v>有效</x:v>
      </x:c>
      <x:c r="AC90" s="64" t="str">
        <x:v>部分核验</x:v>
      </x:c>
      <x:c r="AD90" s="64" t="str">
        <x:v>自动默认</x:v>
      </x:c>
      <x:c r="AE90" s="64" t="str">
        <x:v>候选池</x:v>
      </x:c>
      <x:c r="AF90" s="64" t="str">
        <x:v>B_证据不足</x:v>
      </x:c>
      <x:c r="AG90" s="64"/>
      <x:c r="AH90" s="64"/>
      <x:c r="AI90" s="64"/>
      <x:c r="AJ90" s="64"/>
      <x:c r="AK90" s="64"/>
      <x:c r="AL90" s="64"/>
      <x:c r="AM90" s="64"/>
      <x:c r="AN90" s="48" t="str">
        <x:v>90</x:v>
      </x:c>
      <x:c r="AO90" s="48" t="str">
        <x:v>MAP_无法判断+EVIDENCE_INSUFFICIENCY_SIGNAL</x:v>
      </x:c>
      <x:c r="AP90" s="48" t="str">
        <x:v>需人工区分证据不足、材料缺失或尚未审核；命中证据不足候选词：无法判断；已列依据来源，但未在本阶段逐条核验</x:v>
      </x:c>
      <x:c r="AQ90" s="64"/>
      <x:c r="AR90" s="48" t="str">
        <x:v>noise_emission_standard</x:v>
      </x:c>
      <x:c r="AS90" s="48" t="str">
        <x:v>L2_application</x:v>
      </x:c>
      <x:c r="AT90" s="48" t="str">
        <x:v>rule_applicability</x:v>
      </x:c>
      <x:c r="AU90" s="48" t="str">
        <x:v>basis_grounding</x:v>
      </x:c>
      <x:c r="AV90" s="48" t="str">
        <x:v>report_grounding</x:v>
      </x:c>
      <x:c r="AW90" s="48" t="str">
        <x:v>high</x:v>
      </x:c>
      <x:c r="AX90" s="48" t="str">
        <x:v>medium</x:v>
      </x:c>
      <x:c r="AY90" s="48" t="str">
        <x:v>report_plus_external</x:v>
      </x:c>
      <x:c r="AZ90" s="48" t="str">
        <x:v>True</x:v>
      </x:c>
      <x:c r="BA90" s="48"/>
      <x:c r="BB90" s="48" t="str">
        <x:v>auto_default</x:v>
      </x:c>
      <x:c r="BC90" s="48" t="str">
        <x:v>v1</x:v>
      </x:c>
      <x:c r="BD90" s="68"/>
    </x:row>
    <x:row r="91" ht="36" customHeight="1">
      <x:c r="A91" s="47" t="str">
        <x:v>2026-07-27</x:v>
      </x:c>
      <x:c r="B91" s="48" t="str">
        <x:v>PL018</x:v>
      </x:c>
      <x:c r="C91" s="48" t="str">
        <x:v>V01</x:v>
      </x:c>
      <x:c r="D91" s="48" t="str">
        <x:v>PL018_广东台塑智能科技有限公司新建项目_01_受理公告或公示版.pdf</x:v>
      </x:c>
      <x:c r="E91" s="48" t="str">
        <x:v>广东台塑智能科技有限公司新建项目</x:v>
      </x:c>
      <x:c r="F91" s="48" t="str">
        <x:v>PL018_Emission_固体</x:v>
      </x:c>
      <x:c r="G91" s="48" t="str">
        <x:v>污染物排放标准-固体废物控制标准</x:v>
      </x:c>
      <x:c r="H91" s="48" t="str">
        <x:v>请根据项目产生的固体废物和危险废物类型，判断固体废物控制标准选取是否合理。要求总结一般工业固体废物和危险废物执行标准的标准名称及编号，分析是否缺少必要标准条目。</x:v>
      </x:c>
      <x:c r="I91"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91"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91" s="48" t="str">
        <x:v>emission-standard-kb.jsonl; DB44/26-2001; DB44/2367-2022; GB31572-2015; GB14554-93; GB12348-2008; GB18597-2023; GB18599-2020</x:v>
      </x:c>
      <x:c r="L91" s="48" t="str">
        <x:v>2</x:v>
      </x:c>
      <x:c r="M91" s="48" t="str">
        <x:v>2</x:v>
      </x:c>
      <x:c r="N91" s="48" t="str">
        <x:v>False</x:v>
      </x:c>
      <x:c r="O91" s="48" t="str">
        <x:v>无误</x:v>
      </x:c>
      <x:c r="P91"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91" s="48"/>
      <x:c r="R91" s="48"/>
      <x:c r="S91" s="48" t="str">
        <x:v>否</x:v>
      </x:c>
      <x:c r="T91" s="48" t="str">
        <x:v>修正：GB18599-2020不在知识库必须满足的标准清单中，原判定依据已更正。原综合排放标准问答对拆分而来</x:v>
      </x:c>
      <x:c r="U91" s="48" t="str">
        <x:v>30份环评_污染物排放控制执行标准复核QA(拆分版)</x:v>
      </x:c>
      <x:c r="V91" s="48" t="str">
        <x:v>固体废物控制标准</x:v>
      </x:c>
      <x:c r="W91" s="48" t="str">
        <x:v>无误</x:v>
      </x:c>
      <x:c r="X91" s="48" t="str">
        <x:v>无误</x:v>
      </x:c>
      <x:c r="Y91" s="64"/>
      <x:c r="Z91" s="64" t="str">
        <x:v>未复核</x:v>
      </x:c>
      <x:c r="AA91" s="64" t="str">
        <x:v>部分充分</x:v>
      </x:c>
      <x:c r="AB91" s="64" t="str">
        <x:v>有效</x:v>
      </x:c>
      <x:c r="AC91" s="64" t="str">
        <x:v>部分核验</x:v>
      </x:c>
      <x:c r="AD91" s="64" t="str">
        <x:v>自动默认</x:v>
      </x:c>
      <x:c r="AE91" s="64" t="str">
        <x:v>候选池</x:v>
      </x:c>
      <x:c r="AF91" s="64" t="str">
        <x:v>待分流</x:v>
      </x:c>
      <x:c r="AG91" s="64"/>
      <x:c r="AH91" s="64"/>
      <x:c r="AI91" s="64"/>
      <x:c r="AJ91" s="64"/>
      <x:c r="AK91" s="64"/>
      <x:c r="AL91" s="64"/>
      <x:c r="AM91" s="64"/>
      <x:c r="AN91" s="48" t="str">
        <x:v>91</x:v>
      </x:c>
      <x:c r="AO91" s="48" t="str">
        <x:v>MAP_无误</x:v>
      </x:c>
      <x:c r="AP91" s="48" t="str">
        <x:v>存在报告证据，但尚未经人工逐项核验；已列依据来源，但未在本阶段逐条核验</x:v>
      </x:c>
      <x:c r="AQ91" s="64"/>
      <x:c r="AR91" s="48" t="str">
        <x:v>solid_waste_standard</x:v>
      </x:c>
      <x:c r="AS91" s="48" t="str">
        <x:v>L2_application</x:v>
      </x:c>
      <x:c r="AT91" s="48" t="str">
        <x:v>rule_applicability</x:v>
      </x:c>
      <x:c r="AU91" s="48" t="str">
        <x:v>basis_grounding</x:v>
      </x:c>
      <x:c r="AV91" s="48" t="str">
        <x:v>report_grounding</x:v>
      </x:c>
      <x:c r="AW91" s="48" t="str">
        <x:v>high</x:v>
      </x:c>
      <x:c r="AX91" s="48" t="str">
        <x:v>medium</x:v>
      </x:c>
      <x:c r="AY91" s="48" t="str">
        <x:v>report_plus_external</x:v>
      </x:c>
      <x:c r="AZ91" s="48" t="str">
        <x:v>True</x:v>
      </x:c>
      <x:c r="BA91" s="48"/>
      <x:c r="BB91" s="48" t="str">
        <x:v>auto_default</x:v>
      </x:c>
      <x:c r="BC91" s="48" t="str">
        <x:v>v1</x:v>
      </x:c>
      <x:c r="BD91" s="68"/>
    </x:row>
    <x:row r="92" ht="36" customHeight="1">
      <x:c r="A92" s="47" t="str">
        <x:v>2026-06-25</x:v>
      </x:c>
      <x:c r="B92" s="48" t="str">
        <x:v>PL019</x:v>
      </x:c>
      <x:c r="C92" s="48" t="str">
        <x:v>V01</x:v>
      </x:c>
      <x:c r="D92" s="48" t="str">
        <x:v>年10月12日建设项目环境影响报告书（表）受理公告（佛山市生态环境局顺德分局）_1.pdf</x:v>
      </x:c>
      <x:c r="E92" s="48" t="str">
        <x:v>佛山市智龙科技有限公司迁扩建项目</x:v>
      </x:c>
      <x:c r="F92" s="48" t="str">
        <x:v>PL019_V01_Q01</x:v>
      </x:c>
      <x:c r="G92" s="48" t="str">
        <x:v>1. 塑胶行业样本筛选与国民经济行业分类</x:v>
      </x:c>
      <x:c r="H92" s="48" t="str">
        <x:v>请结合项目产品、原辅材料和生产工艺，判断该报告行业类别是否基本合理。</x:v>
      </x:c>
      <x:c r="I92" s="48" t="str">
        <x:v>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x:v>
      </x:c>
      <x:c r="J92" s="48"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92" s="48" t="str">
        <x:v>《国民经济行业分类》(GB/T 4754—2017)；本任务C292筛选及C17/C18排除规则</x:v>
      </x:c>
      <x:c r="L92" s="48" t="str">
        <x:v>结合本项目行业代码、建设性质、工艺关键词及PDF证据生成，非脱离项目的通用题。</x:v>
      </x:c>
      <x:c r="M92" s="48" t="str">
        <x:v>可依据对应PDF原文、工程分析表格及所列法规标准逐项复核。</x:v>
      </x:c>
      <x:c r="N92" s="48" t="str">
        <x:v>True</x:v>
      </x:c>
      <x:c r="O92" s="48"/>
      <x:c r="P92" s="48"/>
      <x:c r="Q92" s="48"/>
      <x:c r="R92" s="48" t="str">
        <x:v>新增</x:v>
      </x:c>
      <x:c r="S92" s="48" t="str">
        <x:v>是</x:v>
      </x:c>
      <x:c r="T92" s="48" t="str">
        <x:v>自动生成；需人工复核项目参数、公式取值、标准适用范围及PDF文字提取完整性。</x:v>
      </x:c>
      <x:c r="U92" s="48" t="str">
        <x:v>seed_qa_塑胶行业筛选版_30个国民经济行业分类的人工标记</x:v>
      </x:c>
      <x:c r="V92" s="48" t="str">
        <x:v>国民经济行业分类</x:v>
      </x:c>
      <x:c r="W92" s="48"/>
      <x:c r="X92" s="48" t="str">
        <x:v>待判断</x:v>
      </x:c>
      <x:c r="Y92" s="64"/>
      <x:c r="Z92" s="64" t="str">
        <x:v>未复核</x:v>
      </x:c>
      <x:c r="AA92" s="64" t="str">
        <x:v>部分充分</x:v>
      </x:c>
      <x:c r="AB92" s="64" t="str">
        <x:v>待判断</x:v>
      </x:c>
      <x:c r="AC92" s="64" t="str">
        <x:v>部分核验</x:v>
      </x:c>
      <x:c r="AD92" s="64" t="str">
        <x:v>自动默认</x:v>
      </x:c>
      <x:c r="AE92" s="64" t="str">
        <x:v>候选池</x:v>
      </x:c>
      <x:c r="AF92" s="64" t="str">
        <x:v>C_题目或材料问题</x:v>
      </x:c>
      <x:c r="AG92" s="64"/>
      <x:c r="AH92" s="64"/>
      <x:c r="AI92" s="64"/>
      <x:c r="AJ92" s="64"/>
      <x:c r="AK92" s="64"/>
      <x:c r="AL92" s="64"/>
      <x:c r="AM92" s="64"/>
      <x:c r="AN92" s="48" t="str">
        <x:v>92</x:v>
      </x:c>
      <x:c r="AO92" s="48" t="str">
        <x:v>MAP_BLANK</x:v>
      </x:c>
      <x:c r="AP92" s="48" t="str">
        <x:v>人工判断为空：不得自动补填结论；人工判断为空；结构完整但原因需人工确认；存在报告证据，但尚未经人工逐项核验；已列依据来源，但未在本阶段逐条核验</x:v>
      </x:c>
      <x:c r="AQ92" s="64"/>
      <x:c r="AR92" s="48" t="str">
        <x:v>industry_classification</x:v>
      </x:c>
      <x:c r="AS92" s="48" t="str">
        <x:v>L3_analysis</x:v>
      </x:c>
      <x:c r="AT92" s="48" t="str">
        <x:v>multi_evidence_synthesis</x:v>
      </x:c>
      <x:c r="AU92" s="48" t="str">
        <x:v>evidence_integration</x:v>
      </x:c>
      <x:c r="AV92" s="48" t="str">
        <x:v>report_grounding；basis_grounding</x:v>
      </x:c>
      <x:c r="AW92" s="48" t="str">
        <x:v>high</x:v>
      </x:c>
      <x:c r="AX92" s="48" t="str">
        <x:v>high</x:v>
      </x:c>
      <x:c r="AY92" s="48" t="str">
        <x:v>cross_section</x:v>
      </x:c>
      <x:c r="AZ92" s="48" t="str">
        <x:v>True</x:v>
      </x:c>
      <x:c r="BA92" s="48"/>
      <x:c r="BB92" s="48" t="str">
        <x:v>auto_default</x:v>
      </x:c>
      <x:c r="BC92" s="48" t="str">
        <x:v>v1</x:v>
      </x:c>
      <x:c r="BD92" s="68"/>
    </x:row>
    <x:row r="93" ht="36" customHeight="1">
      <x:c r="A93" s="47" t="str">
        <x:v>2026-07-24</x:v>
      </x:c>
      <x:c r="B93" s="48" t="str">
        <x:v>PL019</x:v>
      </x:c>
      <x:c r="C93" s="48" t="str">
        <x:v>V01</x:v>
      </x:c>
      <x:c r="D93" s="48" t="str">
        <x:v>PL019_佛山市智龙科技有限公司迁扩建项目</x:v>
      </x:c>
      <x:c r="E93" s="48" t="str">
        <x:v>佛山市智龙科技有限公司迁扩建项目</x:v>
      </x:c>
      <x:c r="F93" s="48" t="str">
        <x:v>PL019_V01_Q03</x:v>
      </x:c>
      <x:c r="G93" s="48" t="str">
        <x:v>环评投资核算</x:v>
      </x:c>
      <x:c r="H93" s="48" t="str">
        <x:v>请根据报告中的总投资、环保投资和环保工程投资明细，判断环保投资核算是否前后一致、比例是否正确。</x:v>
      </x:c>
      <x:c r="I93" s="48" t="str">
        <x:v>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x:v>
      </x:c>
      <x:c r="J93" s="48" t="str">
        <x:v>一、建设项目基本情况；表2.11：总投资100万元、环保投资12万元、占比12%；分项合计12万元。来源：解析文本拼接_01_001-020(4).md</x:v>
      </x:c>
      <x:c r="K93" s="48" t="str">
        <x:v>报告原文-环保投资明细表</x:v>
      </x:c>
      <x:c r="L93" s="48" t="str">
        <x:v>2</x:v>
      </x:c>
      <x:c r="M93" s="48" t="str">
        <x:v>2</x:v>
      </x:c>
      <x:c r="N93" s="48" t="str">
        <x:v>False</x:v>
      </x:c>
      <x:c r="O93" s="48" t="str">
        <x:v>正确</x:v>
      </x:c>
      <x:c r="P93" s="48"/>
      <x:c r="Q93" s="48"/>
      <x:c r="R93" s="48"/>
      <x:c r="S93" s="48" t="str">
        <x:v>否</x:v>
      </x:c>
      <x:c r="T93" s="48"/>
      <x:c r="U93" s="48" t="str">
        <x:v>30个PL_环评投资核算QA</x:v>
      </x:c>
      <x:c r="V93" s="48" t="str">
        <x:v>环评投资概算</x:v>
      </x:c>
      <x:c r="W93" s="48" t="str">
        <x:v>正确</x:v>
      </x:c>
      <x:c r="X93" s="48" t="str">
        <x:v>无误</x:v>
      </x:c>
      <x:c r="Y93" s="64"/>
      <x:c r="Z93" s="64" t="str">
        <x:v>未复核</x:v>
      </x:c>
      <x:c r="AA93" s="64" t="str">
        <x:v>部分充分</x:v>
      </x:c>
      <x:c r="AB93" s="64" t="str">
        <x:v>有效</x:v>
      </x:c>
      <x:c r="AC93" s="64" t="str">
        <x:v>不需要外部依据</x:v>
      </x:c>
      <x:c r="AD93" s="64" t="str">
        <x:v>自动默认</x:v>
      </x:c>
      <x:c r="AE93" s="64" t="str">
        <x:v>候选池</x:v>
      </x:c>
      <x:c r="AF93" s="64" t="str">
        <x:v>待分流</x:v>
      </x:c>
      <x:c r="AG93" s="64"/>
      <x:c r="AH93" s="64"/>
      <x:c r="AI93" s="64"/>
      <x:c r="AJ93" s="64"/>
      <x:c r="AK93" s="64"/>
      <x:c r="AL93" s="64"/>
      <x:c r="AM93" s="64"/>
      <x:c r="AN93" s="48" t="str">
        <x:v>93</x:v>
      </x:c>
      <x:c r="AO93" s="48" t="str">
        <x:v>MAP_正确</x:v>
      </x:c>
      <x:c r="AP93" s="48" t="str">
        <x:v>存在报告证据，但尚未经人工逐项核验；投资复核主要依据报告内金额与算式</x:v>
      </x:c>
      <x:c r="AQ93" s="64"/>
      <x:c r="AR93" s="48" t="str">
        <x:v>environmental_investment</x:v>
      </x:c>
      <x:c r="AS93" s="48" t="str">
        <x:v>L2_application</x:v>
      </x:c>
      <x:c r="AT93" s="48" t="str">
        <x:v>quantitative_verification</x:v>
      </x:c>
      <x:c r="AU93" s="48" t="str">
        <x:v>numerical_accuracy</x:v>
      </x:c>
      <x:c r="AV93" s="48" t="str">
        <x:v>report_grounding；procedural_reasoning</x:v>
      </x:c>
      <x:c r="AW93" s="48" t="str">
        <x:v>low</x:v>
      </x:c>
      <x:c r="AX93" s="48" t="str">
        <x:v>medium</x:v>
      </x:c>
      <x:c r="AY93" s="48" t="str">
        <x:v>cross_section</x:v>
      </x:c>
      <x:c r="AZ93" s="48" t="str">
        <x:v>True</x:v>
      </x:c>
      <x:c r="BA93" s="48"/>
      <x:c r="BB93" s="48" t="str">
        <x:v>auto_default</x:v>
      </x:c>
      <x:c r="BC93" s="48" t="str">
        <x:v>v1</x:v>
      </x:c>
      <x:c r="BD93" s="68"/>
    </x:row>
    <x:row r="94" ht="36" customHeight="1">
      <x:c r="A94" s="47" t="str">
        <x:v>2026-07-28</x:v>
      </x:c>
      <x:c r="B94" s="48" t="str">
        <x:v>PL019</x:v>
      </x:c>
      <x:c r="C94" s="48" t="str">
        <x:v>V01</x:v>
      </x:c>
      <x:c r="D94" s="48" t="str">
        <x:v>PL019_佛山市智龙科技有限公司迁扩建项目_01_受理公告或公示版.pdf</x:v>
      </x:c>
      <x:c r="E94" s="48" t="str">
        <x:v>佛山市智龙科技有限公司迁扩建项目</x:v>
      </x:c>
      <x:c r="F94" s="48" t="str">
        <x:v>PL019_EnvQuality_Q01</x:v>
      </x:c>
      <x:c r="G94" s="48" t="str">
        <x:v>大气及地表水环境质量现状数据引用</x:v>
      </x:c>
      <x:c r="H94" s="48" t="str">
        <x:v>请根据报告引用的环境质量公报及现状数据，判断大气和地表水环境质量现状数据引用是否准确。</x:v>
      </x:c>
      <x:c r="I94" s="48" t="str">
        <x:v>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x:v>
      </x:c>
      <x:c r="J94" s="48" t="str">
        <x:v>证据位置:大气：Page 41；地表水：Page 41; 大气公报:《2023年度佛山市顺德区生态环境状况公报》; 地表水资料:《2023年度佛山市顺德区生态环境状况公报》</x:v>
      </x:c>
      <x:c r="K94" s="48" t="str">
        <x:v>生态环境状况公报知识库; 收纳水体地表水执行标准</x:v>
      </x:c>
      <x:c r="L94" s="48" t="str">
        <x:v>2</x:v>
      </x:c>
      <x:c r="M94" s="48" t="str">
        <x:v>2</x:v>
      </x:c>
      <x:c r="N94" s="48" t="str">
        <x:v>False</x:v>
      </x:c>
      <x:c r="O94" s="48" t="str">
        <x:v>正确</x:v>
      </x:c>
      <x:c r="P94" s="48" t="str">
        <x:v>大气:正确; 地表水:正确; 报告日期:未明确</x:v>
      </x:c>
      <x:c r="Q94" s="48"/>
      <x:c r="R94" s="48"/>
      <x:c r="S94" s="48" t="str">
        <x:v>是</x:v>
      </x:c>
      <x:c r="T94" s="48" t="str">
        <x:v>CO第95百分位数：报告正文将CO单位标注为μg/m³，与公报mg/m³不符；但同页表格CO=1000(μg/m³语境)=1.0mg/m³与公报一致，达标结论未失真，属单位表述笔误。</x:v>
      </x:c>
      <x:c r="U94" s="48" t="str">
        <x:v>30个环评_大气及地表水环境质量现状数据引用复核QA</x:v>
      </x:c>
      <x:c r="V94" s="48" t="str">
        <x:v>环境质量数据引用</x:v>
      </x:c>
      <x:c r="W94" s="48" t="str">
        <x:v>正确</x:v>
      </x:c>
      <x:c r="X94" s="48" t="str">
        <x:v>无误</x:v>
      </x:c>
      <x:c r="Y94" s="64"/>
      <x:c r="Z94" s="64" t="str">
        <x:v>未复核</x:v>
      </x:c>
      <x:c r="AA94" s="64" t="str">
        <x:v>部分充分</x:v>
      </x:c>
      <x:c r="AB94" s="64" t="str">
        <x:v>有效</x:v>
      </x:c>
      <x:c r="AC94" s="64" t="str">
        <x:v>部分核验</x:v>
      </x:c>
      <x:c r="AD94" s="64" t="str">
        <x:v>自动默认</x:v>
      </x:c>
      <x:c r="AE94" s="64" t="str">
        <x:v>候选池</x:v>
      </x:c>
      <x:c r="AF94" s="64" t="str">
        <x:v>A_仅待终审</x:v>
      </x:c>
      <x:c r="AG94" s="64"/>
      <x:c r="AH94" s="64"/>
      <x:c r="AI94" s="64"/>
      <x:c r="AJ94" s="64"/>
      <x:c r="AK94" s="64"/>
      <x:c r="AL94" s="64"/>
      <x:c r="AM94" s="64"/>
      <x:c r="AN94" s="48" t="str">
        <x:v>94</x:v>
      </x:c>
      <x:c r="AO94" s="48" t="str">
        <x:v>MAP_正确</x:v>
      </x:c>
      <x:c r="AP94" s="48" t="str">
        <x:v>存在报告证据，但尚未经人工逐项核验；已列依据来源，但未在本阶段逐条核验</x:v>
      </x:c>
      <x:c r="AQ94" s="64"/>
      <x:c r="AR94" s="48" t="str">
        <x:v>environmental_quality_data</x:v>
      </x:c>
      <x:c r="AS94" s="48" t="str">
        <x:v>L3_analysis</x:v>
      </x:c>
      <x:c r="AT94" s="48" t="str">
        <x:v>consistency_comparison</x:v>
      </x:c>
      <x:c r="AU94" s="48" t="str">
        <x:v>evidence_integration</x:v>
      </x:c>
      <x:c r="AV94" s="48" t="str">
        <x:v>report_grounding；basis_grounding</x:v>
      </x:c>
      <x:c r="AW94" s="48" t="str">
        <x:v>high</x:v>
      </x:c>
      <x:c r="AX94" s="48" t="str">
        <x:v>high</x:v>
      </x:c>
      <x:c r="AY94" s="48" t="str">
        <x:v>report_plus_external</x:v>
      </x:c>
      <x:c r="AZ94" s="48" t="str">
        <x:v>True</x:v>
      </x:c>
      <x:c r="BA94" s="48"/>
      <x:c r="BB94" s="48" t="str">
        <x:v>auto_default</x:v>
      </x:c>
      <x:c r="BC94" s="48" t="str">
        <x:v>v1</x:v>
      </x:c>
      <x:c r="BD94" s="68"/>
    </x:row>
    <x:row r="95" ht="36" customHeight="1">
      <x:c r="A95" s="47" t="str">
        <x:v>2026-07-27</x:v>
      </x:c>
      <x:c r="B95" s="48" t="str">
        <x:v>PL019</x:v>
      </x:c>
      <x:c r="C95" s="48" t="str">
        <x:v>V01</x:v>
      </x:c>
      <x:c r="D95" s="48" t="str">
        <x:v>PL019_佛山市智龙科技有限公司迁扩建项目_01_受理公告或公示版.pdf</x:v>
      </x:c>
      <x:c r="E95" s="48" t="str">
        <x:v>佛山市智龙科技有限公司迁扩建项目</x:v>
      </x:c>
      <x:c r="F95" s="48" t="str">
        <x:v>PL019_Emission_水污</x:v>
      </x:c>
      <x:c r="G95" s="48" t="str">
        <x:v>污染物排放标准-水污染物排放标准</x:v>
      </x:c>
      <x:c r="H9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95" s="48" t="str">
        <x:v>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x:v>
      </x:c>
      <x:c r="J95" s="48" t="str">
        <x:v>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95" s="48" t="str">
        <x:v>emission-standard-kb.jsonl; DB44/26-2001; DB44/2367-2022; GB31572-2015; GB14554-93; GB12348-2008; GB18597-2023; GB18599-2020</x:v>
      </x:c>
      <x:c r="L95" s="48" t="str">
        <x:v>2</x:v>
      </x:c>
      <x:c r="M95" s="48" t="str">
        <x:v>2</x:v>
      </x:c>
      <x:c r="N95" s="48" t="str">
        <x:v>False</x:v>
      </x:c>
      <x:c r="O95" s="48" t="str">
        <x:v>需复核</x:v>
      </x:c>
      <x:c r="P95"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95" s="48"/>
      <x:c r="R95" s="48"/>
      <x:c r="S95" s="48" t="str">
        <x:v>是</x:v>
      </x:c>
      <x:c r="T95" s="48" t="str">
        <x:v>原综合排放标准问答对拆分而来</x:v>
      </x:c>
      <x:c r="U95" s="48" t="str">
        <x:v>30份环评_污染物排放控制执行标准复核QA(拆分版)</x:v>
      </x:c>
      <x:c r="V95" s="48" t="str">
        <x:v>水污染物排放标准</x:v>
      </x:c>
      <x:c r="W95" s="48" t="str">
        <x:v>需复核</x:v>
      </x:c>
      <x:c r="X95" s="48" t="str">
        <x:v>需人工复核</x:v>
      </x:c>
      <x:c r="Y95" s="64"/>
      <x:c r="Z95" s="64" t="str">
        <x:v>未复核</x:v>
      </x:c>
      <x:c r="AA95" s="64" t="str">
        <x:v>部分充分</x:v>
      </x:c>
      <x:c r="AB95" s="64" t="str">
        <x:v>有效</x:v>
      </x:c>
      <x:c r="AC95" s="64" t="str">
        <x:v>部分核验</x:v>
      </x:c>
      <x:c r="AD95" s="64" t="str">
        <x:v>自动默认</x:v>
      </x:c>
      <x:c r="AE95" s="64" t="str">
        <x:v>候选池</x:v>
      </x:c>
      <x:c r="AF95" s="64" t="str">
        <x:v>B_证据不足</x:v>
      </x:c>
      <x:c r="AG95" s="64"/>
      <x:c r="AH95" s="64"/>
      <x:c r="AI95" s="64"/>
      <x:c r="AJ95" s="64"/>
      <x:c r="AK95" s="64"/>
      <x:c r="AL95" s="64"/>
      <x:c r="AM95" s="64"/>
      <x:c r="AN95" s="48" t="str">
        <x:v>95</x:v>
      </x:c>
      <x:c r="AO95" s="48" t="str">
        <x:v>MAP_需复核</x:v>
      </x:c>
      <x:c r="AP95" s="48" t="str">
        <x:v>原结论明确要求人工复核；存在报告证据，但尚未经人工逐项核验；已列依据来源，但未在本阶段逐条核验</x:v>
      </x:c>
      <x:c r="AQ95" s="64"/>
      <x:c r="AR95" s="48" t="str">
        <x:v>water_emission_standard</x:v>
      </x:c>
      <x:c r="AS95" s="48" t="str">
        <x:v>L3_analysis</x:v>
      </x:c>
      <x:c r="AT95" s="48" t="str">
        <x:v>rule_applicability</x:v>
      </x:c>
      <x:c r="AU95" s="48" t="str">
        <x:v>basis_grounding</x:v>
      </x:c>
      <x:c r="AV95" s="48" t="str">
        <x:v>report_grounding；procedural_reasoning</x:v>
      </x:c>
      <x:c r="AW95" s="48" t="str">
        <x:v>high</x:v>
      </x:c>
      <x:c r="AX95" s="48" t="str">
        <x:v>high</x:v>
      </x:c>
      <x:c r="AY95" s="48" t="str">
        <x:v>report_plus_external</x:v>
      </x:c>
      <x:c r="AZ95" s="48" t="str">
        <x:v>True</x:v>
      </x:c>
      <x:c r="BA95" s="48"/>
      <x:c r="BB95" s="48" t="str">
        <x:v>auto_default</x:v>
      </x:c>
      <x:c r="BC95" s="48" t="str">
        <x:v>v1</x:v>
      </x:c>
      <x:c r="BD95" s="68"/>
    </x:row>
    <x:row r="96" ht="36" customHeight="1">
      <x:c r="A96" s="47" t="str">
        <x:v>2026-07-27</x:v>
      </x:c>
      <x:c r="B96" s="48" t="str">
        <x:v>PL019</x:v>
      </x:c>
      <x:c r="C96" s="48" t="str">
        <x:v>V01</x:v>
      </x:c>
      <x:c r="D96" s="48" t="str">
        <x:v>PL019_佛山市智龙科技有限公司迁扩建项目_01_受理公告或公示版.pdf</x:v>
      </x:c>
      <x:c r="E96" s="48" t="str">
        <x:v>佛山市智龙科技有限公司迁扩建项目</x:v>
      </x:c>
      <x:c r="F96" s="48" t="str">
        <x:v>PL019_Emission_大气</x:v>
      </x:c>
      <x:c r="G96" s="48" t="str">
        <x:v>污染物排放标准-大气污染物排放标准</x:v>
      </x:c>
      <x:c r="H96" s="48" t="str">
        <x:v>请根据项目行业类别、生产工艺和污染因子，判断大气污染物排放标准选取是否合理。要求分析：污染源覆盖是否完整（列出所有大气污染源及对应标准），是否存在缺漏的污染源或标准。</x:v>
      </x:c>
      <x:c r="I96" s="48" t="str">
        <x:v>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x:v>
      </x:c>
      <x:c r="J96" s="4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96" s="48" t="str">
        <x:v>emission-standard-kb.jsonl; DB44/26-2001; DB44/2367-2022; GB31572-2015; GB14554-93; GB12348-2008; GB18597-2023; GB18599-2020</x:v>
      </x:c>
      <x:c r="L96" s="48" t="str">
        <x:v>2</x:v>
      </x:c>
      <x:c r="M96" s="48" t="str">
        <x:v>2</x:v>
      </x:c>
      <x:c r="N96" s="48" t="str">
        <x:v>False</x:v>
      </x:c>
      <x:c r="O96" s="48" t="str">
        <x:v>需复核</x:v>
      </x:c>
      <x:c r="P96"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96" s="48"/>
      <x:c r="R96" s="48"/>
      <x:c r="S96" s="48" t="str">
        <x:v>是</x:v>
      </x:c>
      <x:c r="T96" s="48" t="str">
        <x:v>原综合排放标准问答对拆分而来</x:v>
      </x:c>
      <x:c r="U96" s="48" t="str">
        <x:v>30份环评_污染物排放控制执行标准复核QA(拆分版)</x:v>
      </x:c>
      <x:c r="V96" s="48" t="str">
        <x:v>大气污染物排放标准</x:v>
      </x:c>
      <x:c r="W96" s="48" t="str">
        <x:v>需复核</x:v>
      </x:c>
      <x:c r="X96" s="48" t="str">
        <x:v>需人工复核</x:v>
      </x:c>
      <x:c r="Y96" s="64"/>
      <x:c r="Z96" s="64" t="str">
        <x:v>未复核</x:v>
      </x:c>
      <x:c r="AA96" s="64" t="str">
        <x:v>部分充分</x:v>
      </x:c>
      <x:c r="AB96" s="64" t="str">
        <x:v>有效</x:v>
      </x:c>
      <x:c r="AC96" s="64" t="str">
        <x:v>部分核验</x:v>
      </x:c>
      <x:c r="AD96" s="64" t="str">
        <x:v>自动默认</x:v>
      </x:c>
      <x:c r="AE96" s="64" t="str">
        <x:v>候选池</x:v>
      </x:c>
      <x:c r="AF96" s="64" t="str">
        <x:v>B_证据不足</x:v>
      </x:c>
      <x:c r="AG96" s="64"/>
      <x:c r="AH96" s="64"/>
      <x:c r="AI96" s="64"/>
      <x:c r="AJ96" s="64"/>
      <x:c r="AK96" s="64"/>
      <x:c r="AL96" s="64"/>
      <x:c r="AM96" s="64"/>
      <x:c r="AN96" s="48" t="str">
        <x:v>96</x:v>
      </x:c>
      <x:c r="AO96" s="48" t="str">
        <x:v>MAP_需复核</x:v>
      </x:c>
      <x:c r="AP96" s="48" t="str">
        <x:v>原结论明确要求人工复核；存在报告证据，但尚未经人工逐项核验；已列依据来源，但未在本阶段逐条核验</x:v>
      </x:c>
      <x:c r="AQ96" s="64"/>
      <x:c r="AR96" s="48" t="str">
        <x:v>air_emission_standard</x:v>
      </x:c>
      <x:c r="AS96" s="48" t="str">
        <x:v>L3_analysis</x:v>
      </x:c>
      <x:c r="AT96" s="48" t="str">
        <x:v>multi_evidence_synthesis</x:v>
      </x:c>
      <x:c r="AU96" s="48" t="str">
        <x:v>basis_grounding</x:v>
      </x:c>
      <x:c r="AV96" s="48" t="str">
        <x:v>report_grounding；evidence_integration</x:v>
      </x:c>
      <x:c r="AW96" s="48" t="str">
        <x:v>high</x:v>
      </x:c>
      <x:c r="AX96" s="48" t="str">
        <x:v>high</x:v>
      </x:c>
      <x:c r="AY96" s="48" t="str">
        <x:v>report_plus_external</x:v>
      </x:c>
      <x:c r="AZ96" s="48" t="str">
        <x:v>True</x:v>
      </x:c>
      <x:c r="BA96" s="48"/>
      <x:c r="BB96" s="48" t="str">
        <x:v>auto_default</x:v>
      </x:c>
      <x:c r="BC96" s="48" t="str">
        <x:v>v1</x:v>
      </x:c>
      <x:c r="BD96" s="68"/>
    </x:row>
    <x:row r="97" ht="36" customHeight="1">
      <x:c r="A97" s="47" t="str">
        <x:v>2026-07-27</x:v>
      </x:c>
      <x:c r="B97" s="48" t="str">
        <x:v>PL019</x:v>
      </x:c>
      <x:c r="C97" s="48" t="str">
        <x:v>V01</x:v>
      </x:c>
      <x:c r="D97" s="48" t="str">
        <x:v>PL019_佛山市智龙科技有限公司迁扩建项目_01_受理公告或公示版.pdf</x:v>
      </x:c>
      <x:c r="E97" s="48" t="str">
        <x:v>佛山市智龙科技有限公司迁扩建项目</x:v>
      </x:c>
      <x:c r="F97" s="48" t="str">
        <x:v>PL019_Emission_噪声</x:v>
      </x:c>
      <x:c r="G97" s="48" t="str">
        <x:v>污染物排放标准-噪声排放标准</x:v>
      </x:c>
      <x:c r="H97" s="48" t="str">
        <x:v>请根据项目所属声环境功能区类别，判断噪声排放标准选取是否合理。要求总结声功能区类型、厂界执行标准（GB12348-2008）及昼夜限值，并与环评编制内容进行一致性分析。</x:v>
      </x:c>
      <x:c r="I97" s="48" t="str">
        <x:v>1、噪声排放标准中执行标准与排放限值内容：无法判断；
2、文本未在可见章节中明确列出噪声排放标准（如GB12348-2008及适用类别）。无法判断。</x:v>
      </x:c>
      <x:c r="J97" s="4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97" s="48" t="str">
        <x:v>emission-standard-kb.jsonl; DB44/26-2001; DB44/2367-2022; GB31572-2015; GB14554-93; GB12348-2008; GB18597-2023; GB18599-2020</x:v>
      </x:c>
      <x:c r="L97" s="48" t="str">
        <x:v>2</x:v>
      </x:c>
      <x:c r="M97" s="48" t="str">
        <x:v>2</x:v>
      </x:c>
      <x:c r="N97" s="48" t="str">
        <x:v>False</x:v>
      </x:c>
      <x:c r="O97" s="48" t="str">
        <x:v>无法判断</x:v>
      </x:c>
      <x:c r="P97"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97" s="48"/>
      <x:c r="R97" s="48"/>
      <x:c r="S97" s="48" t="str">
        <x:v>是</x:v>
      </x:c>
      <x:c r="T97" s="48" t="str">
        <x:v>原综合排放标准问答对拆分而来</x:v>
      </x:c>
      <x:c r="U97" s="48" t="str">
        <x:v>30份环评_污染物排放控制执行标准复核QA(拆分版)</x:v>
      </x:c>
      <x:c r="V97" s="48" t="str">
        <x:v>噪声排放标准</x:v>
      </x:c>
      <x:c r="W97" s="48" t="str">
        <x:v>无法判断</x:v>
      </x:c>
      <x:c r="X97" s="48" t="str">
        <x:v>证据不足</x:v>
      </x:c>
      <x:c r="Y97" s="64"/>
      <x:c r="Z97" s="64" t="str">
        <x:v>未复核</x:v>
      </x:c>
      <x:c r="AA97" s="64" t="str">
        <x:v>不足</x:v>
      </x:c>
      <x:c r="AB97" s="64" t="str">
        <x:v>有效</x:v>
      </x:c>
      <x:c r="AC97" s="64" t="str">
        <x:v>部分核验</x:v>
      </x:c>
      <x:c r="AD97" s="64" t="str">
        <x:v>自动默认</x:v>
      </x:c>
      <x:c r="AE97" s="64" t="str">
        <x:v>候选池</x:v>
      </x:c>
      <x:c r="AF97" s="64" t="str">
        <x:v>B_证据不足</x:v>
      </x:c>
      <x:c r="AG97" s="64"/>
      <x:c r="AH97" s="64"/>
      <x:c r="AI97" s="64"/>
      <x:c r="AJ97" s="64"/>
      <x:c r="AK97" s="64"/>
      <x:c r="AL97" s="64"/>
      <x:c r="AM97" s="64"/>
      <x:c r="AN97" s="48" t="str">
        <x:v>97</x:v>
      </x:c>
      <x:c r="AO97" s="48" t="str">
        <x:v>MAP_无法判断+EVIDENCE_INSUFFICIENCY_SIGNAL</x:v>
      </x:c>
      <x:c r="AP97" s="48" t="str">
        <x:v>需人工区分证据不足、材料缺失或尚未审核；命中证据不足候选词：无法判断；已列依据来源，但未在本阶段逐条核验</x:v>
      </x:c>
      <x:c r="AQ97" s="64"/>
      <x:c r="AR97" s="48" t="str">
        <x:v>noise_emission_standard</x:v>
      </x:c>
      <x:c r="AS97" s="48" t="str">
        <x:v>L2_application</x:v>
      </x:c>
      <x:c r="AT97" s="48" t="str">
        <x:v>rule_applicability</x:v>
      </x:c>
      <x:c r="AU97" s="48" t="str">
        <x:v>basis_grounding</x:v>
      </x:c>
      <x:c r="AV97" s="48" t="str">
        <x:v>report_grounding</x:v>
      </x:c>
      <x:c r="AW97" s="48" t="str">
        <x:v>high</x:v>
      </x:c>
      <x:c r="AX97" s="48" t="str">
        <x:v>medium</x:v>
      </x:c>
      <x:c r="AY97" s="48" t="str">
        <x:v>report_plus_external</x:v>
      </x:c>
      <x:c r="AZ97" s="48" t="str">
        <x:v>True</x:v>
      </x:c>
      <x:c r="BA97" s="48"/>
      <x:c r="BB97" s="48" t="str">
        <x:v>auto_default</x:v>
      </x:c>
      <x:c r="BC97" s="48" t="str">
        <x:v>v1</x:v>
      </x:c>
      <x:c r="BD97" s="68"/>
    </x:row>
    <x:row r="98" ht="36" customHeight="1">
      <x:c r="A98" s="47" t="str">
        <x:v>2026-07-27</x:v>
      </x:c>
      <x:c r="B98" s="48" t="str">
        <x:v>PL019</x:v>
      </x:c>
      <x:c r="C98" s="48" t="str">
        <x:v>V01</x:v>
      </x:c>
      <x:c r="D98" s="48" t="str">
        <x:v>PL019_佛山市智龙科技有限公司迁扩建项目_01_受理公告或公示版.pdf</x:v>
      </x:c>
      <x:c r="E98" s="48" t="str">
        <x:v>佛山市智龙科技有限公司迁扩建项目</x:v>
      </x:c>
      <x:c r="F98" s="48" t="str">
        <x:v>PL019_Emission_固体</x:v>
      </x:c>
      <x:c r="G98" s="48" t="str">
        <x:v>污染物排放标准-固体废物控制标准</x:v>
      </x:c>
      <x:c r="H98" s="48" t="str">
        <x:v>请根据项目产生的固体废物和危险废物类型，判断固体废物控制标准选取是否合理。要求总结一般工业固体废物和危险废物执行标准的标准名称及编号，分析是否缺少必要标准条目。</x:v>
      </x:c>
      <x:c r="I98"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98" s="4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98" s="48" t="str">
        <x:v>emission-standard-kb.jsonl; DB44/26-2001; DB44/2367-2022; GB31572-2015; GB14554-93; GB12348-2008; GB18597-2023; GB18599-2020</x:v>
      </x:c>
      <x:c r="L98" s="48" t="str">
        <x:v>2</x:v>
      </x:c>
      <x:c r="M98" s="48" t="str">
        <x:v>2</x:v>
      </x:c>
      <x:c r="N98" s="48" t="str">
        <x:v>False</x:v>
      </x:c>
      <x:c r="O98" s="48" t="str">
        <x:v>无误</x:v>
      </x:c>
      <x:c r="P98"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98" s="48"/>
      <x:c r="R98" s="48"/>
      <x:c r="S98" s="48" t="str">
        <x:v>否</x:v>
      </x:c>
      <x:c r="T98" s="48" t="str">
        <x:v>修正：GB18599-2020不在知识库必须满足的标准清单中，原判定依据已更正。原综合排放标准问答对拆分而来</x:v>
      </x:c>
      <x:c r="U98" s="48" t="str">
        <x:v>30份环评_污染物排放控制执行标准复核QA(拆分版)</x:v>
      </x:c>
      <x:c r="V98" s="48" t="str">
        <x:v>固体废物控制标准</x:v>
      </x:c>
      <x:c r="W98" s="48" t="str">
        <x:v>无误</x:v>
      </x:c>
      <x:c r="X98" s="48" t="str">
        <x:v>无误</x:v>
      </x:c>
      <x:c r="Y98" s="64"/>
      <x:c r="Z98" s="64" t="str">
        <x:v>未复核</x:v>
      </x:c>
      <x:c r="AA98" s="64" t="str">
        <x:v>部分充分</x:v>
      </x:c>
      <x:c r="AB98" s="64" t="str">
        <x:v>有效</x:v>
      </x:c>
      <x:c r="AC98" s="64" t="str">
        <x:v>部分核验</x:v>
      </x:c>
      <x:c r="AD98" s="64" t="str">
        <x:v>自动默认</x:v>
      </x:c>
      <x:c r="AE98" s="64" t="str">
        <x:v>候选池</x:v>
      </x:c>
      <x:c r="AF98" s="64" t="str">
        <x:v>待分流</x:v>
      </x:c>
      <x:c r="AG98" s="64"/>
      <x:c r="AH98" s="64"/>
      <x:c r="AI98" s="64"/>
      <x:c r="AJ98" s="64"/>
      <x:c r="AK98" s="64"/>
      <x:c r="AL98" s="64"/>
      <x:c r="AM98" s="64"/>
      <x:c r="AN98" s="48" t="str">
        <x:v>98</x:v>
      </x:c>
      <x:c r="AO98" s="48" t="str">
        <x:v>MAP_无误</x:v>
      </x:c>
      <x:c r="AP98" s="48" t="str">
        <x:v>存在报告证据，但尚未经人工逐项核验；已列依据来源，但未在本阶段逐条核验</x:v>
      </x:c>
      <x:c r="AQ98" s="64"/>
      <x:c r="AR98" s="48" t="str">
        <x:v>solid_waste_standard</x:v>
      </x:c>
      <x:c r="AS98" s="48" t="str">
        <x:v>L2_application</x:v>
      </x:c>
      <x:c r="AT98" s="48" t="str">
        <x:v>rule_applicability</x:v>
      </x:c>
      <x:c r="AU98" s="48" t="str">
        <x:v>basis_grounding</x:v>
      </x:c>
      <x:c r="AV98" s="48" t="str">
        <x:v>report_grounding</x:v>
      </x:c>
      <x:c r="AW98" s="48" t="str">
        <x:v>high</x:v>
      </x:c>
      <x:c r="AX98" s="48" t="str">
        <x:v>medium</x:v>
      </x:c>
      <x:c r="AY98" s="48" t="str">
        <x:v>report_plus_external</x:v>
      </x:c>
      <x:c r="AZ98" s="48" t="str">
        <x:v>True</x:v>
      </x:c>
      <x:c r="BA98" s="48"/>
      <x:c r="BB98" s="48" t="str">
        <x:v>auto_default</x:v>
      </x:c>
      <x:c r="BC98" s="48" t="str">
        <x:v>v1</x:v>
      </x:c>
      <x:c r="BD98" s="68"/>
    </x:row>
    <x:row r="99" ht="36" customHeight="1">
      <x:c r="A99" s="47" t="str">
        <x:v>2026-06-25</x:v>
      </x:c>
      <x:c r="B99" s="48" t="str">
        <x:v>PL020</x:v>
      </x:c>
      <x:c r="C99" s="48" t="str">
        <x:v>V01</x:v>
      </x:c>
      <x:c r="D99" s="48" t="str">
        <x:v>年10月16日建设项目环境影响报告书（表）受理公告（佛山市生态环境局顺德分局）_2.pdf</x:v>
      </x:c>
      <x:c r="E99" s="48" t="str">
        <x:v>佛山市朗信塑料制品有限公司新建项目</x:v>
      </x:c>
      <x:c r="F99" s="48" t="str">
        <x:v>PL020_V01_Q01</x:v>
      </x:c>
      <x:c r="G99" s="48" t="str">
        <x:v>1. 塑胶行业样本筛选与国民经济行业分类</x:v>
      </x:c>
      <x:c r="H99" s="48" t="str">
        <x:v>请结合项目产品、原辅材料和生产工艺，判断该报告行业类别是否基本合理。</x:v>
      </x:c>
      <x:c r="I99" s="48" t="str">
        <x:v>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x:v>
      </x:c>
      <x:c r="J99" s="48"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99" s="48" t="str">
        <x:v>《国民经济行业分类》(GB/T 4754—2017)；本任务C292筛选及C17/C18排除规则</x:v>
      </x:c>
      <x:c r="L99" s="48" t="str">
        <x:v>结合本项目行业代码、建设性质、工艺关键词及PDF证据生成，非脱离项目的通用题。</x:v>
      </x:c>
      <x:c r="M99" s="48" t="str">
        <x:v>可依据对应PDF原文、工程分析表格及所列法规标准逐项复核。</x:v>
      </x:c>
      <x:c r="N99" s="48" t="str">
        <x:v>True</x:v>
      </x:c>
      <x:c r="O99" s="48"/>
      <x:c r="P99" s="48"/>
      <x:c r="Q99" s="48"/>
      <x:c r="R99" s="48" t="str">
        <x:v>新增</x:v>
      </x:c>
      <x:c r="S99" s="48" t="str">
        <x:v>是</x:v>
      </x:c>
      <x:c r="T99" s="48" t="str">
        <x:v>自动生成；需人工复核项目参数、公式取值、标准适用范围及PDF文字提取完整性。</x:v>
      </x:c>
      <x:c r="U99" s="48" t="str">
        <x:v>seed_qa_塑胶行业筛选版_30个国民经济行业分类的人工标记</x:v>
      </x:c>
      <x:c r="V99" s="48" t="str">
        <x:v>国民经济行业分类</x:v>
      </x:c>
      <x:c r="W99" s="48"/>
      <x:c r="X99" s="48" t="str">
        <x:v>待判断</x:v>
      </x:c>
      <x:c r="Y99" s="64"/>
      <x:c r="Z99" s="64" t="str">
        <x:v>未复核</x:v>
      </x:c>
      <x:c r="AA99" s="64" t="str">
        <x:v>部分充分</x:v>
      </x:c>
      <x:c r="AB99" s="64" t="str">
        <x:v>待判断</x:v>
      </x:c>
      <x:c r="AC99" s="64" t="str">
        <x:v>部分核验</x:v>
      </x:c>
      <x:c r="AD99" s="64" t="str">
        <x:v>自动默认</x:v>
      </x:c>
      <x:c r="AE99" s="64" t="str">
        <x:v>候选池</x:v>
      </x:c>
      <x:c r="AF99" s="64" t="str">
        <x:v>C_题目或材料问题</x:v>
      </x:c>
      <x:c r="AG99" s="64"/>
      <x:c r="AH99" s="64"/>
      <x:c r="AI99" s="64"/>
      <x:c r="AJ99" s="64"/>
      <x:c r="AK99" s="64"/>
      <x:c r="AL99" s="64"/>
      <x:c r="AM99" s="64"/>
      <x:c r="AN99" s="48" t="str">
        <x:v>99</x:v>
      </x:c>
      <x:c r="AO99" s="48" t="str">
        <x:v>MAP_BLANK</x:v>
      </x:c>
      <x:c r="AP99" s="48" t="str">
        <x:v>人工判断为空：不得自动补填结论；人工判断为空；结构完整但原因需人工确认；存在报告证据，但尚未经人工逐项核验；已列依据来源，但未在本阶段逐条核验</x:v>
      </x:c>
      <x:c r="AQ99" s="64"/>
      <x:c r="AR99" s="48" t="str">
        <x:v>industry_classification</x:v>
      </x:c>
      <x:c r="AS99" s="48" t="str">
        <x:v>L3_analysis</x:v>
      </x:c>
      <x:c r="AT99" s="48" t="str">
        <x:v>multi_evidence_synthesis</x:v>
      </x:c>
      <x:c r="AU99" s="48" t="str">
        <x:v>evidence_integration</x:v>
      </x:c>
      <x:c r="AV99" s="48" t="str">
        <x:v>report_grounding；basis_grounding</x:v>
      </x:c>
      <x:c r="AW99" s="48" t="str">
        <x:v>high</x:v>
      </x:c>
      <x:c r="AX99" s="48" t="str">
        <x:v>high</x:v>
      </x:c>
      <x:c r="AY99" s="48" t="str">
        <x:v>cross_section</x:v>
      </x:c>
      <x:c r="AZ99" s="48" t="str">
        <x:v>True</x:v>
      </x:c>
      <x:c r="BA99" s="48"/>
      <x:c r="BB99" s="48" t="str">
        <x:v>auto_default</x:v>
      </x:c>
      <x:c r="BC99" s="48" t="str">
        <x:v>v1</x:v>
      </x:c>
      <x:c r="BD99" s="68"/>
    </x:row>
    <x:row r="100" ht="36" customHeight="1">
      <x:c r="A100" s="47" t="str">
        <x:v>2026-07-24</x:v>
      </x:c>
      <x:c r="B100" s="48" t="str">
        <x:v>PL020</x:v>
      </x:c>
      <x:c r="C100" s="48" t="str">
        <x:v>V01</x:v>
      </x:c>
      <x:c r="D100" s="48" t="str">
        <x:v>PL020_佛山市朗信塑料制品有限公司新建项目</x:v>
      </x:c>
      <x:c r="E100" s="48" t="str">
        <x:v>佛山市朗信塑料制品有限公司新建项目</x:v>
      </x:c>
      <x:c r="F100" s="48" t="str">
        <x:v>PL020_V01_Q03</x:v>
      </x:c>
      <x:c r="G100" s="48" t="str">
        <x:v>环评投资核算</x:v>
      </x:c>
      <x:c r="H100" s="48" t="str">
        <x:v>请根据报告中的总投资、环保投资和环保工程投资明细，判断环保投资核算是否前后一致、比例是否正确。</x:v>
      </x:c>
      <x:c r="I100" s="48" t="str">
        <x:v>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x:v>
      </x:c>
      <x:c r="J100" s="48" t="str">
        <x:v>一、建设项目基本情况：总投资100万元、环保投资15万元、占比15%。来源：解析文本拼接_01_001-020(4).md</x:v>
      </x:c>
      <x:c r="K100" s="48" t="str">
        <x:v>报告原文-环保投资明细表</x:v>
      </x:c>
      <x:c r="L100" s="48" t="str">
        <x:v>2</x:v>
      </x:c>
      <x:c r="M100" s="48" t="str">
        <x:v>2</x:v>
      </x:c>
      <x:c r="N100" s="48" t="str">
        <x:v>False</x:v>
      </x:c>
      <x:c r="O100" s="48" t="str">
        <x:v>需复核</x:v>
      </x:c>
      <x:c r="P100" s="48"/>
      <x:c r="Q100" s="48"/>
      <x:c r="R100" s="48"/>
      <x:c r="S100" s="48" t="str">
        <x:v>是</x:v>
      </x:c>
      <x:c r="T100" s="48"/>
      <x:c r="U100" s="48" t="str">
        <x:v>30个PL_环评投资核算QA</x:v>
      </x:c>
      <x:c r="V100" s="48" t="str">
        <x:v>环评投资概算</x:v>
      </x:c>
      <x:c r="W100" s="48" t="str">
        <x:v>需复核</x:v>
      </x:c>
      <x:c r="X100" s="48" t="str">
        <x:v>证据不足</x:v>
      </x:c>
      <x:c r="Y100" s="64"/>
      <x:c r="Z100" s="64" t="str">
        <x:v>未复核</x:v>
      </x:c>
      <x:c r="AA100" s="64" t="str">
        <x:v>不足</x:v>
      </x:c>
      <x:c r="AB100" s="64" t="str">
        <x:v>有效</x:v>
      </x:c>
      <x:c r="AC100" s="64" t="str">
        <x:v>不需要外部依据</x:v>
      </x:c>
      <x:c r="AD100" s="64" t="str">
        <x:v>自动默认</x:v>
      </x:c>
      <x:c r="AE100" s="64" t="str">
        <x:v>候选池</x:v>
      </x:c>
      <x:c r="AF100" s="64" t="str">
        <x:v>B_证据不足</x:v>
      </x:c>
      <x:c r="AG100" s="64"/>
      <x:c r="AH100" s="64"/>
      <x:c r="AI100" s="64"/>
      <x:c r="AJ100" s="64"/>
      <x:c r="AK100" s="64"/>
      <x:c r="AL100" s="64"/>
      <x:c r="AM100" s="64"/>
      <x:c r="AN100" s="48" t="str">
        <x:v>100</x:v>
      </x:c>
      <x:c r="AO100" s="48" t="str">
        <x:v>MAP_需复核+EVIDENCE_INSUFFICIENCY_SIGNAL</x:v>
      </x:c>
      <x:c r="AP100" s="48" t="str">
        <x:v>原结论明确要求人工复核；命中证据不足候选词：未检索到、无法核对；投资复核主要依据报告内金额与算式</x:v>
      </x:c>
      <x:c r="AQ100" s="64"/>
      <x:c r="AR100" s="48" t="str">
        <x:v>environmental_investment</x:v>
      </x:c>
      <x:c r="AS100" s="48" t="str">
        <x:v>L2_application</x:v>
      </x:c>
      <x:c r="AT100" s="48" t="str">
        <x:v>quantitative_verification</x:v>
      </x:c>
      <x:c r="AU100" s="48" t="str">
        <x:v>numerical_accuracy</x:v>
      </x:c>
      <x:c r="AV100" s="48" t="str">
        <x:v>report_grounding；procedural_reasoning</x:v>
      </x:c>
      <x:c r="AW100" s="48" t="str">
        <x:v>low</x:v>
      </x:c>
      <x:c r="AX100" s="48" t="str">
        <x:v>medium</x:v>
      </x:c>
      <x:c r="AY100" s="48" t="str">
        <x:v>cross_section</x:v>
      </x:c>
      <x:c r="AZ100" s="48" t="str">
        <x:v>True</x:v>
      </x:c>
      <x:c r="BA100" s="48"/>
      <x:c r="BB100" s="48" t="str">
        <x:v>auto_default</x:v>
      </x:c>
      <x:c r="BC100" s="48" t="str">
        <x:v>v1</x:v>
      </x:c>
      <x:c r="BD100" s="68"/>
    </x:row>
    <x:row r="101" ht="36" customHeight="1">
      <x:c r="A101" s="47" t="str">
        <x:v>2026-07-28</x:v>
      </x:c>
      <x:c r="B101" s="48" t="str">
        <x:v>PL020</x:v>
      </x:c>
      <x:c r="C101" s="48" t="str">
        <x:v>V01</x:v>
      </x:c>
      <x:c r="D101" s="48" t="str">
        <x:v>PL020_佛山市朗信塑料制品有限公司新建项目_01_受理公告或公示版.pdf</x:v>
      </x:c>
      <x:c r="E101" s="48" t="str">
        <x:v>佛山市朗信塑料制品有限公司新建项目</x:v>
      </x:c>
      <x:c r="F101" s="48" t="str">
        <x:v>PL020_EnvQuality_Q01</x:v>
      </x:c>
      <x:c r="G101" s="48" t="str">
        <x:v>大气及地表水环境质量现状数据引用</x:v>
      </x:c>
      <x:c r="H101" s="48" t="str">
        <x:v>请根据报告引用的环境质量公报及现状数据，判断大气和地表水环境质量现状数据引用是否准确。</x:v>
      </x:c>
      <x:c r="I101" s="48" t="str">
        <x:v>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x:v>
      </x:c>
      <x:c r="J101" s="48" t="str">
        <x:v>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x:v>
      </x:c>
      <x:c r="K101" s="48" t="str">
        <x:v>生态环境状况公报知识库; 收纳水体地表水执行标准</x:v>
      </x:c>
      <x:c r="L101" s="48" t="str">
        <x:v>2</x:v>
      </x:c>
      <x:c r="M101" s="48" t="str">
        <x:v>2</x:v>
      </x:c>
      <x:c r="N101" s="48" t="str">
        <x:v>False</x:v>
      </x:c>
      <x:c r="O101" s="48" t="str">
        <x:v>正确</x:v>
      </x:c>
      <x:c r="P101" s="48" t="str">
        <x:v>大气:正确; 地表水:正确; 报告日期:2024</x:v>
      </x:c>
      <x:c r="Q101" s="48"/>
      <x:c r="R101" s="48"/>
      <x:c r="S101" s="48" t="str">
        <x:v>是</x:v>
      </x:c>
      <x:c r="T101" s="48" t="str">
        <x:v>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x:v>
      </x:c>
      <x:c r="U101" s="48" t="str">
        <x:v>30个环评_大气及地表水环境质量现状数据引用复核QA</x:v>
      </x:c>
      <x:c r="V101" s="48" t="str">
        <x:v>环境质量数据引用</x:v>
      </x:c>
      <x:c r="W101" s="48" t="str">
        <x:v>正确</x:v>
      </x:c>
      <x:c r="X101" s="48" t="str">
        <x:v>无误</x:v>
      </x:c>
      <x:c r="Y101" s="64"/>
      <x:c r="Z101" s="64" t="str">
        <x:v>未复核</x:v>
      </x:c>
      <x:c r="AA101" s="64" t="str">
        <x:v>部分充分</x:v>
      </x:c>
      <x:c r="AB101" s="64" t="str">
        <x:v>有效</x:v>
      </x:c>
      <x:c r="AC101" s="64" t="str">
        <x:v>部分核验</x:v>
      </x:c>
      <x:c r="AD101" s="64" t="str">
        <x:v>自动默认</x:v>
      </x:c>
      <x:c r="AE101" s="64" t="str">
        <x:v>候选池</x:v>
      </x:c>
      <x:c r="AF101" s="64" t="str">
        <x:v>A_仅待终审</x:v>
      </x:c>
      <x:c r="AG101" s="64"/>
      <x:c r="AH101" s="64"/>
      <x:c r="AI101" s="64"/>
      <x:c r="AJ101" s="64"/>
      <x:c r="AK101" s="64"/>
      <x:c r="AL101" s="64"/>
      <x:c r="AM101" s="64"/>
      <x:c r="AN101" s="48" t="str">
        <x:v>101</x:v>
      </x:c>
      <x:c r="AO101" s="48" t="str">
        <x:v>MAP_正确</x:v>
      </x:c>
      <x:c r="AP101" s="48" t="str">
        <x:v>存在报告证据，但尚未经人工逐项核验；已列依据来源，但未在本阶段逐条核验</x:v>
      </x:c>
      <x:c r="AQ101" s="64"/>
      <x:c r="AR101" s="48" t="str">
        <x:v>environmental_quality_data</x:v>
      </x:c>
      <x:c r="AS101" s="48" t="str">
        <x:v>L3_analysis</x:v>
      </x:c>
      <x:c r="AT101" s="48" t="str">
        <x:v>consistency_comparison</x:v>
      </x:c>
      <x:c r="AU101" s="48" t="str">
        <x:v>evidence_integration</x:v>
      </x:c>
      <x:c r="AV101" s="48" t="str">
        <x:v>report_grounding；basis_grounding</x:v>
      </x:c>
      <x:c r="AW101" s="48" t="str">
        <x:v>high</x:v>
      </x:c>
      <x:c r="AX101" s="48" t="str">
        <x:v>high</x:v>
      </x:c>
      <x:c r="AY101" s="48" t="str">
        <x:v>report_plus_external</x:v>
      </x:c>
      <x:c r="AZ101" s="48" t="str">
        <x:v>True</x:v>
      </x:c>
      <x:c r="BA101" s="48"/>
      <x:c r="BB101" s="48" t="str">
        <x:v>auto_default</x:v>
      </x:c>
      <x:c r="BC101" s="48" t="str">
        <x:v>v1</x:v>
      </x:c>
      <x:c r="BD101" s="68"/>
    </x:row>
    <x:row r="102" ht="36" customHeight="1">
      <x:c r="A102" s="47" t="str">
        <x:v>2026-07-27</x:v>
      </x:c>
      <x:c r="B102" s="48" t="str">
        <x:v>PL020</x:v>
      </x:c>
      <x:c r="C102" s="48" t="str">
        <x:v>V01</x:v>
      </x:c>
      <x:c r="D102" s="48" t="str">
        <x:v>PL020_佛山市朗信塑料制品有限公司新建项目_01_受理公告或公示版.pdf</x:v>
      </x:c>
      <x:c r="E102" s="48" t="str">
        <x:v>佛山市朗信塑料制品有限公司新建项目</x:v>
      </x:c>
      <x:c r="F102" s="48" t="str">
        <x:v>PL020_Emission_水污</x:v>
      </x:c>
      <x:c r="G102" s="48" t="str">
        <x:v>污染物排放标准-水污染物排放标准</x:v>
      </x:c>
      <x:c r="H10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02" s="48" t="str">
        <x:v>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x:v>
      </x:c>
      <x:c r="J102" s="48" t="str">
        <x:v>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x:v>
      </x:c>
      <x:c r="K102" s="48" t="str">
        <x:v>emission-standard-kb.jsonl; DB44/26-2001; DB44/2367-2022; GB31572-2015; GB14554-93; GB12348-2008; GB18597-2023; GB18599-2020</x:v>
      </x:c>
      <x:c r="L102" s="48" t="str">
        <x:v>2</x:v>
      </x:c>
      <x:c r="M102" s="48" t="str">
        <x:v>2</x:v>
      </x:c>
      <x:c r="N102" s="48" t="str">
        <x:v>False</x:v>
      </x:c>
      <x:c r="O102" s="48" t="str">
        <x:v>存在缺漏</x:v>
      </x:c>
      <x:c r="P102"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102" s="48"/>
      <x:c r="R102" s="48"/>
      <x:c r="S102" s="48" t="str">
        <x:v>是</x:v>
      </x:c>
      <x:c r="T102" s="48" t="str">
        <x:v>原综合排放标准问答对拆分而来</x:v>
      </x:c>
      <x:c r="U102" s="48" t="str">
        <x:v>30份环评_污染物排放控制执行标准复核QA(拆分版)</x:v>
      </x:c>
      <x:c r="V102" s="48" t="str">
        <x:v>水污染物排放标准</x:v>
      </x:c>
      <x:c r="W102" s="48" t="str">
        <x:v>存在缺漏</x:v>
      </x:c>
      <x:c r="X102" s="48" t="str">
        <x:v>存在缺漏</x:v>
      </x:c>
      <x:c r="Y102" s="64"/>
      <x:c r="Z102" s="64" t="str">
        <x:v>未复核</x:v>
      </x:c>
      <x:c r="AA102" s="64" t="str">
        <x:v>部分充分</x:v>
      </x:c>
      <x:c r="AB102" s="64" t="str">
        <x:v>有效</x:v>
      </x:c>
      <x:c r="AC102" s="64" t="str">
        <x:v>部分核验</x:v>
      </x:c>
      <x:c r="AD102" s="64" t="str">
        <x:v>自动默认</x:v>
      </x:c>
      <x:c r="AE102" s="64" t="str">
        <x:v>候选池</x:v>
      </x:c>
      <x:c r="AF102" s="64" t="str">
        <x:v>A_仅待终审</x:v>
      </x:c>
      <x:c r="AG102" s="64"/>
      <x:c r="AH102" s="64"/>
      <x:c r="AI102" s="64"/>
      <x:c r="AJ102" s="64"/>
      <x:c r="AK102" s="64"/>
      <x:c r="AL102" s="64"/>
      <x:c r="AM102" s="64"/>
      <x:c r="AN102" s="48" t="str">
        <x:v>102</x:v>
      </x:c>
      <x:c r="AO102" s="48" t="str">
        <x:v>MAP_存在缺漏</x:v>
      </x:c>
      <x:c r="AP102" s="48" t="str">
        <x:v>存在报告证据，但尚未经人工逐项核验；已列依据来源，但未在本阶段逐条核验</x:v>
      </x:c>
      <x:c r="AQ102" s="64"/>
      <x:c r="AR102" s="48" t="str">
        <x:v>water_emission_standard</x:v>
      </x:c>
      <x:c r="AS102" s="48" t="str">
        <x:v>L3_analysis</x:v>
      </x:c>
      <x:c r="AT102" s="48" t="str">
        <x:v>rule_applicability</x:v>
      </x:c>
      <x:c r="AU102" s="48" t="str">
        <x:v>basis_grounding</x:v>
      </x:c>
      <x:c r="AV102" s="48" t="str">
        <x:v>report_grounding；procedural_reasoning</x:v>
      </x:c>
      <x:c r="AW102" s="48" t="str">
        <x:v>high</x:v>
      </x:c>
      <x:c r="AX102" s="48" t="str">
        <x:v>high</x:v>
      </x:c>
      <x:c r="AY102" s="48" t="str">
        <x:v>report_plus_external</x:v>
      </x:c>
      <x:c r="AZ102" s="48" t="str">
        <x:v>True</x:v>
      </x:c>
      <x:c r="BA102" s="48"/>
      <x:c r="BB102" s="48" t="str">
        <x:v>auto_default</x:v>
      </x:c>
      <x:c r="BC102" s="48" t="str">
        <x:v>v1</x:v>
      </x:c>
      <x:c r="BD102" s="68"/>
    </x:row>
    <x:row r="103" ht="36" customHeight="1">
      <x:c r="A103" s="47" t="str">
        <x:v>2026-07-27</x:v>
      </x:c>
      <x:c r="B103" s="48" t="str">
        <x:v>PL020</x:v>
      </x:c>
      <x:c r="C103" s="48" t="str">
        <x:v>V01</x:v>
      </x:c>
      <x:c r="D103" s="48" t="str">
        <x:v>PL020_佛山市朗信塑料制品有限公司新建项目_01_受理公告或公示版.pdf</x:v>
      </x:c>
      <x:c r="E103" s="48" t="str">
        <x:v>佛山市朗信塑料制品有限公司新建项目</x:v>
      </x:c>
      <x:c r="F103" s="48" t="str">
        <x:v>PL020_Emission_大气</x:v>
      </x:c>
      <x:c r="G103" s="48" t="str">
        <x:v>污染物排放标准-大气污染物排放标准</x:v>
      </x:c>
      <x:c r="H103" s="48" t="str">
        <x:v>请根据项目行业类别、生产工艺和污染因子，判断大气污染物排放标准选取是否合理。要求分析：污染源覆盖是否完整（列出所有大气污染源及对应标准），是否存在缺漏的污染源或标准。</x:v>
      </x:c>
      <x:c r="I103" s="48" t="str">
        <x:v>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x:v>
      </x:c>
      <x:c r="J103" s="48" t="str">
        <x:v>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x:v>
      </x:c>
      <x:c r="K103" s="48" t="str">
        <x:v>emission-standard-kb.jsonl; DB44/26-2001; DB44/2367-2022; GB31572-2015; GB14554-93; GB12348-2008; GB18597-2023; GB18599-2020</x:v>
      </x:c>
      <x:c r="L103" s="48" t="str">
        <x:v>2</x:v>
      </x:c>
      <x:c r="M103" s="48" t="str">
        <x:v>2</x:v>
      </x:c>
      <x:c r="N103" s="48" t="str">
        <x:v>False</x:v>
      </x:c>
      <x:c r="O103" s="48" t="str">
        <x:v>存在缺漏</x:v>
      </x:c>
      <x:c r="P103"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103" s="48"/>
      <x:c r="R103" s="48"/>
      <x:c r="S103" s="48" t="str">
        <x:v>是</x:v>
      </x:c>
      <x:c r="T103" s="48" t="str">
        <x:v>原综合排放标准问答对拆分而来</x:v>
      </x:c>
      <x:c r="U103" s="48" t="str">
        <x:v>30份环评_污染物排放控制执行标准复核QA(拆分版)</x:v>
      </x:c>
      <x:c r="V103" s="48" t="str">
        <x:v>大气污染物排放标准</x:v>
      </x:c>
      <x:c r="W103" s="48" t="str">
        <x:v>存在缺漏</x:v>
      </x:c>
      <x:c r="X103" s="48" t="str">
        <x:v>存在缺漏</x:v>
      </x:c>
      <x:c r="Y103" s="64"/>
      <x:c r="Z103" s="64" t="str">
        <x:v>未复核</x:v>
      </x:c>
      <x:c r="AA103" s="64" t="str">
        <x:v>部分充分</x:v>
      </x:c>
      <x:c r="AB103" s="64" t="str">
        <x:v>有效</x:v>
      </x:c>
      <x:c r="AC103" s="64" t="str">
        <x:v>部分核验</x:v>
      </x:c>
      <x:c r="AD103" s="64" t="str">
        <x:v>自动默认</x:v>
      </x:c>
      <x:c r="AE103" s="64" t="str">
        <x:v>候选池</x:v>
      </x:c>
      <x:c r="AF103" s="64" t="str">
        <x:v>A_仅待终审</x:v>
      </x:c>
      <x:c r="AG103" s="64"/>
      <x:c r="AH103" s="64"/>
      <x:c r="AI103" s="64"/>
      <x:c r="AJ103" s="64"/>
      <x:c r="AK103" s="64"/>
      <x:c r="AL103" s="64"/>
      <x:c r="AM103" s="64"/>
      <x:c r="AN103" s="48" t="str">
        <x:v>103</x:v>
      </x:c>
      <x:c r="AO103" s="48" t="str">
        <x:v>MAP_存在缺漏</x:v>
      </x:c>
      <x:c r="AP103" s="48" t="str">
        <x:v>存在报告证据，但尚未经人工逐项核验；已列依据来源，但未在本阶段逐条核验</x:v>
      </x:c>
      <x:c r="AQ103" s="64"/>
      <x:c r="AR103" s="48" t="str">
        <x:v>air_emission_standard</x:v>
      </x:c>
      <x:c r="AS103" s="48" t="str">
        <x:v>L3_analysis</x:v>
      </x:c>
      <x:c r="AT103" s="48" t="str">
        <x:v>multi_evidence_synthesis</x:v>
      </x:c>
      <x:c r="AU103" s="48" t="str">
        <x:v>basis_grounding</x:v>
      </x:c>
      <x:c r="AV103" s="48" t="str">
        <x:v>report_grounding；evidence_integration</x:v>
      </x:c>
      <x:c r="AW103" s="48" t="str">
        <x:v>high</x:v>
      </x:c>
      <x:c r="AX103" s="48" t="str">
        <x:v>high</x:v>
      </x:c>
      <x:c r="AY103" s="48" t="str">
        <x:v>report_plus_external</x:v>
      </x:c>
      <x:c r="AZ103" s="48" t="str">
        <x:v>True</x:v>
      </x:c>
      <x:c r="BA103" s="48"/>
      <x:c r="BB103" s="48" t="str">
        <x:v>auto_default</x:v>
      </x:c>
      <x:c r="BC103" s="48" t="str">
        <x:v>v1</x:v>
      </x:c>
      <x:c r="BD103" s="68"/>
    </x:row>
    <x:row r="104" ht="36" customHeight="1">
      <x:c r="A104" s="47" t="str">
        <x:v>2026-07-27</x:v>
      </x:c>
      <x:c r="B104" s="48" t="str">
        <x:v>PL020</x:v>
      </x:c>
      <x:c r="C104" s="48" t="str">
        <x:v>V01</x:v>
      </x:c>
      <x:c r="D104" s="48" t="str">
        <x:v>PL020_佛山市朗信塑料制品有限公司新建项目_01_受理公告或公示版.pdf</x:v>
      </x:c>
      <x:c r="E104" s="48" t="str">
        <x:v>佛山市朗信塑料制品有限公司新建项目</x:v>
      </x:c>
      <x:c r="F104" s="48" t="str">
        <x:v>PL020_Emission_噪声</x:v>
      </x:c>
      <x:c r="G104" s="48" t="str">
        <x:v>污染物排放标准-噪声排放标准</x:v>
      </x:c>
      <x:c r="H104" s="48" t="str">
        <x:v>请根据项目所属声环境功能区类别，判断噪声排放标准选取是否合理。要求总结声功能区类型、厂界执行标准（GB12348-2008）及昼夜限值，并与环评编制内容进行一致性分析。</x:v>
      </x:c>
      <x:c r="I104" s="48" t="str">
        <x:v>1、噪声排放标准中执行标准与排放限值内容：存在缺漏；
2、存在缺漏。提取文本中未发现噪声排放标准章节，未引用《工业企业厂界环境噪声排放标准》（GB12348-2008），未给出声功能区类别及昼夜限值。
4、</x:v>
      </x:c>
      <x:c r="J104" s="48" t="str">
        <x:v>3、噪声：提取文本中未发现噪声排放标准相关内容。
4、固体废物："一般固体废物收集后交由资源回收公司回收，危险废物交由有危险废物处理资质的单位收集处置。"未引用具体标准编号。</x:v>
      </x:c>
      <x:c r="K104" s="48" t="str">
        <x:v>emission-standard-kb.jsonl; DB44/26-2001; DB44/2367-2022; GB31572-2015; GB14554-93; GB12348-2008; GB18597-2023; GB18599-2020</x:v>
      </x:c>
      <x:c r="L104" s="48" t="str">
        <x:v>2</x:v>
      </x:c>
      <x:c r="M104" s="48" t="str">
        <x:v>2</x:v>
      </x:c>
      <x:c r="N104" s="48" t="str">
        <x:v>False</x:v>
      </x:c>
      <x:c r="O104" s="48" t="str">
        <x:v>存在缺漏</x:v>
      </x:c>
      <x:c r="P104"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104" s="48"/>
      <x:c r="R104" s="48"/>
      <x:c r="S104" s="48" t="str">
        <x:v>是</x:v>
      </x:c>
      <x:c r="T104" s="48" t="str">
        <x:v>原综合排放标准问答对拆分而来</x:v>
      </x:c>
      <x:c r="U104" s="48" t="str">
        <x:v>30份环评_污染物排放控制执行标准复核QA(拆分版)</x:v>
      </x:c>
      <x:c r="V104" s="48" t="str">
        <x:v>噪声排放标准</x:v>
      </x:c>
      <x:c r="W104" s="48" t="str">
        <x:v>存在缺漏</x:v>
      </x:c>
      <x:c r="X104" s="48" t="str">
        <x:v>存在缺漏</x:v>
      </x:c>
      <x:c r="Y104" s="64"/>
      <x:c r="Z104" s="64" t="str">
        <x:v>未复核</x:v>
      </x:c>
      <x:c r="AA104" s="64" t="str">
        <x:v>部分充分</x:v>
      </x:c>
      <x:c r="AB104" s="64" t="str">
        <x:v>有效</x:v>
      </x:c>
      <x:c r="AC104" s="64" t="str">
        <x:v>部分核验</x:v>
      </x:c>
      <x:c r="AD104" s="64" t="str">
        <x:v>自动默认</x:v>
      </x:c>
      <x:c r="AE104" s="64" t="str">
        <x:v>候选池</x:v>
      </x:c>
      <x:c r="AF104" s="64" t="str">
        <x:v>A_仅待终审</x:v>
      </x:c>
      <x:c r="AG104" s="64"/>
      <x:c r="AH104" s="64"/>
      <x:c r="AI104" s="64"/>
      <x:c r="AJ104" s="64"/>
      <x:c r="AK104" s="64"/>
      <x:c r="AL104" s="64"/>
      <x:c r="AM104" s="64"/>
      <x:c r="AN104" s="48" t="str">
        <x:v>104</x:v>
      </x:c>
      <x:c r="AO104" s="48" t="str">
        <x:v>MAP_存在缺漏</x:v>
      </x:c>
      <x:c r="AP104" s="48" t="str">
        <x:v>存在报告证据，但尚未经人工逐项核验；已列依据来源，但未在本阶段逐条核验</x:v>
      </x:c>
      <x:c r="AQ104" s="64"/>
      <x:c r="AR104" s="48" t="str">
        <x:v>noise_emission_standard</x:v>
      </x:c>
      <x:c r="AS104" s="48" t="str">
        <x:v>L2_application</x:v>
      </x:c>
      <x:c r="AT104" s="48" t="str">
        <x:v>rule_applicability</x:v>
      </x:c>
      <x:c r="AU104" s="48" t="str">
        <x:v>basis_grounding</x:v>
      </x:c>
      <x:c r="AV104" s="48" t="str">
        <x:v>report_grounding</x:v>
      </x:c>
      <x:c r="AW104" s="48" t="str">
        <x:v>high</x:v>
      </x:c>
      <x:c r="AX104" s="48" t="str">
        <x:v>medium</x:v>
      </x:c>
      <x:c r="AY104" s="48" t="str">
        <x:v>report_plus_external</x:v>
      </x:c>
      <x:c r="AZ104" s="48" t="str">
        <x:v>True</x:v>
      </x:c>
      <x:c r="BA104" s="48"/>
      <x:c r="BB104" s="48" t="str">
        <x:v>auto_default</x:v>
      </x:c>
      <x:c r="BC104" s="48" t="str">
        <x:v>v1</x:v>
      </x:c>
      <x:c r="BD104" s="68"/>
    </x:row>
    <x:row r="105" ht="36" customHeight="1">
      <x:c r="A105" s="47" t="str">
        <x:v>2026-07-27</x:v>
      </x:c>
      <x:c r="B105" s="48" t="str">
        <x:v>PL020</x:v>
      </x:c>
      <x:c r="C105" s="48" t="str">
        <x:v>V01</x:v>
      </x:c>
      <x:c r="D105" s="48" t="str">
        <x:v>PL020_佛山市朗信塑料制品有限公司新建项目_01_受理公告或公示版.pdf</x:v>
      </x:c>
      <x:c r="E105" s="48" t="str">
        <x:v>佛山市朗信塑料制品有限公司新建项目</x:v>
      </x:c>
      <x:c r="F105" s="48" t="str">
        <x:v>PL020_Emission_固体</x:v>
      </x:c>
      <x:c r="G105" s="48" t="str">
        <x:v>污染物排放标准-固体废物控制标准</x:v>
      </x:c>
      <x:c r="H105" s="48" t="str">
        <x:v>请根据项目产生的固体废物和危险废物类型，判断固体废物控制标准选取是否合理。要求总结一般工业固体废物和危险废物执行标准的标准名称及编号，分析是否缺少必要标准条目。</x:v>
      </x:c>
      <x:c r="I105"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05" s="48" t="str">
        <x:v>固体废物："一般固体废物收集后交由资源回收公司回收，危险废物交由有危险废物处理资质的单位收集处置。"未引用具体标准编号。</x:v>
      </x:c>
      <x:c r="K105" s="48" t="str">
        <x:v>emission-standard-kb.jsonl; DB44/26-2001; DB44/2367-2022; GB31572-2015; GB14554-93; GB12348-2008; GB18597-2023; GB18599-2020</x:v>
      </x:c>
      <x:c r="L105" s="48" t="str">
        <x:v>2</x:v>
      </x:c>
      <x:c r="M105" s="48" t="str">
        <x:v>2</x:v>
      </x:c>
      <x:c r="N105" s="48" t="str">
        <x:v>False</x:v>
      </x:c>
      <x:c r="O105" s="48" t="str">
        <x:v>无误</x:v>
      </x:c>
      <x:c r="P105"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105" s="48"/>
      <x:c r="R105" s="48"/>
      <x:c r="S105" s="48" t="str">
        <x:v>否</x:v>
      </x:c>
      <x:c r="T105" s="48" t="str">
        <x:v>修正：GB18599-2020不在知识库必须满足的标准清单中，原判定依据已更正。原综合排放标准问答对拆分而来</x:v>
      </x:c>
      <x:c r="U105" s="48" t="str">
        <x:v>30份环评_污染物排放控制执行标准复核QA(拆分版)</x:v>
      </x:c>
      <x:c r="V105" s="48" t="str">
        <x:v>固体废物控制标准</x:v>
      </x:c>
      <x:c r="W105" s="48" t="str">
        <x:v>无误</x:v>
      </x:c>
      <x:c r="X105" s="48" t="str">
        <x:v>无误</x:v>
      </x:c>
      <x:c r="Y105" s="64"/>
      <x:c r="Z105" s="64" t="str">
        <x:v>未复核</x:v>
      </x:c>
      <x:c r="AA105" s="64" t="str">
        <x:v>部分充分</x:v>
      </x:c>
      <x:c r="AB105" s="64" t="str">
        <x:v>有效</x:v>
      </x:c>
      <x:c r="AC105" s="64" t="str">
        <x:v>部分核验</x:v>
      </x:c>
      <x:c r="AD105" s="64" t="str">
        <x:v>自动默认</x:v>
      </x:c>
      <x:c r="AE105" s="64" t="str">
        <x:v>候选池</x:v>
      </x:c>
      <x:c r="AF105" s="64" t="str">
        <x:v>待分流</x:v>
      </x:c>
      <x:c r="AG105" s="64"/>
      <x:c r="AH105" s="64"/>
      <x:c r="AI105" s="64"/>
      <x:c r="AJ105" s="64"/>
      <x:c r="AK105" s="64"/>
      <x:c r="AL105" s="64"/>
      <x:c r="AM105" s="64"/>
      <x:c r="AN105" s="48" t="str">
        <x:v>105</x:v>
      </x:c>
      <x:c r="AO105" s="48" t="str">
        <x:v>MAP_无误</x:v>
      </x:c>
      <x:c r="AP105" s="48" t="str">
        <x:v>存在报告证据，但尚未经人工逐项核验；已列依据来源，但未在本阶段逐条核验</x:v>
      </x:c>
      <x:c r="AQ105" s="64"/>
      <x:c r="AR105" s="48" t="str">
        <x:v>solid_waste_standard</x:v>
      </x:c>
      <x:c r="AS105" s="48" t="str">
        <x:v>L2_application</x:v>
      </x:c>
      <x:c r="AT105" s="48" t="str">
        <x:v>rule_applicability</x:v>
      </x:c>
      <x:c r="AU105" s="48" t="str">
        <x:v>basis_grounding</x:v>
      </x:c>
      <x:c r="AV105" s="48" t="str">
        <x:v>report_grounding</x:v>
      </x:c>
      <x:c r="AW105" s="48" t="str">
        <x:v>high</x:v>
      </x:c>
      <x:c r="AX105" s="48" t="str">
        <x:v>medium</x:v>
      </x:c>
      <x:c r="AY105" s="48" t="str">
        <x:v>report_plus_external</x:v>
      </x:c>
      <x:c r="AZ105" s="48" t="str">
        <x:v>True</x:v>
      </x:c>
      <x:c r="BA105" s="48"/>
      <x:c r="BB105" s="48" t="str">
        <x:v>auto_default</x:v>
      </x:c>
      <x:c r="BC105" s="48" t="str">
        <x:v>v1</x:v>
      </x:c>
      <x:c r="BD105" s="68"/>
    </x:row>
    <x:row r="106" ht="36" customHeight="1">
      <x:c r="A106" s="47" t="str">
        <x:v>2026-06-25</x:v>
      </x:c>
      <x:c r="B106" s="48" t="str">
        <x:v>PL021</x:v>
      </x:c>
      <x:c r="C106" s="48" t="str">
        <x:v>V01</x:v>
      </x:c>
      <x:c r="D106" s="48" t="str">
        <x:v>年10月16日建设项目环境影响报告受理公告（大良）.pdf</x:v>
      </x:c>
      <x:c r="E106" s="48" t="str">
        <x:v>佛山市顺德区共诺电子元件厂搬迁项目</x:v>
      </x:c>
      <x:c r="F106" s="48" t="str">
        <x:v>PL021_V01_Q01</x:v>
      </x:c>
      <x:c r="G106" s="48" t="str">
        <x:v>1. 塑胶行业样本筛选与国民经济行业分类</x:v>
      </x:c>
      <x:c r="H106" s="48" t="str">
        <x:v>请结合项目产品、原辅材料和生产工艺，判断该报告行业类别是否基本合理。</x:v>
      </x:c>
      <x:c r="I106" s="48" t="str">
        <x:v>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x:v>
      </x:c>
      <x:c r="J106" s="48"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106" s="48" t="str">
        <x:v>《国民经济行业分类》(GB/T 4754—2017)；本任务C292筛选及C17/C18排除规则</x:v>
      </x:c>
      <x:c r="L106" s="48" t="str">
        <x:v>结合本项目行业代码、建设性质、工艺关键词及PDF证据生成，非脱离项目的通用题。</x:v>
      </x:c>
      <x:c r="M106" s="48" t="str">
        <x:v>可依据对应PDF原文、工程分析表格及所列法规标准逐项复核。</x:v>
      </x:c>
      <x:c r="N106" s="48" t="str">
        <x:v>True</x:v>
      </x:c>
      <x:c r="O106" s="48"/>
      <x:c r="P106" s="48"/>
      <x:c r="Q106" s="48"/>
      <x:c r="R106" s="48" t="str">
        <x:v>新增</x:v>
      </x:c>
      <x:c r="S106" s="48" t="str">
        <x:v>是</x:v>
      </x:c>
      <x:c r="T106" s="48" t="str">
        <x:v>自动生成；需人工复核项目参数、公式取值、标准适用范围及PDF文字提取完整性。</x:v>
      </x:c>
      <x:c r="U106" s="48" t="str">
        <x:v>seed_qa_塑胶行业筛选版_30个国民经济行业分类的人工标记</x:v>
      </x:c>
      <x:c r="V106" s="48" t="str">
        <x:v>国民经济行业分类</x:v>
      </x:c>
      <x:c r="W106" s="48"/>
      <x:c r="X106" s="48" t="str">
        <x:v>待判断</x:v>
      </x:c>
      <x:c r="Y106" s="64"/>
      <x:c r="Z106" s="64" t="str">
        <x:v>未复核</x:v>
      </x:c>
      <x:c r="AA106" s="64" t="str">
        <x:v>部分充分</x:v>
      </x:c>
      <x:c r="AB106" s="64" t="str">
        <x:v>待判断</x:v>
      </x:c>
      <x:c r="AC106" s="64" t="str">
        <x:v>部分核验</x:v>
      </x:c>
      <x:c r="AD106" s="64" t="str">
        <x:v>自动默认</x:v>
      </x:c>
      <x:c r="AE106" s="64" t="str">
        <x:v>候选池</x:v>
      </x:c>
      <x:c r="AF106" s="64" t="str">
        <x:v>C_题目或材料问题</x:v>
      </x:c>
      <x:c r="AG106" s="64"/>
      <x:c r="AH106" s="64"/>
      <x:c r="AI106" s="64"/>
      <x:c r="AJ106" s="64"/>
      <x:c r="AK106" s="64"/>
      <x:c r="AL106" s="64"/>
      <x:c r="AM106" s="64"/>
      <x:c r="AN106" s="48" t="str">
        <x:v>106</x:v>
      </x:c>
      <x:c r="AO106" s="48" t="str">
        <x:v>MAP_BLANK</x:v>
      </x:c>
      <x:c r="AP106" s="48" t="str">
        <x:v>人工判断为空：不得自动补填结论；人工判断为空；结构完整但原因需人工确认；存在报告证据，但尚未经人工逐项核验；已列依据来源，但未在本阶段逐条核验</x:v>
      </x:c>
      <x:c r="AQ106" s="64"/>
      <x:c r="AR106" s="48" t="str">
        <x:v>industry_classification</x:v>
      </x:c>
      <x:c r="AS106" s="48" t="str">
        <x:v>L3_analysis</x:v>
      </x:c>
      <x:c r="AT106" s="48" t="str">
        <x:v>multi_evidence_synthesis</x:v>
      </x:c>
      <x:c r="AU106" s="48" t="str">
        <x:v>evidence_integration</x:v>
      </x:c>
      <x:c r="AV106" s="48" t="str">
        <x:v>report_grounding；basis_grounding</x:v>
      </x:c>
      <x:c r="AW106" s="48" t="str">
        <x:v>high</x:v>
      </x:c>
      <x:c r="AX106" s="48" t="str">
        <x:v>high</x:v>
      </x:c>
      <x:c r="AY106" s="48" t="str">
        <x:v>cross_section</x:v>
      </x:c>
      <x:c r="AZ106" s="48" t="str">
        <x:v>True</x:v>
      </x:c>
      <x:c r="BA106" s="48"/>
      <x:c r="BB106" s="48" t="str">
        <x:v>auto_default</x:v>
      </x:c>
      <x:c r="BC106" s="48" t="str">
        <x:v>v1</x:v>
      </x:c>
      <x:c r="BD106" s="68"/>
    </x:row>
    <x:row r="107" ht="36" customHeight="1">
      <x:c r="A107" s="47" t="str">
        <x:v>2026-07-24</x:v>
      </x:c>
      <x:c r="B107" s="48" t="str">
        <x:v>PL021</x:v>
      </x:c>
      <x:c r="C107" s="48" t="str">
        <x:v>V01</x:v>
      </x:c>
      <x:c r="D107" s="48" t="str">
        <x:v>PL021_佛山市顺德区共诺电子元件厂搬迁项目</x:v>
      </x:c>
      <x:c r="E107" s="48" t="str">
        <x:v>佛山市顺德区共诺电子元件厂搬迁项目</x:v>
      </x:c>
      <x:c r="F107" s="48" t="str">
        <x:v>PL021_V01_Q03</x:v>
      </x:c>
      <x:c r="G107" s="48" t="str">
        <x:v>环评投资核算</x:v>
      </x:c>
      <x:c r="H107" s="48" t="str">
        <x:v>请根据报告中的总投资、环保投资和环保工程投资明细，判断环保投资核算是否前后一致、比例是否正确。</x:v>
      </x:c>
      <x:c r="I107" s="48" t="str">
        <x:v>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x:v>
      </x:c>
      <x:c r="J107" s="48" t="str">
        <x:v>一、建设项目基本情况；表4-24：总投资250万元、环保投资10万元、占比4%；分项合计10万元。来源：解析文本拼接_01_001-020(4).md</x:v>
      </x:c>
      <x:c r="K107" s="48" t="str">
        <x:v>报告原文-环保投资明细表</x:v>
      </x:c>
      <x:c r="L107" s="48" t="str">
        <x:v>2</x:v>
      </x:c>
      <x:c r="M107" s="48" t="str">
        <x:v>2</x:v>
      </x:c>
      <x:c r="N107" s="48" t="str">
        <x:v>False</x:v>
      </x:c>
      <x:c r="O107" s="48" t="str">
        <x:v>正确</x:v>
      </x:c>
      <x:c r="P107" s="48"/>
      <x:c r="Q107" s="48"/>
      <x:c r="R107" s="48"/>
      <x:c r="S107" s="48" t="str">
        <x:v>否</x:v>
      </x:c>
      <x:c r="T107" s="48"/>
      <x:c r="U107" s="48" t="str">
        <x:v>30个PL_环评投资核算QA</x:v>
      </x:c>
      <x:c r="V107" s="48" t="str">
        <x:v>环评投资概算</x:v>
      </x:c>
      <x:c r="W107" s="48" t="str">
        <x:v>正确</x:v>
      </x:c>
      <x:c r="X107" s="48" t="str">
        <x:v>无误</x:v>
      </x:c>
      <x:c r="Y107" s="64"/>
      <x:c r="Z107" s="64" t="str">
        <x:v>未复核</x:v>
      </x:c>
      <x:c r="AA107" s="64" t="str">
        <x:v>部分充分</x:v>
      </x:c>
      <x:c r="AB107" s="64" t="str">
        <x:v>有效</x:v>
      </x:c>
      <x:c r="AC107" s="64" t="str">
        <x:v>不需要外部依据</x:v>
      </x:c>
      <x:c r="AD107" s="64" t="str">
        <x:v>自动默认</x:v>
      </x:c>
      <x:c r="AE107" s="64" t="str">
        <x:v>候选池</x:v>
      </x:c>
      <x:c r="AF107" s="64" t="str">
        <x:v>待分流</x:v>
      </x:c>
      <x:c r="AG107" s="64"/>
      <x:c r="AH107" s="64"/>
      <x:c r="AI107" s="64"/>
      <x:c r="AJ107" s="64"/>
      <x:c r="AK107" s="64"/>
      <x:c r="AL107" s="64"/>
      <x:c r="AM107" s="64"/>
      <x:c r="AN107" s="48" t="str">
        <x:v>107</x:v>
      </x:c>
      <x:c r="AO107" s="48" t="str">
        <x:v>MAP_正确</x:v>
      </x:c>
      <x:c r="AP107" s="48" t="str">
        <x:v>存在报告证据，但尚未经人工逐项核验；投资复核主要依据报告内金额与算式</x:v>
      </x:c>
      <x:c r="AQ107" s="64"/>
      <x:c r="AR107" s="48" t="str">
        <x:v>environmental_investment</x:v>
      </x:c>
      <x:c r="AS107" s="48" t="str">
        <x:v>L2_application</x:v>
      </x:c>
      <x:c r="AT107" s="48" t="str">
        <x:v>quantitative_verification</x:v>
      </x:c>
      <x:c r="AU107" s="48" t="str">
        <x:v>numerical_accuracy</x:v>
      </x:c>
      <x:c r="AV107" s="48" t="str">
        <x:v>report_grounding；procedural_reasoning</x:v>
      </x:c>
      <x:c r="AW107" s="48" t="str">
        <x:v>low</x:v>
      </x:c>
      <x:c r="AX107" s="48" t="str">
        <x:v>medium</x:v>
      </x:c>
      <x:c r="AY107" s="48" t="str">
        <x:v>cross_section</x:v>
      </x:c>
      <x:c r="AZ107" s="48" t="str">
        <x:v>True</x:v>
      </x:c>
      <x:c r="BA107" s="48"/>
      <x:c r="BB107" s="48" t="str">
        <x:v>auto_default</x:v>
      </x:c>
      <x:c r="BC107" s="48" t="str">
        <x:v>v1</x:v>
      </x:c>
      <x:c r="BD107" s="68"/>
    </x:row>
    <x:row r="108" ht="36" customHeight="1">
      <x:c r="A108" s="47" t="str">
        <x:v>2026-07-28</x:v>
      </x:c>
      <x:c r="B108" s="48" t="str">
        <x:v>PL021</x:v>
      </x:c>
      <x:c r="C108" s="48" t="str">
        <x:v>V01</x:v>
      </x:c>
      <x:c r="D108" s="48" t="str">
        <x:v>PL021_佛山市顺德区共诺电子元件厂搬迁项目_01_受理公告或公示版.pdf</x:v>
      </x:c>
      <x:c r="E108" s="48" t="str">
        <x:v>佛山市顺德区共诺电子元件厂搬迁项目</x:v>
      </x:c>
      <x:c r="F108" s="48" t="str">
        <x:v>PL021_EnvQuality_Q01</x:v>
      </x:c>
      <x:c r="G108" s="48" t="str">
        <x:v>大气及地表水环境质量现状数据引用</x:v>
      </x:c>
      <x:c r="H108" s="48" t="str">
        <x:v>请根据报告引用的环境质量公报及现状数据，判断大气和地表水环境质量现状数据引用是否准确。</x:v>
      </x:c>
      <x:c r="I108" s="48" t="str">
        <x:v>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x:v>
      </x:c>
      <x:c r="J108" s="48" t="str">
        <x:v>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x:v>
      </x:c>
      <x:c r="K108" s="48" t="str">
        <x:v>生态环境状况公报知识库; 收纳水体地表水执行标准</x:v>
      </x:c>
      <x:c r="L108" s="48" t="str">
        <x:v>2</x:v>
      </x:c>
      <x:c r="M108" s="48" t="str">
        <x:v>2</x:v>
      </x:c>
      <x:c r="N108" s="48" t="str">
        <x:v>False</x:v>
      </x:c>
      <x:c r="O108" s="48" t="str">
        <x:v>不正确</x:v>
      </x:c>
      <x:c r="P108" s="48" t="str">
        <x:v>大气:正确; 地表水:不正确; 报告日期:2024</x:v>
      </x:c>
      <x:c r="Q108" s="48"/>
      <x:c r="R108" s="48"/>
      <x:c r="S108" s="48" t="str">
        <x:v>是</x:v>
      </x:c>
      <x:c r="T108" s="48" t="str">
        <x:v>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x:v>
      </x:c>
      <x:c r="U108" s="48" t="str">
        <x:v>30个环评_大气及地表水环境质量现状数据引用复核QA</x:v>
      </x:c>
      <x:c r="V108" s="48" t="str">
        <x:v>环境质量数据引用</x:v>
      </x:c>
      <x:c r="W108" s="48" t="str">
        <x:v>不正确</x:v>
      </x:c>
      <x:c r="X108" s="48" t="str">
        <x:v>待判断</x:v>
      </x:c>
      <x:c r="Y108" s="64"/>
      <x:c r="Z108" s="64" t="str">
        <x:v>未复核</x:v>
      </x:c>
      <x:c r="AA108" s="64" t="str">
        <x:v>部分充分</x:v>
      </x:c>
      <x:c r="AB108" s="64" t="str">
        <x:v>有效</x:v>
      </x:c>
      <x:c r="AC108" s="64" t="str">
        <x:v>部分核验</x:v>
      </x:c>
      <x:c r="AD108" s="64" t="str">
        <x:v>自动默认</x:v>
      </x:c>
      <x:c r="AE108" s="64" t="str">
        <x:v>候选池</x:v>
      </x:c>
      <x:c r="AF108" s="64" t="str">
        <x:v>A_仅待终审</x:v>
      </x:c>
      <x:c r="AG108" s="64"/>
      <x:c r="AH108" s="64"/>
      <x:c r="AI108" s="64"/>
      <x:c r="AJ108" s="64"/>
      <x:c r="AK108" s="64"/>
      <x:c r="AL108" s="64"/>
      <x:c r="AM108" s="64"/>
      <x:c r="AN108" s="48" t="str">
        <x:v>108</x:v>
      </x:c>
      <x:c r="AO108" s="48" t="str">
        <x:v>MAP_不正确</x:v>
      </x:c>
      <x:c r="AP108" s="48" t="str">
        <x:v>需人工区分存在错误或存在缺漏；存在报告证据，但尚未经人工逐项核验；已列依据来源，但未在本阶段逐条核验</x:v>
      </x:c>
      <x:c r="AQ108" s="64"/>
      <x:c r="AR108" s="48" t="str">
        <x:v>environmental_quality_data</x:v>
      </x:c>
      <x:c r="AS108" s="48" t="str">
        <x:v>L3_analysis</x:v>
      </x:c>
      <x:c r="AT108" s="48" t="str">
        <x:v>consistency_comparison</x:v>
      </x:c>
      <x:c r="AU108" s="48" t="str">
        <x:v>evidence_integration</x:v>
      </x:c>
      <x:c r="AV108" s="48" t="str">
        <x:v>report_grounding；basis_grounding</x:v>
      </x:c>
      <x:c r="AW108" s="48" t="str">
        <x:v>high</x:v>
      </x:c>
      <x:c r="AX108" s="48" t="str">
        <x:v>high</x:v>
      </x:c>
      <x:c r="AY108" s="48" t="str">
        <x:v>report_plus_external</x:v>
      </x:c>
      <x:c r="AZ108" s="48" t="str">
        <x:v>True</x:v>
      </x:c>
      <x:c r="BA108" s="48"/>
      <x:c r="BB108" s="48" t="str">
        <x:v>auto_default</x:v>
      </x:c>
      <x:c r="BC108" s="48" t="str">
        <x:v>v1</x:v>
      </x:c>
      <x:c r="BD108" s="68"/>
    </x:row>
    <x:row r="109" ht="36" customHeight="1">
      <x:c r="A109" s="47" t="str">
        <x:v>2026-07-27</x:v>
      </x:c>
      <x:c r="B109" s="48" t="str">
        <x:v>PL021</x:v>
      </x:c>
      <x:c r="C109" s="48" t="str">
        <x:v>V01</x:v>
      </x:c>
      <x:c r="D109" s="48" t="str">
        <x:v>PL021_佛山市顺德区共诺电子元件厂搬迁项目_01_受理公告或公示版.pdf</x:v>
      </x:c>
      <x:c r="E109" s="48" t="str">
        <x:v>佛山市顺德区共诺电子元件厂搬迁项目</x:v>
      </x:c>
      <x:c r="F109" s="48" t="str">
        <x:v>PL021_Emission_水污</x:v>
      </x:c>
      <x:c r="G109" s="48" t="str">
        <x:v>污染物排放标准-水污染物排放标准</x:v>
      </x:c>
      <x:c r="H10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09" s="48" t="str">
        <x:v>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x:v>
      </x:c>
      <x:c r="J109" s="48" t="str">
        <x:v>1、水："尾水执行《城镇污水处理厂污染物排放标准》（GB18918-2002）一级A标准及《广东省水污染物排放限值》（DB44/26-2001）的较严值。""生活污水经三级化粪预处理后通过市政管道排入大门污水处理厂处理，尾水排至顺德支流。"</x:v>
      </x:c>
      <x:c r="K109" s="48" t="str">
        <x:v>emission-standard-kb.jsonl; DB44/26-2001; DB44/2367-2022; GB31572-2015; GB14554-93; GB12348-2008; GB18597-2023; GB18599-2020</x:v>
      </x:c>
      <x:c r="L109" s="48" t="str">
        <x:v>2</x:v>
      </x:c>
      <x:c r="M109" s="48" t="str">
        <x:v>2</x:v>
      </x:c>
      <x:c r="N109" s="48" t="str">
        <x:v>False</x:v>
      </x:c>
      <x:c r="O109" s="48" t="str">
        <x:v>存在缺漏</x:v>
      </x:c>
      <x:c r="P109"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109" s="48"/>
      <x:c r="R109" s="48"/>
      <x:c r="S109" s="48" t="str">
        <x:v>是</x:v>
      </x:c>
      <x:c r="T109" s="48" t="str">
        <x:v>原综合排放标准问答对拆分而来</x:v>
      </x:c>
      <x:c r="U109" s="48" t="str">
        <x:v>30份环评_污染物排放控制执行标准复核QA(拆分版)</x:v>
      </x:c>
      <x:c r="V109" s="48" t="str">
        <x:v>水污染物排放标准</x:v>
      </x:c>
      <x:c r="W109" s="48" t="str">
        <x:v>存在缺漏</x:v>
      </x:c>
      <x:c r="X109" s="48" t="str">
        <x:v>存在缺漏</x:v>
      </x:c>
      <x:c r="Y109" s="64"/>
      <x:c r="Z109" s="64" t="str">
        <x:v>未复核</x:v>
      </x:c>
      <x:c r="AA109" s="64" t="str">
        <x:v>部分充分</x:v>
      </x:c>
      <x:c r="AB109" s="64" t="str">
        <x:v>有效</x:v>
      </x:c>
      <x:c r="AC109" s="64" t="str">
        <x:v>部分核验</x:v>
      </x:c>
      <x:c r="AD109" s="64" t="str">
        <x:v>自动默认</x:v>
      </x:c>
      <x:c r="AE109" s="64" t="str">
        <x:v>候选池</x:v>
      </x:c>
      <x:c r="AF109" s="64" t="str">
        <x:v>A_仅待终审</x:v>
      </x:c>
      <x:c r="AG109" s="64"/>
      <x:c r="AH109" s="64"/>
      <x:c r="AI109" s="64"/>
      <x:c r="AJ109" s="64"/>
      <x:c r="AK109" s="64"/>
      <x:c r="AL109" s="64"/>
      <x:c r="AM109" s="64"/>
      <x:c r="AN109" s="48" t="str">
        <x:v>109</x:v>
      </x:c>
      <x:c r="AO109" s="48" t="str">
        <x:v>MAP_存在缺漏</x:v>
      </x:c>
      <x:c r="AP109" s="48" t="str">
        <x:v>存在报告证据，但尚未经人工逐项核验；已列依据来源，但未在本阶段逐条核验</x:v>
      </x:c>
      <x:c r="AQ109" s="64"/>
      <x:c r="AR109" s="48" t="str">
        <x:v>water_emission_standard</x:v>
      </x:c>
      <x:c r="AS109" s="48" t="str">
        <x:v>L3_analysis</x:v>
      </x:c>
      <x:c r="AT109" s="48" t="str">
        <x:v>rule_applicability</x:v>
      </x:c>
      <x:c r="AU109" s="48" t="str">
        <x:v>basis_grounding</x:v>
      </x:c>
      <x:c r="AV109" s="48" t="str">
        <x:v>report_grounding；procedural_reasoning</x:v>
      </x:c>
      <x:c r="AW109" s="48" t="str">
        <x:v>high</x:v>
      </x:c>
      <x:c r="AX109" s="48" t="str">
        <x:v>high</x:v>
      </x:c>
      <x:c r="AY109" s="48" t="str">
        <x:v>report_plus_external</x:v>
      </x:c>
      <x:c r="AZ109" s="48" t="str">
        <x:v>True</x:v>
      </x:c>
      <x:c r="BA109" s="48"/>
      <x:c r="BB109" s="48" t="str">
        <x:v>auto_default</x:v>
      </x:c>
      <x:c r="BC109" s="48" t="str">
        <x:v>v1</x:v>
      </x:c>
      <x:c r="BD109" s="68"/>
    </x:row>
    <x:row r="110" ht="36" customHeight="1">
      <x:c r="A110" s="47" t="str">
        <x:v>2026-07-27</x:v>
      </x:c>
      <x:c r="B110" s="48" t="str">
        <x:v>PL021</x:v>
      </x:c>
      <x:c r="C110" s="48" t="str">
        <x:v>V01</x:v>
      </x:c>
      <x:c r="D110" s="48" t="str">
        <x:v>PL021_佛山市顺德区共诺电子元件厂搬迁项目_01_受理公告或公示版.pdf</x:v>
      </x:c>
      <x:c r="E110" s="48" t="str">
        <x:v>佛山市顺德区共诺电子元件厂搬迁项目</x:v>
      </x:c>
      <x:c r="F110" s="48" t="str">
        <x:v>PL021_Emission_大气</x:v>
      </x:c>
      <x:c r="G110" s="48" t="str">
        <x:v>污染物排放标准-大气污染物排放标准</x:v>
      </x:c>
      <x:c r="H110" s="48" t="str">
        <x:v>请根据项目行业类别、生产工艺和污染因子，判断大气污染物排放标准选取是否合理。要求分析：污染源覆盖是否完整（列出所有大气污染源及对应标准），是否存在缺漏的污染源或标准。</x:v>
      </x:c>
      <x:c r="I110" s="48" t="str">
        <x:v>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x:v>
      </x:c>
      <x:c r="J110" s="48" t="str">
        <x:v>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x:v>
      </x:c>
      <x:c r="K110" s="48" t="str">
        <x:v>emission-standard-kb.jsonl; DB44/26-2001; DB44/2367-2022; GB31572-2015; GB14554-93; GB12348-2008; GB18597-2023; GB18599-2020</x:v>
      </x:c>
      <x:c r="L110" s="48" t="str">
        <x:v>2</x:v>
      </x:c>
      <x:c r="M110" s="48" t="str">
        <x:v>2</x:v>
      </x:c>
      <x:c r="N110" s="48" t="str">
        <x:v>False</x:v>
      </x:c>
      <x:c r="O110" s="48" t="str">
        <x:v>存在缺漏</x:v>
      </x:c>
      <x:c r="P110"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110" s="48"/>
      <x:c r="R110" s="48"/>
      <x:c r="S110" s="48" t="str">
        <x:v>是</x:v>
      </x:c>
      <x:c r="T110" s="48" t="str">
        <x:v>原综合排放标准问答对拆分而来</x:v>
      </x:c>
      <x:c r="U110" s="48" t="str">
        <x:v>30份环评_污染物排放控制执行标准复核QA(拆分版)</x:v>
      </x:c>
      <x:c r="V110" s="48" t="str">
        <x:v>大气污染物排放标准</x:v>
      </x:c>
      <x:c r="W110" s="48" t="str">
        <x:v>存在缺漏</x:v>
      </x:c>
      <x:c r="X110" s="48" t="str">
        <x:v>存在缺漏</x:v>
      </x:c>
      <x:c r="Y110" s="64"/>
      <x:c r="Z110" s="64" t="str">
        <x:v>未复核</x:v>
      </x:c>
      <x:c r="AA110" s="64" t="str">
        <x:v>不足</x:v>
      </x:c>
      <x:c r="AB110" s="64" t="str">
        <x:v>有效</x:v>
      </x:c>
      <x:c r="AC110" s="64" t="str">
        <x:v>部分核验</x:v>
      </x:c>
      <x:c r="AD110" s="64" t="str">
        <x:v>自动默认</x:v>
      </x:c>
      <x:c r="AE110" s="64" t="str">
        <x:v>候选池</x:v>
      </x:c>
      <x:c r="AF110" s="64" t="str">
        <x:v>B_证据不足</x:v>
      </x:c>
      <x:c r="AG110" s="64"/>
      <x:c r="AH110" s="64"/>
      <x:c r="AI110" s="64"/>
      <x:c r="AJ110" s="64"/>
      <x:c r="AK110" s="64"/>
      <x:c r="AL110" s="64"/>
      <x:c r="AM110" s="64"/>
      <x:c r="AN110" s="48" t="str">
        <x:v>110</x:v>
      </x:c>
      <x:c r="AO110" s="48" t="str">
        <x:v>MAP_存在缺漏</x:v>
      </x:c>
      <x:c r="AP110" s="48" t="str">
        <x:v>命中证据不足候选词：无法确认；已列依据来源，但未在本阶段逐条核验</x:v>
      </x:c>
      <x:c r="AQ110" s="64"/>
      <x:c r="AR110" s="48" t="str">
        <x:v>air_emission_standard</x:v>
      </x:c>
      <x:c r="AS110" s="48" t="str">
        <x:v>L3_analysis</x:v>
      </x:c>
      <x:c r="AT110" s="48" t="str">
        <x:v>multi_evidence_synthesis</x:v>
      </x:c>
      <x:c r="AU110" s="48" t="str">
        <x:v>basis_grounding</x:v>
      </x:c>
      <x:c r="AV110" s="48" t="str">
        <x:v>report_grounding；evidence_integration</x:v>
      </x:c>
      <x:c r="AW110" s="48" t="str">
        <x:v>high</x:v>
      </x:c>
      <x:c r="AX110" s="48" t="str">
        <x:v>high</x:v>
      </x:c>
      <x:c r="AY110" s="48" t="str">
        <x:v>report_plus_external</x:v>
      </x:c>
      <x:c r="AZ110" s="48" t="str">
        <x:v>True</x:v>
      </x:c>
      <x:c r="BA110" s="48"/>
      <x:c r="BB110" s="48" t="str">
        <x:v>auto_default</x:v>
      </x:c>
      <x:c r="BC110" s="48" t="str">
        <x:v>v1</x:v>
      </x:c>
      <x:c r="BD110" s="68"/>
    </x:row>
    <x:row r="111" ht="36" customHeight="1">
      <x:c r="A111" s="47" t="str">
        <x:v>2026-07-27</x:v>
      </x:c>
      <x:c r="B111" s="48" t="str">
        <x:v>PL021</x:v>
      </x:c>
      <x:c r="C111" s="48" t="str">
        <x:v>V01</x:v>
      </x:c>
      <x:c r="D111" s="48" t="str">
        <x:v>PL021_佛山市顺德区共诺电子元件厂搬迁项目_01_受理公告或公示版.pdf</x:v>
      </x:c>
      <x:c r="E111" s="48" t="str">
        <x:v>佛山市顺德区共诺电子元件厂搬迁项目</x:v>
      </x:c>
      <x:c r="F111" s="48" t="str">
        <x:v>PL021_Emission_噪声</x:v>
      </x:c>
      <x:c r="G111" s="48" t="str">
        <x:v>污染物排放标准-噪声排放标准</x:v>
      </x:c>
      <x:c r="H111" s="48" t="str">
        <x:v>请根据项目所属声环境功能区类别，判断噪声排放标准选取是否合理。要求总结声功能区类型、厂界执行标准（GB12348-2008）及昼夜限值，并与环评编制内容进行一致性分析。</x:v>
      </x:c>
      <x:c r="I111" s="48" t="str">
        <x:v>1、噪声排放标准中执行标准与排放限值内容：存在缺漏；
2、存在缺漏。提取文本中未发现噪声排放标准章节，未引用GB12348-2008，未给出声功能区类别及昼夜限值。
4、</x:v>
      </x:c>
      <x:c r="J111" s="48" t="str">
        <x:v>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x:v>
      </x:c>
      <x:c r="K111" s="48" t="str">
        <x:v>emission-standard-kb.jsonl; DB44/26-2001; DB44/2367-2022; GB31572-2015; GB14554-93; GB12348-2008; GB18597-2023; GB18599-2020</x:v>
      </x:c>
      <x:c r="L111" s="48" t="str">
        <x:v>2</x:v>
      </x:c>
      <x:c r="M111" s="48" t="str">
        <x:v>2</x:v>
      </x:c>
      <x:c r="N111" s="48" t="str">
        <x:v>False</x:v>
      </x:c>
      <x:c r="O111" s="48" t="str">
        <x:v>存在缺漏</x:v>
      </x:c>
      <x:c r="P111"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111" s="48"/>
      <x:c r="R111" s="48"/>
      <x:c r="S111" s="48" t="str">
        <x:v>是</x:v>
      </x:c>
      <x:c r="T111" s="48" t="str">
        <x:v>原综合排放标准问答对拆分而来</x:v>
      </x:c>
      <x:c r="U111" s="48" t="str">
        <x:v>30份环评_污染物排放控制执行标准复核QA(拆分版)</x:v>
      </x:c>
      <x:c r="V111" s="48" t="str">
        <x:v>噪声排放标准</x:v>
      </x:c>
      <x:c r="W111" s="48" t="str">
        <x:v>存在缺漏</x:v>
      </x:c>
      <x:c r="X111" s="48" t="str">
        <x:v>存在缺漏</x:v>
      </x:c>
      <x:c r="Y111" s="64"/>
      <x:c r="Z111" s="64" t="str">
        <x:v>未复核</x:v>
      </x:c>
      <x:c r="AA111" s="64" t="str">
        <x:v>部分充分</x:v>
      </x:c>
      <x:c r="AB111" s="64" t="str">
        <x:v>有效</x:v>
      </x:c>
      <x:c r="AC111" s="64" t="str">
        <x:v>部分核验</x:v>
      </x:c>
      <x:c r="AD111" s="64" t="str">
        <x:v>自动默认</x:v>
      </x:c>
      <x:c r="AE111" s="64" t="str">
        <x:v>候选池</x:v>
      </x:c>
      <x:c r="AF111" s="64" t="str">
        <x:v>A_仅待终审</x:v>
      </x:c>
      <x:c r="AG111" s="64"/>
      <x:c r="AH111" s="64"/>
      <x:c r="AI111" s="64"/>
      <x:c r="AJ111" s="64"/>
      <x:c r="AK111" s="64"/>
      <x:c r="AL111" s="64"/>
      <x:c r="AM111" s="64"/>
      <x:c r="AN111" s="48" t="str">
        <x:v>111</x:v>
      </x:c>
      <x:c r="AO111" s="48" t="str">
        <x:v>MAP_存在缺漏</x:v>
      </x:c>
      <x:c r="AP111" s="48" t="str">
        <x:v>存在报告证据，但尚未经人工逐项核验；已列依据来源，但未在本阶段逐条核验</x:v>
      </x:c>
      <x:c r="AQ111" s="64"/>
      <x:c r="AR111" s="48" t="str">
        <x:v>noise_emission_standard</x:v>
      </x:c>
      <x:c r="AS111" s="48" t="str">
        <x:v>L2_application</x:v>
      </x:c>
      <x:c r="AT111" s="48" t="str">
        <x:v>rule_applicability</x:v>
      </x:c>
      <x:c r="AU111" s="48" t="str">
        <x:v>basis_grounding</x:v>
      </x:c>
      <x:c r="AV111" s="48" t="str">
        <x:v>report_grounding</x:v>
      </x:c>
      <x:c r="AW111" s="48" t="str">
        <x:v>high</x:v>
      </x:c>
      <x:c r="AX111" s="48" t="str">
        <x:v>medium</x:v>
      </x:c>
      <x:c r="AY111" s="48" t="str">
        <x:v>report_plus_external</x:v>
      </x:c>
      <x:c r="AZ111" s="48" t="str">
        <x:v>True</x:v>
      </x:c>
      <x:c r="BA111" s="48"/>
      <x:c r="BB111" s="48" t="str">
        <x:v>auto_default</x:v>
      </x:c>
      <x:c r="BC111" s="48" t="str">
        <x:v>v1</x:v>
      </x:c>
      <x:c r="BD111" s="68"/>
    </x:row>
    <x:row r="112" ht="36" customHeight="1">
      <x:c r="A112" s="47" t="str">
        <x:v>2026-07-27</x:v>
      </x:c>
      <x:c r="B112" s="48" t="str">
        <x:v>PL021</x:v>
      </x:c>
      <x:c r="C112" s="48" t="str">
        <x:v>V01</x:v>
      </x:c>
      <x:c r="D112" s="48" t="str">
        <x:v>PL021_佛山市顺德区共诺电子元件厂搬迁项目_01_受理公告或公示版.pdf</x:v>
      </x:c>
      <x:c r="E112" s="48" t="str">
        <x:v>佛山市顺德区共诺电子元件厂搬迁项目</x:v>
      </x:c>
      <x:c r="F112" s="48" t="str">
        <x:v>PL021_Emission_固体</x:v>
      </x:c>
      <x:c r="G112" s="48" t="str">
        <x:v>污染物排放标准-固体废物控制标准</x:v>
      </x:c>
      <x:c r="H112" s="48" t="str">
        <x:v>请根据项目产生的固体废物和危险废物类型，判断固体废物控制标准选取是否合理。要求总结一般工业固体废物和危险废物执行标准的标准名称及编号，分析是否缺少必要标准条目。</x:v>
      </x:c>
      <x:c r="I112"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12" s="48" t="str">
        <x:v>固体废物："设立固废间1个，面积10m²，用于一般固体废物暂存""设有危废间1个，面积5m²，危险废物收集暂存于危废间并委托有资质的单位定期处理"，未引用具体标准。</x:v>
      </x:c>
      <x:c r="K112" s="48" t="str">
        <x:v>emission-standard-kb.jsonl; DB44/26-2001; DB44/2367-2022; GB31572-2015; GB14554-93; GB12348-2008; GB18597-2023; GB18599-2020</x:v>
      </x:c>
      <x:c r="L112" s="48" t="str">
        <x:v>2</x:v>
      </x:c>
      <x:c r="M112" s="48" t="str">
        <x:v>2</x:v>
      </x:c>
      <x:c r="N112" s="48" t="str">
        <x:v>False</x:v>
      </x:c>
      <x:c r="O112" s="48" t="str">
        <x:v>无误</x:v>
      </x:c>
      <x:c r="P112"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112" s="48"/>
      <x:c r="R112" s="48"/>
      <x:c r="S112" s="48" t="str">
        <x:v>否</x:v>
      </x:c>
      <x:c r="T112" s="48" t="str">
        <x:v>修正：GB18599-2020不在知识库必须满足的标准清单中，原判定依据已更正。原综合排放标准问答对拆分而来</x:v>
      </x:c>
      <x:c r="U112" s="48" t="str">
        <x:v>30份环评_污染物排放控制执行标准复核QA(拆分版)</x:v>
      </x:c>
      <x:c r="V112" s="48" t="str">
        <x:v>固体废物控制标准</x:v>
      </x:c>
      <x:c r="W112" s="48" t="str">
        <x:v>无误</x:v>
      </x:c>
      <x:c r="X112" s="48" t="str">
        <x:v>无误</x:v>
      </x:c>
      <x:c r="Y112" s="64"/>
      <x:c r="Z112" s="64" t="str">
        <x:v>未复核</x:v>
      </x:c>
      <x:c r="AA112" s="64" t="str">
        <x:v>部分充分</x:v>
      </x:c>
      <x:c r="AB112" s="64" t="str">
        <x:v>有效</x:v>
      </x:c>
      <x:c r="AC112" s="64" t="str">
        <x:v>部分核验</x:v>
      </x:c>
      <x:c r="AD112" s="64" t="str">
        <x:v>自动默认</x:v>
      </x:c>
      <x:c r="AE112" s="64" t="str">
        <x:v>候选池</x:v>
      </x:c>
      <x:c r="AF112" s="64" t="str">
        <x:v>待分流</x:v>
      </x:c>
      <x:c r="AG112" s="64"/>
      <x:c r="AH112" s="64"/>
      <x:c r="AI112" s="64"/>
      <x:c r="AJ112" s="64"/>
      <x:c r="AK112" s="64"/>
      <x:c r="AL112" s="64"/>
      <x:c r="AM112" s="64"/>
      <x:c r="AN112" s="48" t="str">
        <x:v>112</x:v>
      </x:c>
      <x:c r="AO112" s="48" t="str">
        <x:v>MAP_无误</x:v>
      </x:c>
      <x:c r="AP112" s="48" t="str">
        <x:v>存在报告证据，但尚未经人工逐项核验；已列依据来源，但未在本阶段逐条核验</x:v>
      </x:c>
      <x:c r="AQ112" s="64"/>
      <x:c r="AR112" s="48" t="str">
        <x:v>solid_waste_standard</x:v>
      </x:c>
      <x:c r="AS112" s="48" t="str">
        <x:v>L2_application</x:v>
      </x:c>
      <x:c r="AT112" s="48" t="str">
        <x:v>rule_applicability</x:v>
      </x:c>
      <x:c r="AU112" s="48" t="str">
        <x:v>basis_grounding</x:v>
      </x:c>
      <x:c r="AV112" s="48" t="str">
        <x:v>report_grounding</x:v>
      </x:c>
      <x:c r="AW112" s="48" t="str">
        <x:v>high</x:v>
      </x:c>
      <x:c r="AX112" s="48" t="str">
        <x:v>medium</x:v>
      </x:c>
      <x:c r="AY112" s="48" t="str">
        <x:v>report_plus_external</x:v>
      </x:c>
      <x:c r="AZ112" s="48" t="str">
        <x:v>True</x:v>
      </x:c>
      <x:c r="BA112" s="48"/>
      <x:c r="BB112" s="48" t="str">
        <x:v>auto_default</x:v>
      </x:c>
      <x:c r="BC112" s="48" t="str">
        <x:v>v1</x:v>
      </x:c>
      <x:c r="BD112" s="68"/>
    </x:row>
    <x:row r="113" ht="36" customHeight="1">
      <x:c r="A113" s="47" t="str">
        <x:v>2026-06-25</x:v>
      </x:c>
      <x:c r="B113" s="48" t="str">
        <x:v>PL022</x:v>
      </x:c>
      <x:c r="C113" s="48" t="str">
        <x:v>V01</x:v>
      </x:c>
      <x:c r="D113" s="48" t="str">
        <x:v>年10月17日建设项目环境影响报告书（表）受理公告（佛山市生态环境局顺德分局）_2.pdf</x:v>
      </x:c>
      <x:c r="E113" s="48" t="str">
        <x:v>佛山市锐拓新材料有限公司新建项目</x:v>
      </x:c>
      <x:c r="F113" s="48" t="str">
        <x:v>PL022_V01_Q01</x:v>
      </x:c>
      <x:c r="G113" s="48" t="str">
        <x:v>1. 塑胶行业样本筛选与国民经济行业分类</x:v>
      </x:c>
      <x:c r="H113" s="48" t="str">
        <x:v>请结合项目产品、原辅材料和生产工艺，判断该报告行业类别是否基本合理。</x:v>
      </x:c>
      <x:c r="I113" s="48" t="str">
        <x:v>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x:v>
      </x:c>
      <x:c r="J113" s="48"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113" s="48" t="str">
        <x:v>《国民经济行业分类》(GB/T 4754—2017)；本任务C292筛选及C17/C18排除规则</x:v>
      </x:c>
      <x:c r="L113" s="48" t="str">
        <x:v>结合本项目行业代码、建设性质、工艺关键词及PDF证据生成，非脱离项目的通用题。</x:v>
      </x:c>
      <x:c r="M113" s="48" t="str">
        <x:v>可依据对应PDF原文、工程分析表格及所列法规标准逐项复核。</x:v>
      </x:c>
      <x:c r="N113" s="48" t="str">
        <x:v>True</x:v>
      </x:c>
      <x:c r="O113" s="48"/>
      <x:c r="P113" s="48"/>
      <x:c r="Q113" s="48"/>
      <x:c r="R113" s="48" t="str">
        <x:v>新增</x:v>
      </x:c>
      <x:c r="S113" s="48" t="str">
        <x:v>是</x:v>
      </x:c>
      <x:c r="T113" s="48" t="str">
        <x:v>自动生成；需人工复核项目参数、公式取值、标准适用范围及PDF文字提取完整性。</x:v>
      </x:c>
      <x:c r="U113" s="48" t="str">
        <x:v>seed_qa_塑胶行业筛选版_30个国民经济行业分类的人工标记</x:v>
      </x:c>
      <x:c r="V113" s="48" t="str">
        <x:v>国民经济行业分类</x:v>
      </x:c>
      <x:c r="W113" s="48"/>
      <x:c r="X113" s="48" t="str">
        <x:v>待判断</x:v>
      </x:c>
      <x:c r="Y113" s="64"/>
      <x:c r="Z113" s="64" t="str">
        <x:v>未复核</x:v>
      </x:c>
      <x:c r="AA113" s="64" t="str">
        <x:v>部分充分</x:v>
      </x:c>
      <x:c r="AB113" s="64" t="str">
        <x:v>待判断</x:v>
      </x:c>
      <x:c r="AC113" s="64" t="str">
        <x:v>部分核验</x:v>
      </x:c>
      <x:c r="AD113" s="64" t="str">
        <x:v>自动默认</x:v>
      </x:c>
      <x:c r="AE113" s="64" t="str">
        <x:v>候选池</x:v>
      </x:c>
      <x:c r="AF113" s="64" t="str">
        <x:v>C_题目或材料问题</x:v>
      </x:c>
      <x:c r="AG113" s="64"/>
      <x:c r="AH113" s="64"/>
      <x:c r="AI113" s="64"/>
      <x:c r="AJ113" s="64"/>
      <x:c r="AK113" s="64"/>
      <x:c r="AL113" s="64"/>
      <x:c r="AM113" s="64"/>
      <x:c r="AN113" s="48" t="str">
        <x:v>113</x:v>
      </x:c>
      <x:c r="AO113" s="48" t="str">
        <x:v>MAP_BLANK</x:v>
      </x:c>
      <x:c r="AP113" s="48" t="str">
        <x:v>人工判断为空：不得自动补填结论；人工判断为空；结构完整但原因需人工确认；存在报告证据，但尚未经人工逐项核验；已列依据来源，但未在本阶段逐条核验</x:v>
      </x:c>
      <x:c r="AQ113" s="64"/>
      <x:c r="AR113" s="48" t="str">
        <x:v>industry_classification</x:v>
      </x:c>
      <x:c r="AS113" s="48" t="str">
        <x:v>L3_analysis</x:v>
      </x:c>
      <x:c r="AT113" s="48" t="str">
        <x:v>multi_evidence_synthesis</x:v>
      </x:c>
      <x:c r="AU113" s="48" t="str">
        <x:v>evidence_integration</x:v>
      </x:c>
      <x:c r="AV113" s="48" t="str">
        <x:v>report_grounding；basis_grounding</x:v>
      </x:c>
      <x:c r="AW113" s="48" t="str">
        <x:v>high</x:v>
      </x:c>
      <x:c r="AX113" s="48" t="str">
        <x:v>high</x:v>
      </x:c>
      <x:c r="AY113" s="48" t="str">
        <x:v>cross_section</x:v>
      </x:c>
      <x:c r="AZ113" s="48" t="str">
        <x:v>True</x:v>
      </x:c>
      <x:c r="BA113" s="48"/>
      <x:c r="BB113" s="48" t="str">
        <x:v>auto_default</x:v>
      </x:c>
      <x:c r="BC113" s="48" t="str">
        <x:v>v1</x:v>
      </x:c>
      <x:c r="BD113" s="68"/>
    </x:row>
    <x:row r="114" ht="36" customHeight="1">
      <x:c r="A114" s="47" t="str">
        <x:v>2026-07-24</x:v>
      </x:c>
      <x:c r="B114" s="48" t="str">
        <x:v>PL022</x:v>
      </x:c>
      <x:c r="C114" s="48" t="str">
        <x:v>V01</x:v>
      </x:c>
      <x:c r="D114" s="48" t="str">
        <x:v>PL022_佛山市锐拓新材料有限公司新建项目</x:v>
      </x:c>
      <x:c r="E114" s="48" t="str">
        <x:v>佛山市锐拓新材料有限公司新建项目</x:v>
      </x:c>
      <x:c r="F114" s="48" t="str">
        <x:v>PL022_V01_Q03</x:v>
      </x:c>
      <x:c r="G114" s="48" t="str">
        <x:v>环评投资核算</x:v>
      </x:c>
      <x:c r="H114" s="48" t="str">
        <x:v>请根据报告中的总投资、环保投资和环保工程投资明细，判断环保投资核算是否前后一致、比例是否正确。</x:v>
      </x:c>
      <x:c r="I114" s="48"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114" s="48" t="str">
        <x:v>一、建设项目基本情况：总投资100万元、环保投资10万元、占比10%。来源：解析文本拼接_02_021-040(3).md</x:v>
      </x:c>
      <x:c r="K114" s="48" t="str">
        <x:v>报告原文-环保投资明细表</x:v>
      </x:c>
      <x:c r="L114" s="48" t="str">
        <x:v>2</x:v>
      </x:c>
      <x:c r="M114" s="48" t="str">
        <x:v>2</x:v>
      </x:c>
      <x:c r="N114" s="48" t="str">
        <x:v>False</x:v>
      </x:c>
      <x:c r="O114" s="48" t="str">
        <x:v>需复核</x:v>
      </x:c>
      <x:c r="P114" s="48"/>
      <x:c r="Q114" s="48"/>
      <x:c r="R114" s="48"/>
      <x:c r="S114" s="48" t="str">
        <x:v>是</x:v>
      </x:c>
      <x:c r="T114" s="48"/>
      <x:c r="U114" s="48" t="str">
        <x:v>30个PL_环评投资核算QA</x:v>
      </x:c>
      <x:c r="V114" s="48" t="str">
        <x:v>环评投资概算</x:v>
      </x:c>
      <x:c r="W114" s="48" t="str">
        <x:v>需复核</x:v>
      </x:c>
      <x:c r="X114" s="48" t="str">
        <x:v>证据不足</x:v>
      </x:c>
      <x:c r="Y114" s="64"/>
      <x:c r="Z114" s="64" t="str">
        <x:v>未复核</x:v>
      </x:c>
      <x:c r="AA114" s="64" t="str">
        <x:v>不足</x:v>
      </x:c>
      <x:c r="AB114" s="64" t="str">
        <x:v>有效</x:v>
      </x:c>
      <x:c r="AC114" s="64" t="str">
        <x:v>不需要外部依据</x:v>
      </x:c>
      <x:c r="AD114" s="64" t="str">
        <x:v>自动默认</x:v>
      </x:c>
      <x:c r="AE114" s="64" t="str">
        <x:v>候选池</x:v>
      </x:c>
      <x:c r="AF114" s="64" t="str">
        <x:v>B_证据不足</x:v>
      </x:c>
      <x:c r="AG114" s="64"/>
      <x:c r="AH114" s="64"/>
      <x:c r="AI114" s="64"/>
      <x:c r="AJ114" s="64"/>
      <x:c r="AK114" s="64"/>
      <x:c r="AL114" s="64"/>
      <x:c r="AM114" s="64"/>
      <x:c r="AN114" s="48" t="str">
        <x:v>114</x:v>
      </x:c>
      <x:c r="AO114" s="48" t="str">
        <x:v>MAP_需复核+EVIDENCE_INSUFFICIENCY_SIGNAL</x:v>
      </x:c>
      <x:c r="AP114" s="48" t="str">
        <x:v>原结论明确要求人工复核；命中证据不足候选词：未检索到、无法核对；投资复核主要依据报告内金额与算式</x:v>
      </x:c>
      <x:c r="AQ114" s="64"/>
      <x:c r="AR114" s="48" t="str">
        <x:v>environmental_investment</x:v>
      </x:c>
      <x:c r="AS114" s="48" t="str">
        <x:v>L2_application</x:v>
      </x:c>
      <x:c r="AT114" s="48" t="str">
        <x:v>quantitative_verification</x:v>
      </x:c>
      <x:c r="AU114" s="48" t="str">
        <x:v>numerical_accuracy</x:v>
      </x:c>
      <x:c r="AV114" s="48" t="str">
        <x:v>report_grounding；procedural_reasoning</x:v>
      </x:c>
      <x:c r="AW114" s="48" t="str">
        <x:v>low</x:v>
      </x:c>
      <x:c r="AX114" s="48" t="str">
        <x:v>medium</x:v>
      </x:c>
      <x:c r="AY114" s="48" t="str">
        <x:v>cross_section</x:v>
      </x:c>
      <x:c r="AZ114" s="48" t="str">
        <x:v>True</x:v>
      </x:c>
      <x:c r="BA114" s="48"/>
      <x:c r="BB114" s="48" t="str">
        <x:v>auto_default</x:v>
      </x:c>
      <x:c r="BC114" s="48" t="str">
        <x:v>v1</x:v>
      </x:c>
      <x:c r="BD114" s="68"/>
    </x:row>
    <x:row r="115" ht="36" customHeight="1">
      <x:c r="A115" s="47" t="str">
        <x:v>2026-07-28</x:v>
      </x:c>
      <x:c r="B115" s="48" t="str">
        <x:v>PL022</x:v>
      </x:c>
      <x:c r="C115" s="48" t="str">
        <x:v>V01</x:v>
      </x:c>
      <x:c r="D115" s="48" t="str">
        <x:v>PL022_佛山市锐拓新材料有限公司新建项目_01_受理公告或公示版.pdf</x:v>
      </x:c>
      <x:c r="E115" s="48" t="str">
        <x:v>佛山市锐拓新材料有限公司新建项目</x:v>
      </x:c>
      <x:c r="F115" s="48" t="str">
        <x:v>PL022_EnvQuality_Q01</x:v>
      </x:c>
      <x:c r="G115" s="48" t="str">
        <x:v>大气及地表水环境质量现状数据引用</x:v>
      </x:c>
      <x:c r="H115" s="48" t="str">
        <x:v>请根据报告引用的环境质量公报及现状数据，判断大气和地表水环境质量现状数据引用是否准确。</x:v>
      </x:c>
      <x:c r="I115" s="48" t="str">
        <x:v>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x:v>
      </x:c>
      <x:c r="J115" s="48" t="str">
        <x:v>证据位置:大气：Page 26；地表水：Page 27; 大气公报:《2023年佛山市顺德区环境质量状况公报（报告引用名称）》; 地表水资料:《2023年度佛山市顺德区环境质量状况公报（报告引用名称）》</x:v>
      </x:c>
      <x:c r="K115" s="48" t="str">
        <x:v>生态环境状况公报知识库; 收纳水体地表水执行标准</x:v>
      </x:c>
      <x:c r="L115" s="48" t="str">
        <x:v>2</x:v>
      </x:c>
      <x:c r="M115" s="48" t="str">
        <x:v>2</x:v>
      </x:c>
      <x:c r="N115" s="48" t="str">
        <x:v>False</x:v>
      </x:c>
      <x:c r="O115" s="48" t="str">
        <x:v>需修正</x:v>
      </x:c>
      <x:c r="P115" s="48" t="str">
        <x:v>大气:不正确; 地表水:不正确; 报告日期:未明确</x:v>
      </x:c>
      <x:c r="Q115" s="48"/>
      <x:c r="R115" s="48"/>
      <x:c r="S115" s="48" t="str">
        <x:v>是</x:v>
      </x:c>
      <x:c r="T115" s="48" t="str">
        <x:v>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x:v>
      </x:c>
      <x:c r="U115" s="48" t="str">
        <x:v>30个环评_大气及地表水环境质量现状数据引用复核QA</x:v>
      </x:c>
      <x:c r="V115" s="48" t="str">
        <x:v>环境质量数据引用</x:v>
      </x:c>
      <x:c r="W115" s="48" t="str">
        <x:v>需修正</x:v>
      </x:c>
      <x:c r="X115" s="48" t="str">
        <x:v>待判断</x:v>
      </x:c>
      <x:c r="Y115" s="64"/>
      <x:c r="Z115" s="64" t="str">
        <x:v>未复核</x:v>
      </x:c>
      <x:c r="AA115" s="64" t="str">
        <x:v>部分充分</x:v>
      </x:c>
      <x:c r="AB115" s="64" t="str">
        <x:v>有效</x:v>
      </x:c>
      <x:c r="AC115" s="64" t="str">
        <x:v>部分核验</x:v>
      </x:c>
      <x:c r="AD115" s="64" t="str">
        <x:v>自动默认</x:v>
      </x:c>
      <x:c r="AE115" s="64" t="str">
        <x:v>候选池</x:v>
      </x:c>
      <x:c r="AF115" s="64" t="str">
        <x:v>A_仅待终审</x:v>
      </x:c>
      <x:c r="AG115" s="64"/>
      <x:c r="AH115" s="64"/>
      <x:c r="AI115" s="64"/>
      <x:c r="AJ115" s="64"/>
      <x:c r="AK115" s="64"/>
      <x:c r="AL115" s="64"/>
      <x:c r="AM115" s="64"/>
      <x:c r="AN115" s="48" t="str">
        <x:v>115</x:v>
      </x:c>
      <x:c r="AO115" s="48" t="str">
        <x:v>MAP_需修正</x:v>
      </x:c>
      <x:c r="AP115" s="48" t="str">
        <x:v>需人工区分实质问题或表达优化；存在报告证据，但尚未经人工逐项核验；已列依据来源，但未在本阶段逐条核验</x:v>
      </x:c>
      <x:c r="AQ115" s="64"/>
      <x:c r="AR115" s="48" t="str">
        <x:v>environmental_quality_data</x:v>
      </x:c>
      <x:c r="AS115" s="48" t="str">
        <x:v>L3_analysis</x:v>
      </x:c>
      <x:c r="AT115" s="48" t="str">
        <x:v>consistency_comparison</x:v>
      </x:c>
      <x:c r="AU115" s="48" t="str">
        <x:v>evidence_integration</x:v>
      </x:c>
      <x:c r="AV115" s="48" t="str">
        <x:v>report_grounding；basis_grounding</x:v>
      </x:c>
      <x:c r="AW115" s="48" t="str">
        <x:v>high</x:v>
      </x:c>
      <x:c r="AX115" s="48" t="str">
        <x:v>high</x:v>
      </x:c>
      <x:c r="AY115" s="48" t="str">
        <x:v>report_plus_external</x:v>
      </x:c>
      <x:c r="AZ115" s="48" t="str">
        <x:v>True</x:v>
      </x:c>
      <x:c r="BA115" s="48"/>
      <x:c r="BB115" s="48" t="str">
        <x:v>auto_default</x:v>
      </x:c>
      <x:c r="BC115" s="48" t="str">
        <x:v>v1</x:v>
      </x:c>
      <x:c r="BD115" s="68"/>
    </x:row>
    <x:row r="116" ht="36" customHeight="1">
      <x:c r="A116" s="47" t="str">
        <x:v>2026-07-27</x:v>
      </x:c>
      <x:c r="B116" s="48" t="str">
        <x:v>PL022</x:v>
      </x:c>
      <x:c r="C116" s="48" t="str">
        <x:v>V01</x:v>
      </x:c>
      <x:c r="D116" s="48" t="str">
        <x:v>PL022_佛山市锐拓新材料有限公司新建项目_01_受理公告或公示版.pdf</x:v>
      </x:c>
      <x:c r="E116" s="48" t="str">
        <x:v>佛山市锐拓新材料有限公司新建项目</x:v>
      </x:c>
      <x:c r="F116" s="48" t="str">
        <x:v>PL022_Emission_水污</x:v>
      </x:c>
      <x:c r="G116" s="48" t="str">
        <x:v>污染物排放标准-水污染物排放标准</x:v>
      </x:c>
      <x:c r="H11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16" s="48" t="str">
        <x:v>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x:v>
      </x:c>
      <x:c r="J116" s="48" t="str">
        <x:v>1、水："标准的A标准和广东省《水污染物排放限值》（DB44/26-2001）第二时段一级标准的较严者。""生活污水经三级化粪池预处理后经市政污水管网排入杏坛污水处理厂处理，处理后尾水排入顺德支流。"</x:v>
      </x:c>
      <x:c r="K116" s="48" t="str">
        <x:v>emission-standard-kb.jsonl; DB44/26-2001; DB44/2367-2022; GB31572-2015; GB14554-93; GB12348-2008; GB18597-2023; GB18599-2020</x:v>
      </x:c>
      <x:c r="L116" s="48" t="str">
        <x:v>2</x:v>
      </x:c>
      <x:c r="M116" s="48" t="str">
        <x:v>2</x:v>
      </x:c>
      <x:c r="N116" s="48" t="str">
        <x:v>False</x:v>
      </x:c>
      <x:c r="O116" s="48" t="str">
        <x:v>存在缺漏</x:v>
      </x:c>
      <x:c r="P116"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116" s="48"/>
      <x:c r="R116" s="48"/>
      <x:c r="S116" s="48" t="str">
        <x:v>是</x:v>
      </x:c>
      <x:c r="T116" s="48" t="str">
        <x:v>原综合排放标准问答对拆分而来</x:v>
      </x:c>
      <x:c r="U116" s="48" t="str">
        <x:v>30份环评_污染物排放控制执行标准复核QA(拆分版)</x:v>
      </x:c>
      <x:c r="V116" s="48" t="str">
        <x:v>水污染物排放标准</x:v>
      </x:c>
      <x:c r="W116" s="48" t="str">
        <x:v>存在缺漏</x:v>
      </x:c>
      <x:c r="X116" s="48" t="str">
        <x:v>存在缺漏</x:v>
      </x:c>
      <x:c r="Y116" s="64"/>
      <x:c r="Z116" s="64" t="str">
        <x:v>未复核</x:v>
      </x:c>
      <x:c r="AA116" s="64" t="str">
        <x:v>部分充分</x:v>
      </x:c>
      <x:c r="AB116" s="64" t="str">
        <x:v>有效</x:v>
      </x:c>
      <x:c r="AC116" s="64" t="str">
        <x:v>部分核验</x:v>
      </x:c>
      <x:c r="AD116" s="64" t="str">
        <x:v>自动默认</x:v>
      </x:c>
      <x:c r="AE116" s="64" t="str">
        <x:v>候选池</x:v>
      </x:c>
      <x:c r="AF116" s="64" t="str">
        <x:v>A_仅待终审</x:v>
      </x:c>
      <x:c r="AG116" s="64"/>
      <x:c r="AH116" s="64"/>
      <x:c r="AI116" s="64"/>
      <x:c r="AJ116" s="64"/>
      <x:c r="AK116" s="64"/>
      <x:c r="AL116" s="64"/>
      <x:c r="AM116" s="64"/>
      <x:c r="AN116" s="48" t="str">
        <x:v>116</x:v>
      </x:c>
      <x:c r="AO116" s="48" t="str">
        <x:v>MAP_存在缺漏</x:v>
      </x:c>
      <x:c r="AP116" s="48" t="str">
        <x:v>存在报告证据，但尚未经人工逐项核验；已列依据来源，但未在本阶段逐条核验</x:v>
      </x:c>
      <x:c r="AQ116" s="64"/>
      <x:c r="AR116" s="48" t="str">
        <x:v>water_emission_standard</x:v>
      </x:c>
      <x:c r="AS116" s="48" t="str">
        <x:v>L3_analysis</x:v>
      </x:c>
      <x:c r="AT116" s="48" t="str">
        <x:v>rule_applicability</x:v>
      </x:c>
      <x:c r="AU116" s="48" t="str">
        <x:v>basis_grounding</x:v>
      </x:c>
      <x:c r="AV116" s="48" t="str">
        <x:v>report_grounding；procedural_reasoning</x:v>
      </x:c>
      <x:c r="AW116" s="48" t="str">
        <x:v>high</x:v>
      </x:c>
      <x:c r="AX116" s="48" t="str">
        <x:v>high</x:v>
      </x:c>
      <x:c r="AY116" s="48" t="str">
        <x:v>report_plus_external</x:v>
      </x:c>
      <x:c r="AZ116" s="48" t="str">
        <x:v>True</x:v>
      </x:c>
      <x:c r="BA116" s="48"/>
      <x:c r="BB116" s="48" t="str">
        <x:v>auto_default</x:v>
      </x:c>
      <x:c r="BC116" s="48" t="str">
        <x:v>v1</x:v>
      </x:c>
      <x:c r="BD116" s="68"/>
    </x:row>
    <x:row r="117" ht="36" customHeight="1">
      <x:c r="A117" s="47" t="str">
        <x:v>2026-07-27</x:v>
      </x:c>
      <x:c r="B117" s="48" t="str">
        <x:v>PL022</x:v>
      </x:c>
      <x:c r="C117" s="48" t="str">
        <x:v>V01</x:v>
      </x:c>
      <x:c r="D117" s="48" t="str">
        <x:v>PL022_佛山市锐拓新材料有限公司新建项目_01_受理公告或公示版.pdf</x:v>
      </x:c>
      <x:c r="E117" s="48" t="str">
        <x:v>佛山市锐拓新材料有限公司新建项目</x:v>
      </x:c>
      <x:c r="F117" s="48" t="str">
        <x:v>PL022_Emission_大气</x:v>
      </x:c>
      <x:c r="G117" s="48" t="str">
        <x:v>污染物排放标准-大气污染物排放标准</x:v>
      </x:c>
      <x:c r="H117" s="48" t="str">
        <x:v>请根据项目行业类别、生产工艺和污染因子，判断大气污染物排放标准选取是否合理。要求分析：污染源覆盖是否完整（列出所有大气污染源及对应标准），是否存在缺漏的污染源或标准。</x:v>
      </x:c>
      <x:c r="I117" s="48" t="str">
        <x:v>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x:v>
      </x:c>
      <x:c r="J117" s="48" t="str">
        <x:v>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x:v>
      </x:c>
      <x:c r="K117" s="48" t="str">
        <x:v>emission-standard-kb.jsonl; DB44/26-2001; DB44/2367-2022; GB31572-2015; GB14554-93; GB12348-2008; GB18597-2023; GB18599-2020</x:v>
      </x:c>
      <x:c r="L117" s="48" t="str">
        <x:v>2</x:v>
      </x:c>
      <x:c r="M117" s="48" t="str">
        <x:v>2</x:v>
      </x:c>
      <x:c r="N117" s="48" t="str">
        <x:v>False</x:v>
      </x:c>
      <x:c r="O117" s="48" t="str">
        <x:v>存在缺漏</x:v>
      </x:c>
      <x:c r="P117"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117" s="48"/>
      <x:c r="R117" s="48"/>
      <x:c r="S117" s="48" t="str">
        <x:v>是</x:v>
      </x:c>
      <x:c r="T117" s="48" t="str">
        <x:v>原综合排放标准问答对拆分而来</x:v>
      </x:c>
      <x:c r="U117" s="48" t="str">
        <x:v>30份环评_污染物排放控制执行标准复核QA(拆分版)</x:v>
      </x:c>
      <x:c r="V117" s="48" t="str">
        <x:v>大气污染物排放标准</x:v>
      </x:c>
      <x:c r="W117" s="48" t="str">
        <x:v>存在缺漏</x:v>
      </x:c>
      <x:c r="X117" s="48" t="str">
        <x:v>存在缺漏</x:v>
      </x:c>
      <x:c r="Y117" s="64"/>
      <x:c r="Z117" s="64" t="str">
        <x:v>未复核</x:v>
      </x:c>
      <x:c r="AA117" s="64" t="str">
        <x:v>部分充分</x:v>
      </x:c>
      <x:c r="AB117" s="64" t="str">
        <x:v>有效</x:v>
      </x:c>
      <x:c r="AC117" s="64" t="str">
        <x:v>部分核验</x:v>
      </x:c>
      <x:c r="AD117" s="64" t="str">
        <x:v>自动默认</x:v>
      </x:c>
      <x:c r="AE117" s="64" t="str">
        <x:v>候选池</x:v>
      </x:c>
      <x:c r="AF117" s="64" t="str">
        <x:v>A_仅待终审</x:v>
      </x:c>
      <x:c r="AG117" s="64"/>
      <x:c r="AH117" s="64"/>
      <x:c r="AI117" s="64"/>
      <x:c r="AJ117" s="64"/>
      <x:c r="AK117" s="64"/>
      <x:c r="AL117" s="64"/>
      <x:c r="AM117" s="64"/>
      <x:c r="AN117" s="48" t="str">
        <x:v>117</x:v>
      </x:c>
      <x:c r="AO117" s="48" t="str">
        <x:v>MAP_存在缺漏</x:v>
      </x:c>
      <x:c r="AP117" s="48" t="str">
        <x:v>存在报告证据，但尚未经人工逐项核验；已列依据来源，但未在本阶段逐条核验</x:v>
      </x:c>
      <x:c r="AQ117" s="64"/>
      <x:c r="AR117" s="48" t="str">
        <x:v>air_emission_standard</x:v>
      </x:c>
      <x:c r="AS117" s="48" t="str">
        <x:v>L3_analysis</x:v>
      </x:c>
      <x:c r="AT117" s="48" t="str">
        <x:v>multi_evidence_synthesis</x:v>
      </x:c>
      <x:c r="AU117" s="48" t="str">
        <x:v>basis_grounding</x:v>
      </x:c>
      <x:c r="AV117" s="48" t="str">
        <x:v>report_grounding；evidence_integration</x:v>
      </x:c>
      <x:c r="AW117" s="48" t="str">
        <x:v>high</x:v>
      </x:c>
      <x:c r="AX117" s="48" t="str">
        <x:v>high</x:v>
      </x:c>
      <x:c r="AY117" s="48" t="str">
        <x:v>report_plus_external</x:v>
      </x:c>
      <x:c r="AZ117" s="48" t="str">
        <x:v>True</x:v>
      </x:c>
      <x:c r="BA117" s="48"/>
      <x:c r="BB117" s="48" t="str">
        <x:v>auto_default</x:v>
      </x:c>
      <x:c r="BC117" s="48" t="str">
        <x:v>v1</x:v>
      </x:c>
      <x:c r="BD117" s="68"/>
    </x:row>
    <x:row r="118" ht="36" customHeight="1">
      <x:c r="A118" s="47" t="str">
        <x:v>2026-07-27</x:v>
      </x:c>
      <x:c r="B118" s="48" t="str">
        <x:v>PL022</x:v>
      </x:c>
      <x:c r="C118" s="48" t="str">
        <x:v>V01</x:v>
      </x:c>
      <x:c r="D118" s="48" t="str">
        <x:v>PL022_佛山市锐拓新材料有限公司新建项目_01_受理公告或公示版.pdf</x:v>
      </x:c>
      <x:c r="E118" s="48" t="str">
        <x:v>佛山市锐拓新材料有限公司新建项目</x:v>
      </x:c>
      <x:c r="F118" s="48" t="str">
        <x:v>PL022_Emission_噪声</x:v>
      </x:c>
      <x:c r="G118" s="48" t="str">
        <x:v>污染物排放标准-噪声排放标准</x:v>
      </x:c>
      <x:c r="H118" s="48" t="str">
        <x:v>请根据项目所属声环境功能区类别，判断噪声排放标准选取是否合理。要求总结声功能区类型、厂界执行标准（GB12348-2008）及昼夜限值，并与环评编制内容进行一致性分析。</x:v>
      </x:c>
      <x:c r="I118" s="48" t="str">
        <x:v>1、噪声排放标准中执行标准与排放限值内容：存在缺漏；
2、存在缺漏。提取文本中未发现噪声排放标准章节，未引用GB12348-2008，未给出声功能区类别及昼夜限值。报告功能区划分析中提到项目所在区域为声环境3类区。
4、</x:v>
      </x:c>
      <x:c r="J118" s="48" t="str">
        <x:v>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x:v>
      </x:c>
      <x:c r="K118" s="48" t="str">
        <x:v>emission-standard-kb.jsonl; DB44/26-2001; DB44/2367-2022; GB31572-2015; GB14554-93; GB12348-2008; GB18597-2023; GB18599-2020</x:v>
      </x:c>
      <x:c r="L118" s="48" t="str">
        <x:v>2</x:v>
      </x:c>
      <x:c r="M118" s="48" t="str">
        <x:v>2</x:v>
      </x:c>
      <x:c r="N118" s="48" t="str">
        <x:v>False</x:v>
      </x:c>
      <x:c r="O118" s="48" t="str">
        <x:v>存在缺漏</x:v>
      </x:c>
      <x:c r="P118"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118" s="48"/>
      <x:c r="R118" s="48"/>
      <x:c r="S118" s="48" t="str">
        <x:v>是</x:v>
      </x:c>
      <x:c r="T118" s="48" t="str">
        <x:v>原综合排放标准问答对拆分而来</x:v>
      </x:c>
      <x:c r="U118" s="48" t="str">
        <x:v>30份环评_污染物排放控制执行标准复核QA(拆分版)</x:v>
      </x:c>
      <x:c r="V118" s="48" t="str">
        <x:v>噪声排放标准</x:v>
      </x:c>
      <x:c r="W118" s="48" t="str">
        <x:v>存在缺漏</x:v>
      </x:c>
      <x:c r="X118" s="48" t="str">
        <x:v>存在缺漏</x:v>
      </x:c>
      <x:c r="Y118" s="64"/>
      <x:c r="Z118" s="64" t="str">
        <x:v>未复核</x:v>
      </x:c>
      <x:c r="AA118" s="64" t="str">
        <x:v>部分充分</x:v>
      </x:c>
      <x:c r="AB118" s="64" t="str">
        <x:v>有效</x:v>
      </x:c>
      <x:c r="AC118" s="64" t="str">
        <x:v>部分核验</x:v>
      </x:c>
      <x:c r="AD118" s="64" t="str">
        <x:v>自动默认</x:v>
      </x:c>
      <x:c r="AE118" s="64" t="str">
        <x:v>候选池</x:v>
      </x:c>
      <x:c r="AF118" s="64" t="str">
        <x:v>A_仅待终审</x:v>
      </x:c>
      <x:c r="AG118" s="64"/>
      <x:c r="AH118" s="64"/>
      <x:c r="AI118" s="64"/>
      <x:c r="AJ118" s="64"/>
      <x:c r="AK118" s="64"/>
      <x:c r="AL118" s="64"/>
      <x:c r="AM118" s="64"/>
      <x:c r="AN118" s="48" t="str">
        <x:v>118</x:v>
      </x:c>
      <x:c r="AO118" s="48" t="str">
        <x:v>MAP_存在缺漏</x:v>
      </x:c>
      <x:c r="AP118" s="48" t="str">
        <x:v>存在报告证据，但尚未经人工逐项核验；已列依据来源，但未在本阶段逐条核验</x:v>
      </x:c>
      <x:c r="AQ118" s="64"/>
      <x:c r="AR118" s="48" t="str">
        <x:v>noise_emission_standard</x:v>
      </x:c>
      <x:c r="AS118" s="48" t="str">
        <x:v>L2_application</x:v>
      </x:c>
      <x:c r="AT118" s="48" t="str">
        <x:v>rule_applicability</x:v>
      </x:c>
      <x:c r="AU118" s="48" t="str">
        <x:v>basis_grounding</x:v>
      </x:c>
      <x:c r="AV118" s="48" t="str">
        <x:v>report_grounding</x:v>
      </x:c>
      <x:c r="AW118" s="48" t="str">
        <x:v>high</x:v>
      </x:c>
      <x:c r="AX118" s="48" t="str">
        <x:v>medium</x:v>
      </x:c>
      <x:c r="AY118" s="48" t="str">
        <x:v>report_plus_external</x:v>
      </x:c>
      <x:c r="AZ118" s="48" t="str">
        <x:v>True</x:v>
      </x:c>
      <x:c r="BA118" s="48"/>
      <x:c r="BB118" s="48" t="str">
        <x:v>auto_default</x:v>
      </x:c>
      <x:c r="BC118" s="48" t="str">
        <x:v>v1</x:v>
      </x:c>
      <x:c r="BD118" s="68"/>
    </x:row>
    <x:row r="119" ht="36" customHeight="1">
      <x:c r="A119" s="47" t="str">
        <x:v>2026-07-27</x:v>
      </x:c>
      <x:c r="B119" s="48" t="str">
        <x:v>PL022</x:v>
      </x:c>
      <x:c r="C119" s="48" t="str">
        <x:v>V01</x:v>
      </x:c>
      <x:c r="D119" s="48" t="str">
        <x:v>PL022_佛山市锐拓新材料有限公司新建项目_01_受理公告或公示版.pdf</x:v>
      </x:c>
      <x:c r="E119" s="48" t="str">
        <x:v>佛山市锐拓新材料有限公司新建项目</x:v>
      </x:c>
      <x:c r="F119" s="48" t="str">
        <x:v>PL022_Emission_固体</x:v>
      </x:c>
      <x:c r="G119" s="48" t="str">
        <x:v>污染物排放标准-固体废物控制标准</x:v>
      </x:c>
      <x:c r="H119" s="48" t="str">
        <x:v>请根据项目产生的固体废物和危险废物类型，判断固体废物控制标准选取是否合理。要求总结一般工业固体废物和危险废物执行标准的标准名称及编号，分析是否缺少必要标准条目。</x:v>
      </x:c>
      <x:c r="I119"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19" s="48" t="str">
        <x:v>固体废物：提取文本中未发现固体废物控制标准。</x:v>
      </x:c>
      <x:c r="K119" s="48" t="str">
        <x:v>emission-standard-kb.jsonl; DB44/26-2001; DB44/2367-2022; GB31572-2015; GB14554-93; GB12348-2008; GB18597-2023; GB18599-2020</x:v>
      </x:c>
      <x:c r="L119" s="48" t="str">
        <x:v>2</x:v>
      </x:c>
      <x:c r="M119" s="48" t="str">
        <x:v>2</x:v>
      </x:c>
      <x:c r="N119" s="48" t="str">
        <x:v>False</x:v>
      </x:c>
      <x:c r="O119" s="48" t="str">
        <x:v>无误</x:v>
      </x:c>
      <x:c r="P119"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119" s="48"/>
      <x:c r="R119" s="48"/>
      <x:c r="S119" s="48" t="str">
        <x:v>否</x:v>
      </x:c>
      <x:c r="T119" s="48" t="str">
        <x:v>修正：GB18599-2020不在知识库必须满足的标准清单中，原判定依据已更正。原综合排放标准问答对拆分而来</x:v>
      </x:c>
      <x:c r="U119" s="48" t="str">
        <x:v>30份环评_污染物排放控制执行标准复核QA(拆分版)</x:v>
      </x:c>
      <x:c r="V119" s="48" t="str">
        <x:v>固体废物控制标准</x:v>
      </x:c>
      <x:c r="W119" s="48" t="str">
        <x:v>无误</x:v>
      </x:c>
      <x:c r="X119" s="48" t="str">
        <x:v>无误</x:v>
      </x:c>
      <x:c r="Y119" s="64"/>
      <x:c r="Z119" s="64" t="str">
        <x:v>未复核</x:v>
      </x:c>
      <x:c r="AA119" s="64" t="str">
        <x:v>部分充分</x:v>
      </x:c>
      <x:c r="AB119" s="64" t="str">
        <x:v>有效</x:v>
      </x:c>
      <x:c r="AC119" s="64" t="str">
        <x:v>部分核验</x:v>
      </x:c>
      <x:c r="AD119" s="64" t="str">
        <x:v>自动默认</x:v>
      </x:c>
      <x:c r="AE119" s="64" t="str">
        <x:v>候选池</x:v>
      </x:c>
      <x:c r="AF119" s="64" t="str">
        <x:v>待分流</x:v>
      </x:c>
      <x:c r="AG119" s="64"/>
      <x:c r="AH119" s="64"/>
      <x:c r="AI119" s="64"/>
      <x:c r="AJ119" s="64"/>
      <x:c r="AK119" s="64"/>
      <x:c r="AL119" s="64"/>
      <x:c r="AM119" s="64"/>
      <x:c r="AN119" s="48" t="str">
        <x:v>119</x:v>
      </x:c>
      <x:c r="AO119" s="48" t="str">
        <x:v>MAP_无误</x:v>
      </x:c>
      <x:c r="AP119" s="48" t="str">
        <x:v>存在报告证据，但尚未经人工逐项核验；已列依据来源，但未在本阶段逐条核验</x:v>
      </x:c>
      <x:c r="AQ119" s="64"/>
      <x:c r="AR119" s="48" t="str">
        <x:v>solid_waste_standard</x:v>
      </x:c>
      <x:c r="AS119" s="48" t="str">
        <x:v>L2_application</x:v>
      </x:c>
      <x:c r="AT119" s="48" t="str">
        <x:v>rule_applicability</x:v>
      </x:c>
      <x:c r="AU119" s="48" t="str">
        <x:v>basis_grounding</x:v>
      </x:c>
      <x:c r="AV119" s="48" t="str">
        <x:v>report_grounding</x:v>
      </x:c>
      <x:c r="AW119" s="48" t="str">
        <x:v>high</x:v>
      </x:c>
      <x:c r="AX119" s="48" t="str">
        <x:v>medium</x:v>
      </x:c>
      <x:c r="AY119" s="48" t="str">
        <x:v>report_plus_external</x:v>
      </x:c>
      <x:c r="AZ119" s="48" t="str">
        <x:v>True</x:v>
      </x:c>
      <x:c r="BA119" s="48"/>
      <x:c r="BB119" s="48" t="str">
        <x:v>auto_default</x:v>
      </x:c>
      <x:c r="BC119" s="48" t="str">
        <x:v>v1</x:v>
      </x:c>
      <x:c r="BD119" s="68"/>
    </x:row>
    <x:row r="120" ht="36" customHeight="1">
      <x:c r="A120" s="47" t="str">
        <x:v>2026-06-25</x:v>
      </x:c>
      <x:c r="B120" s="48" t="str">
        <x:v>PL023</x:v>
      </x:c>
      <x:c r="C120" s="48" t="str">
        <x:v>V01</x:v>
      </x:c>
      <x:c r="D120" s="48" t="str">
        <x:v>年10月17日建设项目环境影响报告书（表）受理公告（佛山市生态环境局顺德分局）_4.pdf</x:v>
      </x:c>
      <x:c r="E120" s="48" t="str">
        <x:v>佛山市通能达科技有限公司新建项目</x:v>
      </x:c>
      <x:c r="F120" s="48" t="str">
        <x:v>PL023_V01_Q01</x:v>
      </x:c>
      <x:c r="G120" s="48" t="str">
        <x:v>1. 塑胶行业样本筛选与国民经济行业分类</x:v>
      </x:c>
      <x:c r="H120" s="48" t="str">
        <x:v>请结合项目产品、原辅材料和生产工艺，判断该报告行业类别是否基本合理。</x:v>
      </x:c>
      <x:c r="I120" s="48" t="str">
        <x:v>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x:v>
      </x:c>
      <x:c r="J120" s="48"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120" s="48" t="str">
        <x:v>《国民经济行业分类》(GB/T 4754—2017)；本任务C292筛选及C17/C18排除规则</x:v>
      </x:c>
      <x:c r="L120" s="48" t="str">
        <x:v>结合本项目行业代码、建设性质、工艺关键词及PDF证据生成，非脱离项目的通用题。</x:v>
      </x:c>
      <x:c r="M120" s="48" t="str">
        <x:v>可依据对应PDF原文、工程分析表格及所列法规标准逐项复核。</x:v>
      </x:c>
      <x:c r="N120" s="48" t="str">
        <x:v>True</x:v>
      </x:c>
      <x:c r="O120" s="48"/>
      <x:c r="P120" s="48"/>
      <x:c r="Q120" s="48"/>
      <x:c r="R120" s="48" t="str">
        <x:v>新增</x:v>
      </x:c>
      <x:c r="S120" s="48" t="str">
        <x:v>是</x:v>
      </x:c>
      <x:c r="T120" s="48" t="str">
        <x:v>自动生成；需人工复核项目参数、公式取值、标准适用范围及PDF文字提取完整性。</x:v>
      </x:c>
      <x:c r="U120" s="48" t="str">
        <x:v>seed_qa_塑胶行业筛选版_30个国民经济行业分类的人工标记</x:v>
      </x:c>
      <x:c r="V120" s="48" t="str">
        <x:v>国民经济行业分类</x:v>
      </x:c>
      <x:c r="W120" s="48"/>
      <x:c r="X120" s="48" t="str">
        <x:v>待判断</x:v>
      </x:c>
      <x:c r="Y120" s="64"/>
      <x:c r="Z120" s="64" t="str">
        <x:v>未复核</x:v>
      </x:c>
      <x:c r="AA120" s="64" t="str">
        <x:v>部分充分</x:v>
      </x:c>
      <x:c r="AB120" s="64" t="str">
        <x:v>待判断</x:v>
      </x:c>
      <x:c r="AC120" s="64" t="str">
        <x:v>部分核验</x:v>
      </x:c>
      <x:c r="AD120" s="64" t="str">
        <x:v>自动默认</x:v>
      </x:c>
      <x:c r="AE120" s="64" t="str">
        <x:v>候选池</x:v>
      </x:c>
      <x:c r="AF120" s="64" t="str">
        <x:v>C_题目或材料问题</x:v>
      </x:c>
      <x:c r="AG120" s="64"/>
      <x:c r="AH120" s="64"/>
      <x:c r="AI120" s="64"/>
      <x:c r="AJ120" s="64"/>
      <x:c r="AK120" s="64"/>
      <x:c r="AL120" s="64"/>
      <x:c r="AM120" s="64"/>
      <x:c r="AN120" s="48" t="str">
        <x:v>120</x:v>
      </x:c>
      <x:c r="AO120" s="48" t="str">
        <x:v>MAP_BLANK</x:v>
      </x:c>
      <x:c r="AP120" s="48" t="str">
        <x:v>人工判断为空：不得自动补填结论；人工判断为空；结构完整但原因需人工确认；存在报告证据，但尚未经人工逐项核验；已列依据来源，但未在本阶段逐条核验</x:v>
      </x:c>
      <x:c r="AQ120" s="64"/>
      <x:c r="AR120" s="48" t="str">
        <x:v>industry_classification</x:v>
      </x:c>
      <x:c r="AS120" s="48" t="str">
        <x:v>L3_analysis</x:v>
      </x:c>
      <x:c r="AT120" s="48" t="str">
        <x:v>multi_evidence_synthesis</x:v>
      </x:c>
      <x:c r="AU120" s="48" t="str">
        <x:v>evidence_integration</x:v>
      </x:c>
      <x:c r="AV120" s="48" t="str">
        <x:v>report_grounding；basis_grounding</x:v>
      </x:c>
      <x:c r="AW120" s="48" t="str">
        <x:v>high</x:v>
      </x:c>
      <x:c r="AX120" s="48" t="str">
        <x:v>high</x:v>
      </x:c>
      <x:c r="AY120" s="48" t="str">
        <x:v>cross_section</x:v>
      </x:c>
      <x:c r="AZ120" s="48" t="str">
        <x:v>True</x:v>
      </x:c>
      <x:c r="BA120" s="48"/>
      <x:c r="BB120" s="48" t="str">
        <x:v>auto_default</x:v>
      </x:c>
      <x:c r="BC120" s="48" t="str">
        <x:v>v1</x:v>
      </x:c>
      <x:c r="BD120" s="68"/>
    </x:row>
    <x:row r="121" ht="36" customHeight="1">
      <x:c r="A121" s="47" t="str">
        <x:v>2026-07-24</x:v>
      </x:c>
      <x:c r="B121" s="48" t="str">
        <x:v>PL023</x:v>
      </x:c>
      <x:c r="C121" s="48" t="str">
        <x:v>V01</x:v>
      </x:c>
      <x:c r="D121" s="48" t="str">
        <x:v>PL023_佛山市通能达科技有限公司新建项目</x:v>
      </x:c>
      <x:c r="E121" s="48" t="str">
        <x:v>佛山市通能达科技有限公司新建项目</x:v>
      </x:c>
      <x:c r="F121" s="48" t="str">
        <x:v>PL023_V01_Q03</x:v>
      </x:c>
      <x:c r="G121" s="48" t="str">
        <x:v>环评投资核算</x:v>
      </x:c>
      <x:c r="H121" s="48" t="str">
        <x:v>请根据报告中的总投资、环保投资和环保工程投资明细，判断环保投资核算是否前后一致、比例是否正确。</x:v>
      </x:c>
      <x:c r="I121" s="48" t="str">
        <x:v>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x:v>
      </x:c>
      <x:c r="J121" s="48" t="str">
        <x:v>一、建设项目基本情况；表2-11：总投资300万元、环保投资25万元、占比8.33%；分项合计25万元。来源：解析文本拼接_02_021-040(3).md</x:v>
      </x:c>
      <x:c r="K121" s="48" t="str">
        <x:v>报告原文-环保投资明细表</x:v>
      </x:c>
      <x:c r="L121" s="48" t="str">
        <x:v>2</x:v>
      </x:c>
      <x:c r="M121" s="48" t="str">
        <x:v>2</x:v>
      </x:c>
      <x:c r="N121" s="48" t="str">
        <x:v>False</x:v>
      </x:c>
      <x:c r="O121" s="48" t="str">
        <x:v>正确</x:v>
      </x:c>
      <x:c r="P121" s="48"/>
      <x:c r="Q121" s="48"/>
      <x:c r="R121" s="48"/>
      <x:c r="S121" s="48" t="str">
        <x:v>否</x:v>
      </x:c>
      <x:c r="T121" s="48"/>
      <x:c r="U121" s="48" t="str">
        <x:v>30个PL_环评投资核算QA</x:v>
      </x:c>
      <x:c r="V121" s="48" t="str">
        <x:v>环评投资概算</x:v>
      </x:c>
      <x:c r="W121" s="48" t="str">
        <x:v>正确</x:v>
      </x:c>
      <x:c r="X121" s="48" t="str">
        <x:v>无误</x:v>
      </x:c>
      <x:c r="Y121" s="64"/>
      <x:c r="Z121" s="64" t="str">
        <x:v>未复核</x:v>
      </x:c>
      <x:c r="AA121" s="64" t="str">
        <x:v>部分充分</x:v>
      </x:c>
      <x:c r="AB121" s="64" t="str">
        <x:v>有效</x:v>
      </x:c>
      <x:c r="AC121" s="64" t="str">
        <x:v>不需要外部依据</x:v>
      </x:c>
      <x:c r="AD121" s="64" t="str">
        <x:v>自动默认</x:v>
      </x:c>
      <x:c r="AE121" s="64" t="str">
        <x:v>候选池</x:v>
      </x:c>
      <x:c r="AF121" s="64" t="str">
        <x:v>待分流</x:v>
      </x:c>
      <x:c r="AG121" s="64"/>
      <x:c r="AH121" s="64"/>
      <x:c r="AI121" s="64"/>
      <x:c r="AJ121" s="64"/>
      <x:c r="AK121" s="64"/>
      <x:c r="AL121" s="64"/>
      <x:c r="AM121" s="64"/>
      <x:c r="AN121" s="48" t="str">
        <x:v>121</x:v>
      </x:c>
      <x:c r="AO121" s="48" t="str">
        <x:v>MAP_正确</x:v>
      </x:c>
      <x:c r="AP121" s="48" t="str">
        <x:v>存在报告证据，但尚未经人工逐项核验；投资复核主要依据报告内金额与算式</x:v>
      </x:c>
      <x:c r="AQ121" s="64"/>
      <x:c r="AR121" s="48" t="str">
        <x:v>environmental_investment</x:v>
      </x:c>
      <x:c r="AS121" s="48" t="str">
        <x:v>L2_application</x:v>
      </x:c>
      <x:c r="AT121" s="48" t="str">
        <x:v>quantitative_verification</x:v>
      </x:c>
      <x:c r="AU121" s="48" t="str">
        <x:v>numerical_accuracy</x:v>
      </x:c>
      <x:c r="AV121" s="48" t="str">
        <x:v>report_grounding；procedural_reasoning</x:v>
      </x:c>
      <x:c r="AW121" s="48" t="str">
        <x:v>low</x:v>
      </x:c>
      <x:c r="AX121" s="48" t="str">
        <x:v>medium</x:v>
      </x:c>
      <x:c r="AY121" s="48" t="str">
        <x:v>cross_section</x:v>
      </x:c>
      <x:c r="AZ121" s="48" t="str">
        <x:v>True</x:v>
      </x:c>
      <x:c r="BA121" s="48"/>
      <x:c r="BB121" s="48" t="str">
        <x:v>auto_default</x:v>
      </x:c>
      <x:c r="BC121" s="48" t="str">
        <x:v>v1</x:v>
      </x:c>
      <x:c r="BD121" s="68"/>
    </x:row>
    <x:row r="122" ht="36" customHeight="1">
      <x:c r="A122" s="47" t="str">
        <x:v>2026-07-28</x:v>
      </x:c>
      <x:c r="B122" s="48" t="str">
        <x:v>PL023</x:v>
      </x:c>
      <x:c r="C122" s="48" t="str">
        <x:v>V01</x:v>
      </x:c>
      <x:c r="D122" s="48" t="str">
        <x:v>PL023_佛山市通能达科技有限公司新建项目_01_受理公告或公示版.pdf</x:v>
      </x:c>
      <x:c r="E122" s="48" t="str">
        <x:v>佛山市通能达科技有限公司新建项目</x:v>
      </x:c>
      <x:c r="F122" s="48" t="str">
        <x:v>PL023_EnvQuality_Q01</x:v>
      </x:c>
      <x:c r="G122" s="48" t="str">
        <x:v>大气及地表水环境质量现状数据引用</x:v>
      </x:c>
      <x:c r="H122" s="48" t="str">
        <x:v>请根据报告引用的环境质量公报及现状数据，判断大气和地表水环境质量现状数据引用是否准确。</x:v>
      </x:c>
      <x:c r="I122" s="48" t="str">
        <x:v>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x:v>
      </x:c>
      <x:c r="J122" s="48" t="str">
        <x:v>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x:v>
      </x:c>
      <x:c r="K122" s="48" t="str">
        <x:v>生态环境状况公报知识库; 收纳水体地表水执行标准</x:v>
      </x:c>
      <x:c r="L122" s="48" t="str">
        <x:v>2</x:v>
      </x:c>
      <x:c r="M122" s="48" t="str">
        <x:v>2</x:v>
      </x:c>
      <x:c r="N122" s="48" t="str">
        <x:v>False</x:v>
      </x:c>
      <x:c r="O122" s="48" t="str">
        <x:v>不正确</x:v>
      </x:c>
      <x:c r="P122" s="48" t="str">
        <x:v>大气:正确; 地表水:不正确; 报告日期:2024</x:v>
      </x:c>
      <x:c r="Q122" s="48"/>
      <x:c r="R122" s="48"/>
      <x:c r="S122" s="48" t="str">
        <x:v>是</x:v>
      </x:c>
      <x:c r="T122" s="48" t="str">
        <x:v>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x:v>
      </x:c>
      <x:c r="U122" s="48" t="str">
        <x:v>30个环评_大气及地表水环境质量现状数据引用复核QA</x:v>
      </x:c>
      <x:c r="V122" s="48" t="str">
        <x:v>环境质量数据引用</x:v>
      </x:c>
      <x:c r="W122" s="48" t="str">
        <x:v>不正确</x:v>
      </x:c>
      <x:c r="X122" s="48" t="str">
        <x:v>待判断</x:v>
      </x:c>
      <x:c r="Y122" s="64"/>
      <x:c r="Z122" s="64" t="str">
        <x:v>未复核</x:v>
      </x:c>
      <x:c r="AA122" s="64" t="str">
        <x:v>部分充分</x:v>
      </x:c>
      <x:c r="AB122" s="64" t="str">
        <x:v>有效</x:v>
      </x:c>
      <x:c r="AC122" s="64" t="str">
        <x:v>部分核验</x:v>
      </x:c>
      <x:c r="AD122" s="64" t="str">
        <x:v>自动默认</x:v>
      </x:c>
      <x:c r="AE122" s="64" t="str">
        <x:v>候选池</x:v>
      </x:c>
      <x:c r="AF122" s="64" t="str">
        <x:v>A_仅待终审</x:v>
      </x:c>
      <x:c r="AG122" s="64"/>
      <x:c r="AH122" s="64"/>
      <x:c r="AI122" s="64"/>
      <x:c r="AJ122" s="64"/>
      <x:c r="AK122" s="64"/>
      <x:c r="AL122" s="64"/>
      <x:c r="AM122" s="64"/>
      <x:c r="AN122" s="48" t="str">
        <x:v>122</x:v>
      </x:c>
      <x:c r="AO122" s="48" t="str">
        <x:v>MAP_不正确</x:v>
      </x:c>
      <x:c r="AP122" s="48" t="str">
        <x:v>需人工区分存在错误或存在缺漏；存在报告证据，但尚未经人工逐项核验；已列依据来源，但未在本阶段逐条核验</x:v>
      </x:c>
      <x:c r="AQ122" s="64"/>
      <x:c r="AR122" s="48" t="str">
        <x:v>environmental_quality_data</x:v>
      </x:c>
      <x:c r="AS122" s="48" t="str">
        <x:v>L3_analysis</x:v>
      </x:c>
      <x:c r="AT122" s="48" t="str">
        <x:v>consistency_comparison</x:v>
      </x:c>
      <x:c r="AU122" s="48" t="str">
        <x:v>evidence_integration</x:v>
      </x:c>
      <x:c r="AV122" s="48" t="str">
        <x:v>report_grounding；basis_grounding</x:v>
      </x:c>
      <x:c r="AW122" s="48" t="str">
        <x:v>high</x:v>
      </x:c>
      <x:c r="AX122" s="48" t="str">
        <x:v>high</x:v>
      </x:c>
      <x:c r="AY122" s="48" t="str">
        <x:v>report_plus_external</x:v>
      </x:c>
      <x:c r="AZ122" s="48" t="str">
        <x:v>True</x:v>
      </x:c>
      <x:c r="BA122" s="48"/>
      <x:c r="BB122" s="48" t="str">
        <x:v>auto_default</x:v>
      </x:c>
      <x:c r="BC122" s="48" t="str">
        <x:v>v1</x:v>
      </x:c>
      <x:c r="BD122" s="68"/>
    </x:row>
    <x:row r="123" ht="36" customHeight="1">
      <x:c r="A123" s="47" t="str">
        <x:v>2026-07-27</x:v>
      </x:c>
      <x:c r="B123" s="48" t="str">
        <x:v>PL023</x:v>
      </x:c>
      <x:c r="C123" s="48" t="str">
        <x:v>V01</x:v>
      </x:c>
      <x:c r="D123" s="48" t="str">
        <x:v>PL023_佛山市通能达科技有限公司新建项目_01_受理公告或公示版.pdf</x:v>
      </x:c>
      <x:c r="E123" s="48" t="str">
        <x:v>佛山市通能达科技有限公司新建项目</x:v>
      </x:c>
      <x:c r="F123" s="48" t="str">
        <x:v>PL023_Emission_水污</x:v>
      </x:c>
      <x:c r="G123" s="48" t="str">
        <x:v>污染物排放标准-水污染物排放标准</x:v>
      </x:c>
      <x:c r="H123"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23" s="48" t="str">
        <x:v>1、水污染物排放标准中生活污水排放执行标准：无误；
2、水污染物排放标准结论的过程分析内容：无误。报告明确引用了企业生活污水排口标准和污水处理厂尾水标准两个层次。企业排口执行DB44/26-2001第二时段三级标准，污水处理厂尾水执行GB18918-2002一级A标准及DB44/26-2001第二时段一级标准的较严值，尾水排入顺德支流。与知识库比对：企业排口COD≤500mg/L、BOD5≤300mg/L、SS≤400mg/L与DB44/26-2001第二时段三级标准一致；尾水COD≤40mg/L、BOD5≤10mg/L、氨氮≤5mg/L、SS≤10mg/L与较严值一致。水标准编制完整准确。
2、</x:v>
      </x:c>
      <x:c r="J123" s="48" t="str">
        <x:v>1、水："生活污水经过三级化粪处理达到广东省地方标准《水污染物排放限值》（DB44/26-2001）第二时段三级标准后，通过市政管道排放到杏坛污水处理厂处理。""污水处理厂的尾水执行《城镇污水处理厂污染物排放标准》（GB18918-2002）一级A标准及《水污染物排放限值》（DB44/26-2001）第二时段一级标准的较严值。"</x:v>
      </x:c>
      <x:c r="K123" s="48" t="str">
        <x:v>emission-standard-kb.jsonl; DB44/26-2001; DB44/2367-2022; GB31572-2015; GB14554-93; GB12348-2008; GB18597-2023; GB18599-2020</x:v>
      </x:c>
      <x:c r="L123" s="48" t="str">
        <x:v>2</x:v>
      </x:c>
      <x:c r="M123" s="48" t="str">
        <x:v>2</x:v>
      </x:c>
      <x:c r="N123" s="48" t="str">
        <x:v>False</x:v>
      </x:c>
      <x:c r="O123" s="48" t="str">
        <x:v>无误</x:v>
      </x:c>
      <x:c r="P123"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123" s="48"/>
      <x:c r="R123" s="48"/>
      <x:c r="S123" s="48" t="str">
        <x:v>否</x:v>
      </x:c>
      <x:c r="T123" s="48" t="str">
        <x:v>原综合排放标准问答对拆分而来</x:v>
      </x:c>
      <x:c r="U123" s="48" t="str">
        <x:v>30份环评_污染物排放控制执行标准复核QA(拆分版)</x:v>
      </x:c>
      <x:c r="V123" s="48" t="str">
        <x:v>水污染物排放标准</x:v>
      </x:c>
      <x:c r="W123" s="48" t="str">
        <x:v>无误</x:v>
      </x:c>
      <x:c r="X123" s="48" t="str">
        <x:v>无误</x:v>
      </x:c>
      <x:c r="Y123" s="64"/>
      <x:c r="Z123" s="64" t="str">
        <x:v>未复核</x:v>
      </x:c>
      <x:c r="AA123" s="64" t="str">
        <x:v>部分充分</x:v>
      </x:c>
      <x:c r="AB123" s="64" t="str">
        <x:v>有效</x:v>
      </x:c>
      <x:c r="AC123" s="64" t="str">
        <x:v>部分核验</x:v>
      </x:c>
      <x:c r="AD123" s="64" t="str">
        <x:v>自动默认</x:v>
      </x:c>
      <x:c r="AE123" s="64" t="str">
        <x:v>候选池</x:v>
      </x:c>
      <x:c r="AF123" s="64" t="str">
        <x:v>待分流</x:v>
      </x:c>
      <x:c r="AG123" s="64"/>
      <x:c r="AH123" s="64"/>
      <x:c r="AI123" s="64"/>
      <x:c r="AJ123" s="64"/>
      <x:c r="AK123" s="64"/>
      <x:c r="AL123" s="64"/>
      <x:c r="AM123" s="64"/>
      <x:c r="AN123" s="48" t="str">
        <x:v>123</x:v>
      </x:c>
      <x:c r="AO123" s="48" t="str">
        <x:v>MAP_无误</x:v>
      </x:c>
      <x:c r="AP123" s="48" t="str">
        <x:v>存在报告证据，但尚未经人工逐项核验；已列依据来源，但未在本阶段逐条核验</x:v>
      </x:c>
      <x:c r="AQ123" s="64"/>
      <x:c r="AR123" s="48" t="str">
        <x:v>water_emission_standard</x:v>
      </x:c>
      <x:c r="AS123" s="48" t="str">
        <x:v>L3_analysis</x:v>
      </x:c>
      <x:c r="AT123" s="48" t="str">
        <x:v>rule_applicability</x:v>
      </x:c>
      <x:c r="AU123" s="48" t="str">
        <x:v>basis_grounding</x:v>
      </x:c>
      <x:c r="AV123" s="48" t="str">
        <x:v>report_grounding；procedural_reasoning</x:v>
      </x:c>
      <x:c r="AW123" s="48" t="str">
        <x:v>high</x:v>
      </x:c>
      <x:c r="AX123" s="48" t="str">
        <x:v>high</x:v>
      </x:c>
      <x:c r="AY123" s="48" t="str">
        <x:v>report_plus_external</x:v>
      </x:c>
      <x:c r="AZ123" s="48" t="str">
        <x:v>True</x:v>
      </x:c>
      <x:c r="BA123" s="48"/>
      <x:c r="BB123" s="48" t="str">
        <x:v>auto_default</x:v>
      </x:c>
      <x:c r="BC123" s="48" t="str">
        <x:v>v1</x:v>
      </x:c>
      <x:c r="BD123" s="68"/>
    </x:row>
    <x:row r="124" ht="36" customHeight="1">
      <x:c r="A124" s="47" t="str">
        <x:v>2026-07-27</x:v>
      </x:c>
      <x:c r="B124" s="48" t="str">
        <x:v>PL023</x:v>
      </x:c>
      <x:c r="C124" s="48" t="str">
        <x:v>V01</x:v>
      </x:c>
      <x:c r="D124" s="48" t="str">
        <x:v>PL023_佛山市通能达科技有限公司新建项目_01_受理公告或公示版.pdf</x:v>
      </x:c>
      <x:c r="E124" s="48" t="str">
        <x:v>佛山市通能达科技有限公司新建项目</x:v>
      </x:c>
      <x:c r="F124" s="48" t="str">
        <x:v>PL023_Emission_大气</x:v>
      </x:c>
      <x:c r="G124" s="48" t="str">
        <x:v>污染物排放标准-大气污染物排放标准</x:v>
      </x:c>
      <x:c r="H124" s="48" t="str">
        <x:v>请根据项目行业类别、生产工艺和污染因子，判断大气污染物排放标准选取是否合理。要求分析：污染源覆盖是否完整（列出所有大气污染源及对应标准），是否存在缺漏的污染源或标准。</x:v>
      </x:c>
      <x:c r="I124" s="48" t="str">
        <x:v>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x:v>
      </x:c>
      <x:c r="J124" s="48" t="str">
        <x:v>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x:v>
      </x:c>
      <x:c r="K124" s="48" t="str">
        <x:v>emission-standard-kb.jsonl; DB44/26-2001; DB44/2367-2022; GB31572-2015; GB14554-93; GB12348-2008; GB18597-2023; GB18599-2020</x:v>
      </x:c>
      <x:c r="L124" s="48" t="str">
        <x:v>2</x:v>
      </x:c>
      <x:c r="M124" s="48" t="str">
        <x:v>2</x:v>
      </x:c>
      <x:c r="N124" s="48" t="str">
        <x:v>False</x:v>
      </x:c>
      <x:c r="O124" s="48" t="str">
        <x:v>存在缺漏</x:v>
      </x:c>
      <x:c r="P124"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124" s="48"/>
      <x:c r="R124" s="48"/>
      <x:c r="S124" s="48" t="str">
        <x:v>是</x:v>
      </x:c>
      <x:c r="T124" s="48" t="str">
        <x:v>原综合排放标准问答对拆分而来</x:v>
      </x:c>
      <x:c r="U124" s="48" t="str">
        <x:v>30份环评_污染物排放控制执行标准复核QA(拆分版)</x:v>
      </x:c>
      <x:c r="V124" s="48" t="str">
        <x:v>大气污染物排放标准</x:v>
      </x:c>
      <x:c r="W124" s="48" t="str">
        <x:v>存在缺漏</x:v>
      </x:c>
      <x:c r="X124" s="48" t="str">
        <x:v>存在缺漏</x:v>
      </x:c>
      <x:c r="Y124" s="64"/>
      <x:c r="Z124" s="64" t="str">
        <x:v>未复核</x:v>
      </x:c>
      <x:c r="AA124" s="64" t="str">
        <x:v>部分充分</x:v>
      </x:c>
      <x:c r="AB124" s="64" t="str">
        <x:v>有效</x:v>
      </x:c>
      <x:c r="AC124" s="64" t="str">
        <x:v>部分核验</x:v>
      </x:c>
      <x:c r="AD124" s="64" t="str">
        <x:v>自动默认</x:v>
      </x:c>
      <x:c r="AE124" s="64" t="str">
        <x:v>候选池</x:v>
      </x:c>
      <x:c r="AF124" s="64" t="str">
        <x:v>A_仅待终审</x:v>
      </x:c>
      <x:c r="AG124" s="64"/>
      <x:c r="AH124" s="64"/>
      <x:c r="AI124" s="64"/>
      <x:c r="AJ124" s="64"/>
      <x:c r="AK124" s="64"/>
      <x:c r="AL124" s="64"/>
      <x:c r="AM124" s="64"/>
      <x:c r="AN124" s="48" t="str">
        <x:v>124</x:v>
      </x:c>
      <x:c r="AO124" s="48" t="str">
        <x:v>MAP_存在缺漏</x:v>
      </x:c>
      <x:c r="AP124" s="48" t="str">
        <x:v>存在报告证据，但尚未经人工逐项核验；已列依据来源，但未在本阶段逐条核验</x:v>
      </x:c>
      <x:c r="AQ124" s="64"/>
      <x:c r="AR124" s="48" t="str">
        <x:v>air_emission_standard</x:v>
      </x:c>
      <x:c r="AS124" s="48" t="str">
        <x:v>L3_analysis</x:v>
      </x:c>
      <x:c r="AT124" s="48" t="str">
        <x:v>multi_evidence_synthesis</x:v>
      </x:c>
      <x:c r="AU124" s="48" t="str">
        <x:v>basis_grounding</x:v>
      </x:c>
      <x:c r="AV124" s="48" t="str">
        <x:v>report_grounding；evidence_integration</x:v>
      </x:c>
      <x:c r="AW124" s="48" t="str">
        <x:v>high</x:v>
      </x:c>
      <x:c r="AX124" s="48" t="str">
        <x:v>high</x:v>
      </x:c>
      <x:c r="AY124" s="48" t="str">
        <x:v>report_plus_external</x:v>
      </x:c>
      <x:c r="AZ124" s="48" t="str">
        <x:v>True</x:v>
      </x:c>
      <x:c r="BA124" s="48"/>
      <x:c r="BB124" s="48" t="str">
        <x:v>auto_default</x:v>
      </x:c>
      <x:c r="BC124" s="48" t="str">
        <x:v>v1</x:v>
      </x:c>
      <x:c r="BD124" s="68"/>
    </x:row>
    <x:row r="125" ht="36" customHeight="1">
      <x:c r="A125" s="47" t="str">
        <x:v>2026-07-27</x:v>
      </x:c>
      <x:c r="B125" s="48" t="str">
        <x:v>PL023</x:v>
      </x:c>
      <x:c r="C125" s="48" t="str">
        <x:v>V01</x:v>
      </x:c>
      <x:c r="D125" s="48" t="str">
        <x:v>PL023_佛山市通能达科技有限公司新建项目_01_受理公告或公示版.pdf</x:v>
      </x:c>
      <x:c r="E125" s="48" t="str">
        <x:v>佛山市通能达科技有限公司新建项目</x:v>
      </x:c>
      <x:c r="F125" s="48" t="str">
        <x:v>PL023_Emission_噪声</x:v>
      </x:c>
      <x:c r="G125" s="48" t="str">
        <x:v>污染物排放标准-噪声排放标准</x:v>
      </x:c>
      <x:c r="H125" s="48" t="str">
        <x:v>请根据项目所属声环境功能区类别，判断噪声排放标准选取是否合理。要求总结声功能区类型、厂界执行标准（GB12348-2008）及昼夜限值，并与环评编制内容进行一致性分析。</x:v>
      </x:c>
      <x:c r="I125" s="48" t="str">
        <x:v>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x:v>
      </x:c>
      <x:c r="J125" s="48" t="str">
        <x:v>3、噪声："项目所在地区位于3321杏坛东部工业区片区，所在区域为声环境3类区"，但提取文本中未发现GB12348-2008引用及昼夜限值。
4、固体废物：提取文本中未发现固体废物控制标准。</x:v>
      </x:c>
      <x:c r="K125" s="48" t="str">
        <x:v>emission-standard-kb.jsonl; DB44/26-2001; DB44/2367-2022; GB31572-2015; GB14554-93; GB12348-2008; GB18597-2023; GB18599-2020</x:v>
      </x:c>
      <x:c r="L125" s="48" t="str">
        <x:v>2</x:v>
      </x:c>
      <x:c r="M125" s="48" t="str">
        <x:v>2</x:v>
      </x:c>
      <x:c r="N125" s="48" t="str">
        <x:v>False</x:v>
      </x:c>
      <x:c r="O125" s="48" t="str">
        <x:v>存在缺漏</x:v>
      </x:c>
      <x:c r="P125"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125" s="48"/>
      <x:c r="R125" s="48"/>
      <x:c r="S125" s="48" t="str">
        <x:v>是</x:v>
      </x:c>
      <x:c r="T125" s="48" t="str">
        <x:v>原综合排放标准问答对拆分而来</x:v>
      </x:c>
      <x:c r="U125" s="48" t="str">
        <x:v>30份环评_污染物排放控制执行标准复核QA(拆分版)</x:v>
      </x:c>
      <x:c r="V125" s="48" t="str">
        <x:v>噪声排放标准</x:v>
      </x:c>
      <x:c r="W125" s="48" t="str">
        <x:v>存在缺漏</x:v>
      </x:c>
      <x:c r="X125" s="48" t="str">
        <x:v>存在缺漏</x:v>
      </x:c>
      <x:c r="Y125" s="64"/>
      <x:c r="Z125" s="64" t="str">
        <x:v>未复核</x:v>
      </x:c>
      <x:c r="AA125" s="64" t="str">
        <x:v>部分充分</x:v>
      </x:c>
      <x:c r="AB125" s="64" t="str">
        <x:v>有效</x:v>
      </x:c>
      <x:c r="AC125" s="64" t="str">
        <x:v>部分核验</x:v>
      </x:c>
      <x:c r="AD125" s="64" t="str">
        <x:v>自动默认</x:v>
      </x:c>
      <x:c r="AE125" s="64" t="str">
        <x:v>候选池</x:v>
      </x:c>
      <x:c r="AF125" s="64" t="str">
        <x:v>A_仅待终审</x:v>
      </x:c>
      <x:c r="AG125" s="64"/>
      <x:c r="AH125" s="64"/>
      <x:c r="AI125" s="64"/>
      <x:c r="AJ125" s="64"/>
      <x:c r="AK125" s="64"/>
      <x:c r="AL125" s="64"/>
      <x:c r="AM125" s="64"/>
      <x:c r="AN125" s="48" t="str">
        <x:v>125</x:v>
      </x:c>
      <x:c r="AO125" s="48" t="str">
        <x:v>MAP_存在缺漏</x:v>
      </x:c>
      <x:c r="AP125" s="48" t="str">
        <x:v>存在报告证据，但尚未经人工逐项核验；已列依据来源，但未在本阶段逐条核验</x:v>
      </x:c>
      <x:c r="AQ125" s="64"/>
      <x:c r="AR125" s="48" t="str">
        <x:v>noise_emission_standard</x:v>
      </x:c>
      <x:c r="AS125" s="48" t="str">
        <x:v>L2_application</x:v>
      </x:c>
      <x:c r="AT125" s="48" t="str">
        <x:v>rule_applicability</x:v>
      </x:c>
      <x:c r="AU125" s="48" t="str">
        <x:v>basis_grounding</x:v>
      </x:c>
      <x:c r="AV125" s="48" t="str">
        <x:v>report_grounding</x:v>
      </x:c>
      <x:c r="AW125" s="48" t="str">
        <x:v>high</x:v>
      </x:c>
      <x:c r="AX125" s="48" t="str">
        <x:v>medium</x:v>
      </x:c>
      <x:c r="AY125" s="48" t="str">
        <x:v>report_plus_external</x:v>
      </x:c>
      <x:c r="AZ125" s="48" t="str">
        <x:v>True</x:v>
      </x:c>
      <x:c r="BA125" s="48"/>
      <x:c r="BB125" s="48" t="str">
        <x:v>auto_default</x:v>
      </x:c>
      <x:c r="BC125" s="48" t="str">
        <x:v>v1</x:v>
      </x:c>
      <x:c r="BD125" s="68"/>
    </x:row>
    <x:row r="126" ht="36" customHeight="1">
      <x:c r="A126" s="47" t="str">
        <x:v>2026-07-27</x:v>
      </x:c>
      <x:c r="B126" s="48" t="str">
        <x:v>PL023</x:v>
      </x:c>
      <x:c r="C126" s="48" t="str">
        <x:v>V01</x:v>
      </x:c>
      <x:c r="D126" s="48" t="str">
        <x:v>PL023_佛山市通能达科技有限公司新建项目_01_受理公告或公示版.pdf</x:v>
      </x:c>
      <x:c r="E126" s="48" t="str">
        <x:v>佛山市通能达科技有限公司新建项目</x:v>
      </x:c>
      <x:c r="F126" s="48" t="str">
        <x:v>PL023_Emission_固体</x:v>
      </x:c>
      <x:c r="G126" s="48" t="str">
        <x:v>污染物排放标准-固体废物控制标准</x:v>
      </x:c>
      <x:c r="H126" s="48" t="str">
        <x:v>请根据项目产生的固体废物和危险废物类型，判断固体废物控制标准选取是否合理。要求总结一般工业固体废物和危险废物执行标准的标准名称及编号，分析是否缺少必要标准条目。</x:v>
      </x:c>
      <x:c r="I126"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26" s="48" t="str">
        <x:v>固体废物：提取文本中未发现固体废物控制标准。</x:v>
      </x:c>
      <x:c r="K126" s="48" t="str">
        <x:v>emission-standard-kb.jsonl; DB44/26-2001; DB44/2367-2022; GB31572-2015; GB14554-93; GB12348-2008; GB18597-2023; GB18599-2020</x:v>
      </x:c>
      <x:c r="L126" s="48" t="str">
        <x:v>2</x:v>
      </x:c>
      <x:c r="M126" s="48" t="str">
        <x:v>2</x:v>
      </x:c>
      <x:c r="N126" s="48" t="str">
        <x:v>False</x:v>
      </x:c>
      <x:c r="O126" s="48" t="str">
        <x:v>无误</x:v>
      </x:c>
      <x:c r="P126"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126" s="48"/>
      <x:c r="R126" s="48"/>
      <x:c r="S126" s="48" t="str">
        <x:v>否</x:v>
      </x:c>
      <x:c r="T126" s="48" t="str">
        <x:v>修正：GB18599-2020不在知识库必须满足的标准清单中，原判定依据已更正。原综合排放标准问答对拆分而来</x:v>
      </x:c>
      <x:c r="U126" s="48" t="str">
        <x:v>30份环评_污染物排放控制执行标准复核QA(拆分版)</x:v>
      </x:c>
      <x:c r="V126" s="48" t="str">
        <x:v>固体废物控制标准</x:v>
      </x:c>
      <x:c r="W126" s="48" t="str">
        <x:v>无误</x:v>
      </x:c>
      <x:c r="X126" s="48" t="str">
        <x:v>无误</x:v>
      </x:c>
      <x:c r="Y126" s="64"/>
      <x:c r="Z126" s="64" t="str">
        <x:v>未复核</x:v>
      </x:c>
      <x:c r="AA126" s="64" t="str">
        <x:v>部分充分</x:v>
      </x:c>
      <x:c r="AB126" s="64" t="str">
        <x:v>有效</x:v>
      </x:c>
      <x:c r="AC126" s="64" t="str">
        <x:v>部分核验</x:v>
      </x:c>
      <x:c r="AD126" s="64" t="str">
        <x:v>自动默认</x:v>
      </x:c>
      <x:c r="AE126" s="64" t="str">
        <x:v>候选池</x:v>
      </x:c>
      <x:c r="AF126" s="64" t="str">
        <x:v>待分流</x:v>
      </x:c>
      <x:c r="AG126" s="64"/>
      <x:c r="AH126" s="64"/>
      <x:c r="AI126" s="64"/>
      <x:c r="AJ126" s="64"/>
      <x:c r="AK126" s="64"/>
      <x:c r="AL126" s="64"/>
      <x:c r="AM126" s="64"/>
      <x:c r="AN126" s="48" t="str">
        <x:v>126</x:v>
      </x:c>
      <x:c r="AO126" s="48" t="str">
        <x:v>MAP_无误</x:v>
      </x:c>
      <x:c r="AP126" s="48" t="str">
        <x:v>存在报告证据，但尚未经人工逐项核验；已列依据来源，但未在本阶段逐条核验</x:v>
      </x:c>
      <x:c r="AQ126" s="64"/>
      <x:c r="AR126" s="48" t="str">
        <x:v>solid_waste_standard</x:v>
      </x:c>
      <x:c r="AS126" s="48" t="str">
        <x:v>L2_application</x:v>
      </x:c>
      <x:c r="AT126" s="48" t="str">
        <x:v>rule_applicability</x:v>
      </x:c>
      <x:c r="AU126" s="48" t="str">
        <x:v>basis_grounding</x:v>
      </x:c>
      <x:c r="AV126" s="48" t="str">
        <x:v>report_grounding</x:v>
      </x:c>
      <x:c r="AW126" s="48" t="str">
        <x:v>high</x:v>
      </x:c>
      <x:c r="AX126" s="48" t="str">
        <x:v>medium</x:v>
      </x:c>
      <x:c r="AY126" s="48" t="str">
        <x:v>report_plus_external</x:v>
      </x:c>
      <x:c r="AZ126" s="48" t="str">
        <x:v>True</x:v>
      </x:c>
      <x:c r="BA126" s="48"/>
      <x:c r="BB126" s="48" t="str">
        <x:v>auto_default</x:v>
      </x:c>
      <x:c r="BC126" s="48" t="str">
        <x:v>v1</x:v>
      </x:c>
      <x:c r="BD126" s="68"/>
    </x:row>
    <x:row r="127" ht="36" customHeight="1">
      <x:c r="A127" s="47" t="str">
        <x:v>2026-06-25</x:v>
      </x:c>
      <x:c r="B127" s="48" t="str">
        <x:v>PL025</x:v>
      </x:c>
      <x:c r="C127" s="48" t="str">
        <x:v>V01</x:v>
      </x:c>
      <x:c r="D127" s="48" t="str">
        <x:v>年10月22日建设项目环境影响报告受理公告（大良）_2.pdf</x:v>
      </x:c>
      <x:c r="E127" s="48" t="str">
        <x:v>佛山市巨人电器有限公司新建项目</x:v>
      </x:c>
      <x:c r="F127" s="48" t="str">
        <x:v>PL025_V01_Q01</x:v>
      </x:c>
      <x:c r="G127" s="48" t="str">
        <x:v>1. 塑胶行业样本筛选与国民经济行业分类</x:v>
      </x:c>
      <x:c r="H127" s="48" t="str">
        <x:v>请结合项目产品、原辅材料和生产工艺，判断该报告行业类别是否基本合理。</x:v>
      </x:c>
      <x:c r="I127" s="48" t="str">
        <x:v>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x:v>
      </x:c>
      <x:c r="J127" s="48"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127" s="48" t="str">
        <x:v>《国民经济行业分类》(GB/T 4754—2017)；本任务C292筛选及C17/C18排除规则</x:v>
      </x:c>
      <x:c r="L127" s="48" t="str">
        <x:v>结合本项目行业代码、建设性质、工艺关键词及PDF证据生成，非脱离项目的通用题。</x:v>
      </x:c>
      <x:c r="M127" s="48" t="str">
        <x:v>可依据对应PDF原文、工程分析表格及所列法规标准逐项复核。</x:v>
      </x:c>
      <x:c r="N127" s="48" t="str">
        <x:v>True</x:v>
      </x:c>
      <x:c r="O127" s="48"/>
      <x:c r="P127" s="48"/>
      <x:c r="Q127" s="48"/>
      <x:c r="R127" s="48" t="str">
        <x:v>新增</x:v>
      </x:c>
      <x:c r="S127" s="48" t="str">
        <x:v>是</x:v>
      </x:c>
      <x:c r="T127" s="48" t="str">
        <x:v>自动生成；需人工复核项目参数、公式取值、标准适用范围及PDF文字提取完整性。</x:v>
      </x:c>
      <x:c r="U127" s="48" t="str">
        <x:v>seed_qa_塑胶行业筛选版_30个国民经济行业分类的人工标记</x:v>
      </x:c>
      <x:c r="V127" s="48" t="str">
        <x:v>国民经济行业分类</x:v>
      </x:c>
      <x:c r="W127" s="48"/>
      <x:c r="X127" s="48" t="str">
        <x:v>待判断</x:v>
      </x:c>
      <x:c r="Y127" s="64"/>
      <x:c r="Z127" s="64" t="str">
        <x:v>未复核</x:v>
      </x:c>
      <x:c r="AA127" s="64" t="str">
        <x:v>部分充分</x:v>
      </x:c>
      <x:c r="AB127" s="64" t="str">
        <x:v>待判断</x:v>
      </x:c>
      <x:c r="AC127" s="64" t="str">
        <x:v>部分核验</x:v>
      </x:c>
      <x:c r="AD127" s="64" t="str">
        <x:v>自动默认</x:v>
      </x:c>
      <x:c r="AE127" s="64" t="str">
        <x:v>候选池</x:v>
      </x:c>
      <x:c r="AF127" s="64" t="str">
        <x:v>C_题目或材料问题</x:v>
      </x:c>
      <x:c r="AG127" s="64"/>
      <x:c r="AH127" s="64"/>
      <x:c r="AI127" s="64"/>
      <x:c r="AJ127" s="64"/>
      <x:c r="AK127" s="64"/>
      <x:c r="AL127" s="64"/>
      <x:c r="AM127" s="64"/>
      <x:c r="AN127" s="48" t="str">
        <x:v>127</x:v>
      </x:c>
      <x:c r="AO127" s="48" t="str">
        <x:v>MAP_BLANK</x:v>
      </x:c>
      <x:c r="AP127" s="48" t="str">
        <x:v>人工判断为空：不得自动补填结论；人工判断为空；结构完整但原因需人工确认；存在报告证据，但尚未经人工逐项核验；已列依据来源，但未在本阶段逐条核验</x:v>
      </x:c>
      <x:c r="AQ127" s="64"/>
      <x:c r="AR127" s="48" t="str">
        <x:v>industry_classification</x:v>
      </x:c>
      <x:c r="AS127" s="48" t="str">
        <x:v>L3_analysis</x:v>
      </x:c>
      <x:c r="AT127" s="48" t="str">
        <x:v>multi_evidence_synthesis</x:v>
      </x:c>
      <x:c r="AU127" s="48" t="str">
        <x:v>evidence_integration</x:v>
      </x:c>
      <x:c r="AV127" s="48" t="str">
        <x:v>report_grounding；basis_grounding</x:v>
      </x:c>
      <x:c r="AW127" s="48" t="str">
        <x:v>high</x:v>
      </x:c>
      <x:c r="AX127" s="48" t="str">
        <x:v>high</x:v>
      </x:c>
      <x:c r="AY127" s="48" t="str">
        <x:v>cross_section</x:v>
      </x:c>
      <x:c r="AZ127" s="48" t="str">
        <x:v>True</x:v>
      </x:c>
      <x:c r="BA127" s="48"/>
      <x:c r="BB127" s="48" t="str">
        <x:v>auto_default</x:v>
      </x:c>
      <x:c r="BC127" s="48" t="str">
        <x:v>v1</x:v>
      </x:c>
      <x:c r="BD127" s="68"/>
    </x:row>
    <x:row r="128" ht="36" customHeight="1">
      <x:c r="A128" s="47" t="str">
        <x:v>2026-07-24</x:v>
      </x:c>
      <x:c r="B128" s="48" t="str">
        <x:v>PL025</x:v>
      </x:c>
      <x:c r="C128" s="48" t="str">
        <x:v>V01</x:v>
      </x:c>
      <x:c r="D128" s="48" t="str">
        <x:v>PL025_佛山市巨人电器有限公司新建项目</x:v>
      </x:c>
      <x:c r="E128" s="48" t="str">
        <x:v>佛山市巨人电器有限公司新建项目</x:v>
      </x:c>
      <x:c r="F128" s="48" t="str">
        <x:v>PL025_V01_Q03</x:v>
      </x:c>
      <x:c r="G128" s="48" t="str">
        <x:v>环评投资核算</x:v>
      </x:c>
      <x:c r="H128" s="48" t="str">
        <x:v>请根据报告中的总投资、环保投资和环保工程投资明细，判断环保投资核算是否前后一致、比例是否正确。</x:v>
      </x:c>
      <x:c r="I128" s="48" t="str">
        <x:v>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x:v>
      </x:c>
      <x:c r="J128" s="48" t="str">
        <x:v>一、建设项目基本情况；表4-23：占比15%；分项合计15万元。来源：解析文本拼接_02_021-040(3).md</x:v>
      </x:c>
      <x:c r="K128" s="48" t="str">
        <x:v>报告原文-环保投资明细表</x:v>
      </x:c>
      <x:c r="L128" s="48" t="str">
        <x:v>2</x:v>
      </x:c>
      <x:c r="M128" s="48" t="str">
        <x:v>2</x:v>
      </x:c>
      <x:c r="N128" s="48" t="str">
        <x:v>False</x:v>
      </x:c>
      <x:c r="O128" s="48" t="str">
        <x:v>需复核</x:v>
      </x:c>
      <x:c r="P128" s="48"/>
      <x:c r="Q128" s="48"/>
      <x:c r="R128" s="48"/>
      <x:c r="S128" s="48" t="str">
        <x:v>是</x:v>
      </x:c>
      <x:c r="T128" s="48"/>
      <x:c r="U128" s="48" t="str">
        <x:v>30个PL_环评投资核算QA</x:v>
      </x:c>
      <x:c r="V128" s="48" t="str">
        <x:v>环评投资概算</x:v>
      </x:c>
      <x:c r="W128" s="48" t="str">
        <x:v>需复核</x:v>
      </x:c>
      <x:c r="X128" s="48" t="str">
        <x:v>需人工复核</x:v>
      </x:c>
      <x:c r="Y128" s="64"/>
      <x:c r="Z128" s="64" t="str">
        <x:v>未复核</x:v>
      </x:c>
      <x:c r="AA128" s="64" t="str">
        <x:v>部分充分</x:v>
      </x:c>
      <x:c r="AB128" s="64" t="str">
        <x:v>有效</x:v>
      </x:c>
      <x:c r="AC128" s="64" t="str">
        <x:v>不需要外部依据</x:v>
      </x:c>
      <x:c r="AD128" s="64" t="str">
        <x:v>自动默认</x:v>
      </x:c>
      <x:c r="AE128" s="64" t="str">
        <x:v>候选池</x:v>
      </x:c>
      <x:c r="AF128" s="64" t="str">
        <x:v>B_证据不足</x:v>
      </x:c>
      <x:c r="AG128" s="64"/>
      <x:c r="AH128" s="64"/>
      <x:c r="AI128" s="64"/>
      <x:c r="AJ128" s="64"/>
      <x:c r="AK128" s="64"/>
      <x:c r="AL128" s="64"/>
      <x:c r="AM128" s="64"/>
      <x:c r="AN128" s="48" t="str">
        <x:v>128</x:v>
      </x:c>
      <x:c r="AO128" s="48" t="str">
        <x:v>MAP_需复核</x:v>
      </x:c>
      <x:c r="AP128" s="48" t="str">
        <x:v>原结论明确要求人工复核；存在报告证据，但尚未经人工逐项核验；投资复核主要依据报告内金额与算式</x:v>
      </x:c>
      <x:c r="AQ128" s="64"/>
      <x:c r="AR128" s="48" t="str">
        <x:v>environmental_investment</x:v>
      </x:c>
      <x:c r="AS128" s="48" t="str">
        <x:v>L2_application</x:v>
      </x:c>
      <x:c r="AT128" s="48" t="str">
        <x:v>quantitative_verification</x:v>
      </x:c>
      <x:c r="AU128" s="48" t="str">
        <x:v>numerical_accuracy</x:v>
      </x:c>
      <x:c r="AV128" s="48" t="str">
        <x:v>report_grounding；procedural_reasoning</x:v>
      </x:c>
      <x:c r="AW128" s="48" t="str">
        <x:v>low</x:v>
      </x:c>
      <x:c r="AX128" s="48" t="str">
        <x:v>medium</x:v>
      </x:c>
      <x:c r="AY128" s="48" t="str">
        <x:v>cross_section</x:v>
      </x:c>
      <x:c r="AZ128" s="48" t="str">
        <x:v>True</x:v>
      </x:c>
      <x:c r="BA128" s="48"/>
      <x:c r="BB128" s="48" t="str">
        <x:v>auto_default</x:v>
      </x:c>
      <x:c r="BC128" s="48" t="str">
        <x:v>v1</x:v>
      </x:c>
      <x:c r="BD128" s="68"/>
    </x:row>
    <x:row r="129" ht="36" customHeight="1">
      <x:c r="A129" s="47" t="str">
        <x:v>2026-07-28</x:v>
      </x:c>
      <x:c r="B129" s="48" t="str">
        <x:v>PL025</x:v>
      </x:c>
      <x:c r="C129" s="48" t="str">
        <x:v>V01</x:v>
      </x:c>
      <x:c r="D129" s="48" t="str">
        <x:v>PL025_佛山市巨人电器有限公司新建项目_01_受理公告或公示版.pdf</x:v>
      </x:c>
      <x:c r="E129" s="48" t="str">
        <x:v>佛山市巨人电器有限公司新建项目</x:v>
      </x:c>
      <x:c r="F129" s="48" t="str">
        <x:v>PL025_EnvQuality_Q01</x:v>
      </x:c>
      <x:c r="G129" s="48" t="str">
        <x:v>大气及地表水环境质量现状数据引用</x:v>
      </x:c>
      <x:c r="H129" s="48" t="str">
        <x:v>请根据报告引用的环境质量公报及现状数据，判断大气和地表水环境质量现状数据引用是否准确。</x:v>
      </x:c>
      <x:c r="I129" s="48" t="str">
        <x:v>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x:v>
      </x:c>
      <x:c r="J129" s="48" t="str">
        <x:v>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x:v>
      </x:c>
      <x:c r="K129" s="48" t="str">
        <x:v>生态环境状况公报知识库; 收纳水体地表水执行标准</x:v>
      </x:c>
      <x:c r="L129" s="48" t="str">
        <x:v>2</x:v>
      </x:c>
      <x:c r="M129" s="48" t="str">
        <x:v>2</x:v>
      </x:c>
      <x:c r="N129" s="48" t="str">
        <x:v>False</x:v>
      </x:c>
      <x:c r="O129" s="48" t="str">
        <x:v>不正确</x:v>
      </x:c>
      <x:c r="P129" s="48" t="str">
        <x:v>大气:正确; 地表水:不正确; 报告日期:2024</x:v>
      </x:c>
      <x:c r="Q129" s="48"/>
      <x:c r="R129" s="48"/>
      <x:c r="S129" s="48" t="str">
        <x:v>是</x:v>
      </x:c>
      <x:c r="T129" s="48" t="str">
        <x:v>大门污水处理厂尾水受纳河道报告中多处写为“顺德支流”（第141、1927、1973行），与知识库中官方登记的受纳水体“桂洲水道”不一致，存在实质差异。</x:v>
      </x:c>
      <x:c r="U129" s="48" t="str">
        <x:v>30个环评_大气及地表水环境质量现状数据引用复核QA</x:v>
      </x:c>
      <x:c r="V129" s="48" t="str">
        <x:v>环境质量数据引用</x:v>
      </x:c>
      <x:c r="W129" s="48" t="str">
        <x:v>不正确</x:v>
      </x:c>
      <x:c r="X129" s="48" t="str">
        <x:v>待判断</x:v>
      </x:c>
      <x:c r="Y129" s="64"/>
      <x:c r="Z129" s="64" t="str">
        <x:v>未复核</x:v>
      </x:c>
      <x:c r="AA129" s="64" t="str">
        <x:v>部分充分</x:v>
      </x:c>
      <x:c r="AB129" s="64" t="str">
        <x:v>有效</x:v>
      </x:c>
      <x:c r="AC129" s="64" t="str">
        <x:v>部分核验</x:v>
      </x:c>
      <x:c r="AD129" s="64" t="str">
        <x:v>自动默认</x:v>
      </x:c>
      <x:c r="AE129" s="64" t="str">
        <x:v>候选池</x:v>
      </x:c>
      <x:c r="AF129" s="64" t="str">
        <x:v>A_仅待终审</x:v>
      </x:c>
      <x:c r="AG129" s="64"/>
      <x:c r="AH129" s="64"/>
      <x:c r="AI129" s="64"/>
      <x:c r="AJ129" s="64"/>
      <x:c r="AK129" s="64"/>
      <x:c r="AL129" s="64"/>
      <x:c r="AM129" s="64"/>
      <x:c r="AN129" s="48" t="str">
        <x:v>129</x:v>
      </x:c>
      <x:c r="AO129" s="48" t="str">
        <x:v>MAP_不正确</x:v>
      </x:c>
      <x:c r="AP129" s="48" t="str">
        <x:v>需人工区分存在错误或存在缺漏；存在报告证据，但尚未经人工逐项核验；已列依据来源，但未在本阶段逐条核验</x:v>
      </x:c>
      <x:c r="AQ129" s="64"/>
      <x:c r="AR129" s="48" t="str">
        <x:v>environmental_quality_data</x:v>
      </x:c>
      <x:c r="AS129" s="48" t="str">
        <x:v>L3_analysis</x:v>
      </x:c>
      <x:c r="AT129" s="48" t="str">
        <x:v>consistency_comparison</x:v>
      </x:c>
      <x:c r="AU129" s="48" t="str">
        <x:v>evidence_integration</x:v>
      </x:c>
      <x:c r="AV129" s="48" t="str">
        <x:v>report_grounding；basis_grounding</x:v>
      </x:c>
      <x:c r="AW129" s="48" t="str">
        <x:v>high</x:v>
      </x:c>
      <x:c r="AX129" s="48" t="str">
        <x:v>high</x:v>
      </x:c>
      <x:c r="AY129" s="48" t="str">
        <x:v>report_plus_external</x:v>
      </x:c>
      <x:c r="AZ129" s="48" t="str">
        <x:v>True</x:v>
      </x:c>
      <x:c r="BA129" s="48"/>
      <x:c r="BB129" s="48" t="str">
        <x:v>auto_default</x:v>
      </x:c>
      <x:c r="BC129" s="48" t="str">
        <x:v>v1</x:v>
      </x:c>
      <x:c r="BD129" s="68"/>
    </x:row>
    <x:row r="130" ht="36" customHeight="1">
      <x:c r="A130" s="47" t="str">
        <x:v>2026-07-27</x:v>
      </x:c>
      <x:c r="B130" s="48" t="str">
        <x:v>PL025</x:v>
      </x:c>
      <x:c r="C130" s="48" t="str">
        <x:v>V01</x:v>
      </x:c>
      <x:c r="D130" s="48" t="str">
        <x:v>PL025_佛山市巨人电器有限公司新建项目_01_受理公告或公示版.pdf</x:v>
      </x:c>
      <x:c r="E130" s="48" t="str">
        <x:v>佛山市巨人电器有限公司新建项目</x:v>
      </x:c>
      <x:c r="F130" s="48" t="str">
        <x:v>PL025_Emission_水污</x:v>
      </x:c>
      <x:c r="G130" s="48" t="str">
        <x:v>污染物排放标准-水污染物排放标准</x:v>
      </x:c>
      <x:c r="H130"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30" s="48" t="str">
        <x:v>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x:v>
      </x:c>
      <x:c r="J130" s="48" t="str">
        <x:v>1、水："《城镇污水处理厂污染物排放标准》（GB18918-2002）一级A标准及《广东省水污染物排放限值》（DB44/26-2001）的较严值。""生活污水经三级化粪池处理后排入大门污水处理厂；循环冷却水通过市政雨水管网排放。"</x:v>
      </x:c>
      <x:c r="K130" s="48" t="str">
        <x:v>emission-standard-kb.jsonl; DB44/26-2001; DB44/2367-2022; GB31572-2015; GB14554-93; GB12348-2008; GB18597-2023; GB18599-2020</x:v>
      </x:c>
      <x:c r="L130" s="48" t="str">
        <x:v>2</x:v>
      </x:c>
      <x:c r="M130" s="48" t="str">
        <x:v>2</x:v>
      </x:c>
      <x:c r="N130" s="48" t="str">
        <x:v>False</x:v>
      </x:c>
      <x:c r="O130" s="48" t="str">
        <x:v>存在缺漏</x:v>
      </x:c>
      <x:c r="P130"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130" s="48"/>
      <x:c r="R130" s="48"/>
      <x:c r="S130" s="48" t="str">
        <x:v>是</x:v>
      </x:c>
      <x:c r="T130" s="48" t="str">
        <x:v>原综合排放标准问答对拆分而来</x:v>
      </x:c>
      <x:c r="U130" s="48" t="str">
        <x:v>30份环评_污染物排放控制执行标准复核QA(拆分版)</x:v>
      </x:c>
      <x:c r="V130" s="48" t="str">
        <x:v>水污染物排放标准</x:v>
      </x:c>
      <x:c r="W130" s="48" t="str">
        <x:v>存在缺漏</x:v>
      </x:c>
      <x:c r="X130" s="48" t="str">
        <x:v>存在缺漏</x:v>
      </x:c>
      <x:c r="Y130" s="64"/>
      <x:c r="Z130" s="64" t="str">
        <x:v>未复核</x:v>
      </x:c>
      <x:c r="AA130" s="64" t="str">
        <x:v>部分充分</x:v>
      </x:c>
      <x:c r="AB130" s="64" t="str">
        <x:v>有效</x:v>
      </x:c>
      <x:c r="AC130" s="64" t="str">
        <x:v>部分核验</x:v>
      </x:c>
      <x:c r="AD130" s="64" t="str">
        <x:v>自动默认</x:v>
      </x:c>
      <x:c r="AE130" s="64" t="str">
        <x:v>候选池</x:v>
      </x:c>
      <x:c r="AF130" s="64" t="str">
        <x:v>A_仅待终审</x:v>
      </x:c>
      <x:c r="AG130" s="64"/>
      <x:c r="AH130" s="64"/>
      <x:c r="AI130" s="64"/>
      <x:c r="AJ130" s="64"/>
      <x:c r="AK130" s="64"/>
      <x:c r="AL130" s="64"/>
      <x:c r="AM130" s="64"/>
      <x:c r="AN130" s="48" t="str">
        <x:v>130</x:v>
      </x:c>
      <x:c r="AO130" s="48" t="str">
        <x:v>MAP_存在缺漏</x:v>
      </x:c>
      <x:c r="AP130" s="48" t="str">
        <x:v>存在报告证据，但尚未经人工逐项核验；已列依据来源，但未在本阶段逐条核验</x:v>
      </x:c>
      <x:c r="AQ130" s="64"/>
      <x:c r="AR130" s="48" t="str">
        <x:v>water_emission_standard</x:v>
      </x:c>
      <x:c r="AS130" s="48" t="str">
        <x:v>L3_analysis</x:v>
      </x:c>
      <x:c r="AT130" s="48" t="str">
        <x:v>rule_applicability</x:v>
      </x:c>
      <x:c r="AU130" s="48" t="str">
        <x:v>basis_grounding</x:v>
      </x:c>
      <x:c r="AV130" s="48" t="str">
        <x:v>report_grounding；procedural_reasoning</x:v>
      </x:c>
      <x:c r="AW130" s="48" t="str">
        <x:v>high</x:v>
      </x:c>
      <x:c r="AX130" s="48" t="str">
        <x:v>high</x:v>
      </x:c>
      <x:c r="AY130" s="48" t="str">
        <x:v>report_plus_external</x:v>
      </x:c>
      <x:c r="AZ130" s="48" t="str">
        <x:v>True</x:v>
      </x:c>
      <x:c r="BA130" s="48"/>
      <x:c r="BB130" s="48" t="str">
        <x:v>auto_default</x:v>
      </x:c>
      <x:c r="BC130" s="48" t="str">
        <x:v>v1</x:v>
      </x:c>
      <x:c r="BD130" s="68"/>
    </x:row>
    <x:row r="131" ht="36" customHeight="1">
      <x:c r="A131" s="47" t="str">
        <x:v>2026-07-27</x:v>
      </x:c>
      <x:c r="B131" s="48" t="str">
        <x:v>PL025</x:v>
      </x:c>
      <x:c r="C131" s="48" t="str">
        <x:v>V01</x:v>
      </x:c>
      <x:c r="D131" s="48" t="str">
        <x:v>PL025_佛山市巨人电器有限公司新建项目_01_受理公告或公示版.pdf</x:v>
      </x:c>
      <x:c r="E131" s="48" t="str">
        <x:v>佛山市巨人电器有限公司新建项目</x:v>
      </x:c>
      <x:c r="F131" s="48" t="str">
        <x:v>PL025_Emission_大气</x:v>
      </x:c>
      <x:c r="G131" s="48" t="str">
        <x:v>污染物排放标准-大气污染物排放标准</x:v>
      </x:c>
      <x:c r="H131" s="48" t="str">
        <x:v>请根据项目行业类别、生产工艺和污染因子，判断大气污染物排放标准选取是否合理。要求分析：污染源覆盖是否完整（列出所有大气污染源及对应标准），是否存在缺漏的污染源或标准。</x:v>
      </x:c>
      <x:c r="I131" s="48" t="str">
        <x:v>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x:v>
      </x:c>
      <x:c r="J131" s="48" t="str">
        <x:v>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x:v>
      </x:c>
      <x:c r="K131" s="48" t="str">
        <x:v>emission-standard-kb.jsonl; DB44/26-2001; DB44/2367-2022; GB31572-2015; GB14554-93; GB12348-2008; GB18597-2023; GB18599-2020</x:v>
      </x:c>
      <x:c r="L131" s="48" t="str">
        <x:v>2</x:v>
      </x:c>
      <x:c r="M131" s="48" t="str">
        <x:v>2</x:v>
      </x:c>
      <x:c r="N131" s="48" t="str">
        <x:v>False</x:v>
      </x:c>
      <x:c r="O131" s="48" t="str">
        <x:v>存在缺漏</x:v>
      </x:c>
      <x:c r="P131"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131" s="48"/>
      <x:c r="R131" s="48"/>
      <x:c r="S131" s="48" t="str">
        <x:v>是</x:v>
      </x:c>
      <x:c r="T131" s="48" t="str">
        <x:v>原综合排放标准问答对拆分而来</x:v>
      </x:c>
      <x:c r="U131" s="48" t="str">
        <x:v>30份环评_污染物排放控制执行标准复核QA(拆分版)</x:v>
      </x:c>
      <x:c r="V131" s="48" t="str">
        <x:v>大气污染物排放标准</x:v>
      </x:c>
      <x:c r="W131" s="48" t="str">
        <x:v>存在缺漏</x:v>
      </x:c>
      <x:c r="X131" s="48" t="str">
        <x:v>存在缺漏</x:v>
      </x:c>
      <x:c r="Y131" s="64"/>
      <x:c r="Z131" s="64" t="str">
        <x:v>未复核</x:v>
      </x:c>
      <x:c r="AA131" s="64" t="str">
        <x:v>部分充分</x:v>
      </x:c>
      <x:c r="AB131" s="64" t="str">
        <x:v>有效</x:v>
      </x:c>
      <x:c r="AC131" s="64" t="str">
        <x:v>部分核验</x:v>
      </x:c>
      <x:c r="AD131" s="64" t="str">
        <x:v>自动默认</x:v>
      </x:c>
      <x:c r="AE131" s="64" t="str">
        <x:v>候选池</x:v>
      </x:c>
      <x:c r="AF131" s="64" t="str">
        <x:v>A_仅待终审</x:v>
      </x:c>
      <x:c r="AG131" s="64"/>
      <x:c r="AH131" s="64"/>
      <x:c r="AI131" s="64"/>
      <x:c r="AJ131" s="64"/>
      <x:c r="AK131" s="64"/>
      <x:c r="AL131" s="64"/>
      <x:c r="AM131" s="64"/>
      <x:c r="AN131" s="48" t="str">
        <x:v>131</x:v>
      </x:c>
      <x:c r="AO131" s="48" t="str">
        <x:v>MAP_存在缺漏</x:v>
      </x:c>
      <x:c r="AP131" s="48" t="str">
        <x:v>存在报告证据，但尚未经人工逐项核验；已列依据来源，但未在本阶段逐条核验</x:v>
      </x:c>
      <x:c r="AQ131" s="64"/>
      <x:c r="AR131" s="48" t="str">
        <x:v>air_emission_standard</x:v>
      </x:c>
      <x:c r="AS131" s="48" t="str">
        <x:v>L3_analysis</x:v>
      </x:c>
      <x:c r="AT131" s="48" t="str">
        <x:v>multi_evidence_synthesis</x:v>
      </x:c>
      <x:c r="AU131" s="48" t="str">
        <x:v>basis_grounding</x:v>
      </x:c>
      <x:c r="AV131" s="48" t="str">
        <x:v>report_grounding；evidence_integration</x:v>
      </x:c>
      <x:c r="AW131" s="48" t="str">
        <x:v>high</x:v>
      </x:c>
      <x:c r="AX131" s="48" t="str">
        <x:v>high</x:v>
      </x:c>
      <x:c r="AY131" s="48" t="str">
        <x:v>report_plus_external</x:v>
      </x:c>
      <x:c r="AZ131" s="48" t="str">
        <x:v>True</x:v>
      </x:c>
      <x:c r="BA131" s="48"/>
      <x:c r="BB131" s="48" t="str">
        <x:v>auto_default</x:v>
      </x:c>
      <x:c r="BC131" s="48" t="str">
        <x:v>v1</x:v>
      </x:c>
      <x:c r="BD131" s="68"/>
    </x:row>
    <x:row r="132" ht="36" customHeight="1">
      <x:c r="A132" s="47" t="str">
        <x:v>2026-07-27</x:v>
      </x:c>
      <x:c r="B132" s="48" t="str">
        <x:v>PL025</x:v>
      </x:c>
      <x:c r="C132" s="48" t="str">
        <x:v>V01</x:v>
      </x:c>
      <x:c r="D132" s="48" t="str">
        <x:v>PL025_佛山市巨人电器有限公司新建项目_01_受理公告或公示版.pdf</x:v>
      </x:c>
      <x:c r="E132" s="48" t="str">
        <x:v>佛山市巨人电器有限公司新建项目</x:v>
      </x:c>
      <x:c r="F132" s="48" t="str">
        <x:v>PL025_Emission_噪声</x:v>
      </x:c>
      <x:c r="G132" s="48" t="str">
        <x:v>污染物排放标准-噪声排放标准</x:v>
      </x:c>
      <x:c r="H132" s="48" t="str">
        <x:v>请根据项目所属声环境功能区类别，判断噪声排放标准选取是否合理。要求总结声功能区类型、厂界执行标准（GB12348-2008）及昼夜限值，并与环评编制内容进行一致性分析。</x:v>
      </x:c>
      <x:c r="I132" s="48" t="str">
        <x:v>1、噪声排放标准中执行标准与排放限值内容：存在缺漏；
2、存在缺漏。提取文本中未发现噪声排放标准章节，未引用GB12348-2008，未给出声功能区类别及昼夜限值。
4、</x:v>
      </x:c>
      <x:c r="J132" s="48" t="str">
        <x:v>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x:v>
      </x:c>
      <x:c r="K132" s="48" t="str">
        <x:v>emission-standard-kb.jsonl; DB44/26-2001; DB44/2367-2022; GB31572-2015; GB14554-93; GB12348-2008; GB18597-2023; GB18599-2020</x:v>
      </x:c>
      <x:c r="L132" s="48" t="str">
        <x:v>2</x:v>
      </x:c>
      <x:c r="M132" s="48" t="str">
        <x:v>2</x:v>
      </x:c>
      <x:c r="N132" s="48" t="str">
        <x:v>False</x:v>
      </x:c>
      <x:c r="O132" s="48" t="str">
        <x:v>存在缺漏</x:v>
      </x:c>
      <x:c r="P132"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132" s="48"/>
      <x:c r="R132" s="48"/>
      <x:c r="S132" s="48" t="str">
        <x:v>是</x:v>
      </x:c>
      <x:c r="T132" s="48" t="str">
        <x:v>原综合排放标准问答对拆分而来</x:v>
      </x:c>
      <x:c r="U132" s="48" t="str">
        <x:v>30份环评_污染物排放控制执行标准复核QA(拆分版)</x:v>
      </x:c>
      <x:c r="V132" s="48" t="str">
        <x:v>噪声排放标准</x:v>
      </x:c>
      <x:c r="W132" s="48" t="str">
        <x:v>存在缺漏</x:v>
      </x:c>
      <x:c r="X132" s="48" t="str">
        <x:v>存在缺漏</x:v>
      </x:c>
      <x:c r="Y132" s="64"/>
      <x:c r="Z132" s="64" t="str">
        <x:v>未复核</x:v>
      </x:c>
      <x:c r="AA132" s="64" t="str">
        <x:v>部分充分</x:v>
      </x:c>
      <x:c r="AB132" s="64" t="str">
        <x:v>有效</x:v>
      </x:c>
      <x:c r="AC132" s="64" t="str">
        <x:v>部分核验</x:v>
      </x:c>
      <x:c r="AD132" s="64" t="str">
        <x:v>自动默认</x:v>
      </x:c>
      <x:c r="AE132" s="64" t="str">
        <x:v>候选池</x:v>
      </x:c>
      <x:c r="AF132" s="64" t="str">
        <x:v>A_仅待终审</x:v>
      </x:c>
      <x:c r="AG132" s="64"/>
      <x:c r="AH132" s="64"/>
      <x:c r="AI132" s="64"/>
      <x:c r="AJ132" s="64"/>
      <x:c r="AK132" s="64"/>
      <x:c r="AL132" s="64"/>
      <x:c r="AM132" s="64"/>
      <x:c r="AN132" s="48" t="str">
        <x:v>132</x:v>
      </x:c>
      <x:c r="AO132" s="48" t="str">
        <x:v>MAP_存在缺漏</x:v>
      </x:c>
      <x:c r="AP132" s="48" t="str">
        <x:v>存在报告证据，但尚未经人工逐项核验；已列依据来源，但未在本阶段逐条核验</x:v>
      </x:c>
      <x:c r="AQ132" s="64"/>
      <x:c r="AR132" s="48" t="str">
        <x:v>noise_emission_standard</x:v>
      </x:c>
      <x:c r="AS132" s="48" t="str">
        <x:v>L2_application</x:v>
      </x:c>
      <x:c r="AT132" s="48" t="str">
        <x:v>rule_applicability</x:v>
      </x:c>
      <x:c r="AU132" s="48" t="str">
        <x:v>basis_grounding</x:v>
      </x:c>
      <x:c r="AV132" s="48" t="str">
        <x:v>report_grounding</x:v>
      </x:c>
      <x:c r="AW132" s="48" t="str">
        <x:v>high</x:v>
      </x:c>
      <x:c r="AX132" s="48" t="str">
        <x:v>medium</x:v>
      </x:c>
      <x:c r="AY132" s="48" t="str">
        <x:v>report_plus_external</x:v>
      </x:c>
      <x:c r="AZ132" s="48" t="str">
        <x:v>True</x:v>
      </x:c>
      <x:c r="BA132" s="48"/>
      <x:c r="BB132" s="48" t="str">
        <x:v>auto_default</x:v>
      </x:c>
      <x:c r="BC132" s="48" t="str">
        <x:v>v1</x:v>
      </x:c>
      <x:c r="BD132" s="68"/>
    </x:row>
    <x:row r="133" ht="36" customHeight="1">
      <x:c r="A133" s="47" t="str">
        <x:v>2026-07-27</x:v>
      </x:c>
      <x:c r="B133" s="48" t="str">
        <x:v>PL025</x:v>
      </x:c>
      <x:c r="C133" s="48" t="str">
        <x:v>V01</x:v>
      </x:c>
      <x:c r="D133" s="48" t="str">
        <x:v>PL025_佛山市巨人电器有限公司新建项目_01_受理公告或公示版.pdf</x:v>
      </x:c>
      <x:c r="E133" s="48" t="str">
        <x:v>佛山市巨人电器有限公司新建项目</x:v>
      </x:c>
      <x:c r="F133" s="48" t="str">
        <x:v>PL025_Emission_固体</x:v>
      </x:c>
      <x:c r="G133" s="48" t="str">
        <x:v>污染物排放标准-固体废物控制标准</x:v>
      </x:c>
      <x:c r="H133" s="48" t="str">
        <x:v>请根据项目产生的固体废物和危险废物类型，判断固体废物控制标准选取是否合理。要求总结一般工业固体废物和危险废物执行标准的标准名称及编号，分析是否缺少必要标准条目。</x:v>
      </x:c>
      <x:c r="I133"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33" s="48" t="str">
        <x:v>固体废物："一般工业固废间位于厂房一层，面积约5m²，一般工业固废由专业回收公司回收处理。""危险废物暂存危废间位于厂房一层，面积约5m²，定期交由相关资质单位进行处理。"未引用具体标准。</x:v>
      </x:c>
      <x:c r="K133" s="48" t="str">
        <x:v>emission-standard-kb.jsonl; DB44/26-2001; DB44/2367-2022; GB31572-2015; GB14554-93; GB12348-2008; GB18597-2023; GB18599-2020</x:v>
      </x:c>
      <x:c r="L133" s="48" t="str">
        <x:v>2</x:v>
      </x:c>
      <x:c r="M133" s="48" t="str">
        <x:v>2</x:v>
      </x:c>
      <x:c r="N133" s="48" t="str">
        <x:v>False</x:v>
      </x:c>
      <x:c r="O133" s="48" t="str">
        <x:v>无误</x:v>
      </x:c>
      <x:c r="P133"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133" s="48"/>
      <x:c r="R133" s="48"/>
      <x:c r="S133" s="48" t="str">
        <x:v>否</x:v>
      </x:c>
      <x:c r="T133" s="48" t="str">
        <x:v>修正：GB18599-2020不在知识库必须满足的标准清单中，原判定依据已更正。原综合排放标准问答对拆分而来</x:v>
      </x:c>
      <x:c r="U133" s="48" t="str">
        <x:v>30份环评_污染物排放控制执行标准复核QA(拆分版)</x:v>
      </x:c>
      <x:c r="V133" s="48" t="str">
        <x:v>固体废物控制标准</x:v>
      </x:c>
      <x:c r="W133" s="48" t="str">
        <x:v>无误</x:v>
      </x:c>
      <x:c r="X133" s="48" t="str">
        <x:v>无误</x:v>
      </x:c>
      <x:c r="Y133" s="64"/>
      <x:c r="Z133" s="64" t="str">
        <x:v>未复核</x:v>
      </x:c>
      <x:c r="AA133" s="64" t="str">
        <x:v>部分充分</x:v>
      </x:c>
      <x:c r="AB133" s="64" t="str">
        <x:v>有效</x:v>
      </x:c>
      <x:c r="AC133" s="64" t="str">
        <x:v>部分核验</x:v>
      </x:c>
      <x:c r="AD133" s="64" t="str">
        <x:v>自动默认</x:v>
      </x:c>
      <x:c r="AE133" s="64" t="str">
        <x:v>候选池</x:v>
      </x:c>
      <x:c r="AF133" s="64" t="str">
        <x:v>待分流</x:v>
      </x:c>
      <x:c r="AG133" s="64"/>
      <x:c r="AH133" s="64"/>
      <x:c r="AI133" s="64"/>
      <x:c r="AJ133" s="64"/>
      <x:c r="AK133" s="64"/>
      <x:c r="AL133" s="64"/>
      <x:c r="AM133" s="64"/>
      <x:c r="AN133" s="48" t="str">
        <x:v>133</x:v>
      </x:c>
      <x:c r="AO133" s="48" t="str">
        <x:v>MAP_无误</x:v>
      </x:c>
      <x:c r="AP133" s="48" t="str">
        <x:v>存在报告证据，但尚未经人工逐项核验；已列依据来源，但未在本阶段逐条核验</x:v>
      </x:c>
      <x:c r="AQ133" s="64"/>
      <x:c r="AR133" s="48" t="str">
        <x:v>solid_waste_standard</x:v>
      </x:c>
      <x:c r="AS133" s="48" t="str">
        <x:v>L2_application</x:v>
      </x:c>
      <x:c r="AT133" s="48" t="str">
        <x:v>rule_applicability</x:v>
      </x:c>
      <x:c r="AU133" s="48" t="str">
        <x:v>basis_grounding</x:v>
      </x:c>
      <x:c r="AV133" s="48" t="str">
        <x:v>report_grounding</x:v>
      </x:c>
      <x:c r="AW133" s="48" t="str">
        <x:v>high</x:v>
      </x:c>
      <x:c r="AX133" s="48" t="str">
        <x:v>medium</x:v>
      </x:c>
      <x:c r="AY133" s="48" t="str">
        <x:v>report_plus_external</x:v>
      </x:c>
      <x:c r="AZ133" s="48" t="str">
        <x:v>True</x:v>
      </x:c>
      <x:c r="BA133" s="48"/>
      <x:c r="BB133" s="48" t="str">
        <x:v>auto_default</x:v>
      </x:c>
      <x:c r="BC133" s="48" t="str">
        <x:v>v1</x:v>
      </x:c>
      <x:c r="BD133" s="68"/>
    </x:row>
    <x:row r="134" ht="36" customHeight="1">
      <x:c r="A134" s="47" t="str">
        <x:v>2026-06-25</x:v>
      </x:c>
      <x:c r="B134" s="48" t="str">
        <x:v>PL026</x:v>
      </x:c>
      <x:c r="C134" s="48" t="str">
        <x:v>V01</x:v>
      </x:c>
      <x:c r="D134" s="48" t="str">
        <x:v>年10月22日建设项目环境影响报告表受理公告（容桂）_2.pdf</x:v>
      </x:c>
      <x:c r="E134" s="48" t="str">
        <x:v>佛山市黑曜电器科技有限公司新建项目</x:v>
      </x:c>
      <x:c r="F134" s="48" t="str">
        <x:v>PL026_V01_Q01</x:v>
      </x:c>
      <x:c r="G134" s="48" t="str">
        <x:v>1. 塑胶行业样本筛选与国民经济行业分类</x:v>
      </x:c>
      <x:c r="H134" s="48" t="str">
        <x:v>请结合项目产品、原辅材料和生产工艺，判断该报告行业类别是否基本合理。</x:v>
      </x:c>
      <x:c r="I134" s="48" t="str">
        <x:v>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x:v>
      </x:c>
      <x:c r="J134" s="48"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134" s="48" t="str">
        <x:v>《国民经济行业分类》(GB/T 4754—2017)；本任务C292筛选及C17/C18排除规则</x:v>
      </x:c>
      <x:c r="L134" s="48" t="str">
        <x:v>结合本项目行业代码、建设性质、工艺关键词及PDF证据生成，非脱离项目的通用题。</x:v>
      </x:c>
      <x:c r="M134" s="48" t="str">
        <x:v>可依据对应PDF原文、工程分析表格及所列法规标准逐项复核。</x:v>
      </x:c>
      <x:c r="N134" s="48" t="str">
        <x:v>True</x:v>
      </x:c>
      <x:c r="O134" s="48"/>
      <x:c r="P134" s="48"/>
      <x:c r="Q134" s="48"/>
      <x:c r="R134" s="48" t="str">
        <x:v>新增</x:v>
      </x:c>
      <x:c r="S134" s="48" t="str">
        <x:v>是</x:v>
      </x:c>
      <x:c r="T134" s="48" t="str">
        <x:v>自动生成；需人工复核项目参数、公式取值、标准适用范围及PDF文字提取完整性。</x:v>
      </x:c>
      <x:c r="U134" s="48" t="str">
        <x:v>seed_qa_塑胶行业筛选版_30个国民经济行业分类的人工标记</x:v>
      </x:c>
      <x:c r="V134" s="48" t="str">
        <x:v>国民经济行业分类</x:v>
      </x:c>
      <x:c r="W134" s="48"/>
      <x:c r="X134" s="48" t="str">
        <x:v>待判断</x:v>
      </x:c>
      <x:c r="Y134" s="64"/>
      <x:c r="Z134" s="64" t="str">
        <x:v>未复核</x:v>
      </x:c>
      <x:c r="AA134" s="64" t="str">
        <x:v>部分充分</x:v>
      </x:c>
      <x:c r="AB134" s="64" t="str">
        <x:v>待判断</x:v>
      </x:c>
      <x:c r="AC134" s="64" t="str">
        <x:v>部分核验</x:v>
      </x:c>
      <x:c r="AD134" s="64" t="str">
        <x:v>自动默认</x:v>
      </x:c>
      <x:c r="AE134" s="64" t="str">
        <x:v>候选池</x:v>
      </x:c>
      <x:c r="AF134" s="64" t="str">
        <x:v>C_题目或材料问题</x:v>
      </x:c>
      <x:c r="AG134" s="64"/>
      <x:c r="AH134" s="64"/>
      <x:c r="AI134" s="64"/>
      <x:c r="AJ134" s="64"/>
      <x:c r="AK134" s="64"/>
      <x:c r="AL134" s="64"/>
      <x:c r="AM134" s="64"/>
      <x:c r="AN134" s="48" t="str">
        <x:v>134</x:v>
      </x:c>
      <x:c r="AO134" s="48" t="str">
        <x:v>MAP_BLANK</x:v>
      </x:c>
      <x:c r="AP134" s="48" t="str">
        <x:v>人工判断为空：不得自动补填结论；人工判断为空；结构完整但原因需人工确认；存在报告证据，但尚未经人工逐项核验；已列依据来源，但未在本阶段逐条核验</x:v>
      </x:c>
      <x:c r="AQ134" s="64"/>
      <x:c r="AR134" s="48" t="str">
        <x:v>industry_classification</x:v>
      </x:c>
      <x:c r="AS134" s="48" t="str">
        <x:v>L3_analysis</x:v>
      </x:c>
      <x:c r="AT134" s="48" t="str">
        <x:v>multi_evidence_synthesis</x:v>
      </x:c>
      <x:c r="AU134" s="48" t="str">
        <x:v>evidence_integration</x:v>
      </x:c>
      <x:c r="AV134" s="48" t="str">
        <x:v>report_grounding；basis_grounding</x:v>
      </x:c>
      <x:c r="AW134" s="48" t="str">
        <x:v>high</x:v>
      </x:c>
      <x:c r="AX134" s="48" t="str">
        <x:v>high</x:v>
      </x:c>
      <x:c r="AY134" s="48" t="str">
        <x:v>cross_section</x:v>
      </x:c>
      <x:c r="AZ134" s="48" t="str">
        <x:v>True</x:v>
      </x:c>
      <x:c r="BA134" s="48"/>
      <x:c r="BB134" s="48" t="str">
        <x:v>auto_default</x:v>
      </x:c>
      <x:c r="BC134" s="48" t="str">
        <x:v>v1</x:v>
      </x:c>
      <x:c r="BD134" s="68"/>
    </x:row>
    <x:row r="135" ht="36" customHeight="1">
      <x:c r="A135" s="47" t="str">
        <x:v>2026-07-24</x:v>
      </x:c>
      <x:c r="B135" s="48" t="str">
        <x:v>PL026</x:v>
      </x:c>
      <x:c r="C135" s="48" t="str">
        <x:v>V01</x:v>
      </x:c>
      <x:c r="D135" s="48" t="str">
        <x:v>PL026_佛山市黑曜电器科技有限公司新建项目</x:v>
      </x:c>
      <x:c r="E135" s="48" t="str">
        <x:v>佛山市黑曜电器科技有限公司新建项目</x:v>
      </x:c>
      <x:c r="F135" s="48" t="str">
        <x:v>PL026_V01_Q03</x:v>
      </x:c>
      <x:c r="G135" s="48" t="str">
        <x:v>环评投资核算</x:v>
      </x:c>
      <x:c r="H135" s="48" t="str">
        <x:v>请根据报告中的总投资、环保投资和环保工程投资明细，判断环保投资核算是否前后一致、比例是否正确。</x:v>
      </x:c>
      <x:c r="I135" s="48" t="str">
        <x:v>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x:v>
      </x:c>
      <x:c r="J135" s="48" t="str">
        <x:v>一、建设项目基本情况：总投资30万元、环保投资10万元、占比33.3%。来源：解析文本拼接_02_021-040(3).md</x:v>
      </x:c>
      <x:c r="K135" s="48" t="str">
        <x:v>报告原文-环保投资明细表</x:v>
      </x:c>
      <x:c r="L135" s="48" t="str">
        <x:v>2</x:v>
      </x:c>
      <x:c r="M135" s="48" t="str">
        <x:v>2</x:v>
      </x:c>
      <x:c r="N135" s="48" t="str">
        <x:v>False</x:v>
      </x:c>
      <x:c r="O135" s="48" t="str">
        <x:v>需复核</x:v>
      </x:c>
      <x:c r="P135" s="48"/>
      <x:c r="Q135" s="48"/>
      <x:c r="R135" s="48"/>
      <x:c r="S135" s="48" t="str">
        <x:v>是</x:v>
      </x:c>
      <x:c r="T135" s="48"/>
      <x:c r="U135" s="48" t="str">
        <x:v>30个PL_环评投资核算QA</x:v>
      </x:c>
      <x:c r="V135" s="48" t="str">
        <x:v>环评投资概算</x:v>
      </x:c>
      <x:c r="W135" s="48" t="str">
        <x:v>需复核</x:v>
      </x:c>
      <x:c r="X135" s="48" t="str">
        <x:v>证据不足</x:v>
      </x:c>
      <x:c r="Y135" s="64"/>
      <x:c r="Z135" s="64" t="str">
        <x:v>未复核</x:v>
      </x:c>
      <x:c r="AA135" s="64" t="str">
        <x:v>不足</x:v>
      </x:c>
      <x:c r="AB135" s="64" t="str">
        <x:v>有效</x:v>
      </x:c>
      <x:c r="AC135" s="64" t="str">
        <x:v>不需要外部依据</x:v>
      </x:c>
      <x:c r="AD135" s="64" t="str">
        <x:v>自动默认</x:v>
      </x:c>
      <x:c r="AE135" s="64" t="str">
        <x:v>候选池</x:v>
      </x:c>
      <x:c r="AF135" s="64" t="str">
        <x:v>B_证据不足</x:v>
      </x:c>
      <x:c r="AG135" s="64"/>
      <x:c r="AH135" s="64"/>
      <x:c r="AI135" s="64"/>
      <x:c r="AJ135" s="64"/>
      <x:c r="AK135" s="64"/>
      <x:c r="AL135" s="64"/>
      <x:c r="AM135" s="64"/>
      <x:c r="AN135" s="48" t="str">
        <x:v>135</x:v>
      </x:c>
      <x:c r="AO135" s="48" t="str">
        <x:v>MAP_需复核+EVIDENCE_INSUFFICIENCY_SIGNAL</x:v>
      </x:c>
      <x:c r="AP135" s="48" t="str">
        <x:v>原结论明确要求人工复核；命中证据不足候选词：未检索到、无法核对；投资复核主要依据报告内金额与算式</x:v>
      </x:c>
      <x:c r="AQ135" s="64"/>
      <x:c r="AR135" s="48" t="str">
        <x:v>environmental_investment</x:v>
      </x:c>
      <x:c r="AS135" s="48" t="str">
        <x:v>L2_application</x:v>
      </x:c>
      <x:c r="AT135" s="48" t="str">
        <x:v>quantitative_verification</x:v>
      </x:c>
      <x:c r="AU135" s="48" t="str">
        <x:v>numerical_accuracy</x:v>
      </x:c>
      <x:c r="AV135" s="48" t="str">
        <x:v>report_grounding；procedural_reasoning</x:v>
      </x:c>
      <x:c r="AW135" s="48" t="str">
        <x:v>low</x:v>
      </x:c>
      <x:c r="AX135" s="48" t="str">
        <x:v>medium</x:v>
      </x:c>
      <x:c r="AY135" s="48" t="str">
        <x:v>cross_section</x:v>
      </x:c>
      <x:c r="AZ135" s="48" t="str">
        <x:v>True</x:v>
      </x:c>
      <x:c r="BA135" s="48"/>
      <x:c r="BB135" s="48" t="str">
        <x:v>auto_default</x:v>
      </x:c>
      <x:c r="BC135" s="48" t="str">
        <x:v>v1</x:v>
      </x:c>
      <x:c r="BD135" s="68"/>
    </x:row>
    <x:row r="136" ht="36" customHeight="1">
      <x:c r="A136" s="47" t="str">
        <x:v>2026-07-28</x:v>
      </x:c>
      <x:c r="B136" s="48" t="str">
        <x:v>PL026</x:v>
      </x:c>
      <x:c r="C136" s="48" t="str">
        <x:v>V01</x:v>
      </x:c>
      <x:c r="D136" s="48" t="str">
        <x:v>PL026_佛山市黑曜电器科技有限公司新建项目_01_报批稿或报告表.pdf</x:v>
      </x:c>
      <x:c r="E136" s="48" t="str">
        <x:v>佛山市黑曜电器科技有限公司新建项目</x:v>
      </x:c>
      <x:c r="F136" s="48" t="str">
        <x:v>PL026_EnvQuality_Q01</x:v>
      </x:c>
      <x:c r="G136" s="48" t="str">
        <x:v>大气及地表水环境质量现状数据引用</x:v>
      </x:c>
      <x:c r="H136" s="48" t="str">
        <x:v>请根据报告引用的环境质量公报及现状数据，判断大气和地表水环境质量现状数据引用是否准确。</x:v>
      </x:c>
      <x:c r="I136" s="48" t="str">
        <x:v>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x:v>
      </x:c>
      <x:c r="J136" s="48" t="str">
        <x:v>证据位置:大气：Page 33-34；地表水：Page 34; 大气公报:《2023年度佛山市顺德区生态环境状况公报》; 地表水资料:《2023年度佛山市顺德区生态环境状况公报》</x:v>
      </x:c>
      <x:c r="K136" s="48" t="str">
        <x:v>生态环境状况公报知识库; 收纳水体地表水执行标准</x:v>
      </x:c>
      <x:c r="L136" s="48" t="str">
        <x:v>2</x:v>
      </x:c>
      <x:c r="M136" s="48" t="str">
        <x:v>2</x:v>
      </x:c>
      <x:c r="N136" s="48" t="str">
        <x:v>False</x:v>
      </x:c>
      <x:c r="O136" s="48" t="str">
        <x:v>需修正</x:v>
      </x:c>
      <x:c r="P136" s="48" t="str">
        <x:v>大气:正确; 地表水:不正确; 报告日期:未明确</x:v>
      </x:c>
      <x:c r="Q136" s="48"/>
      <x:c r="R136" s="48"/>
      <x:c r="S136" s="48" t="str">
        <x:v>是</x:v>
      </x:c>
      <x:c r="T136" s="48" t="str">
        <x:v>桂洲水道对应断面：细滘大桥为鸡鸦水道断面（Ⅱ类），非桂洲(州)水道断面；桂州水道对应断面为南头大桥（Ⅱ类）。报告河流-断面张冠李戴（公报P5-7）。</x:v>
      </x:c>
      <x:c r="U136" s="48" t="str">
        <x:v>30个环评_大气及地表水环境质量现状数据引用复核QA</x:v>
      </x:c>
      <x:c r="V136" s="48" t="str">
        <x:v>环境质量数据引用</x:v>
      </x:c>
      <x:c r="W136" s="48" t="str">
        <x:v>需修正</x:v>
      </x:c>
      <x:c r="X136" s="48" t="str">
        <x:v>待判断</x:v>
      </x:c>
      <x:c r="Y136" s="64"/>
      <x:c r="Z136" s="64" t="str">
        <x:v>未复核</x:v>
      </x:c>
      <x:c r="AA136" s="64" t="str">
        <x:v>部分充分</x:v>
      </x:c>
      <x:c r="AB136" s="64" t="str">
        <x:v>有效</x:v>
      </x:c>
      <x:c r="AC136" s="64" t="str">
        <x:v>部分核验</x:v>
      </x:c>
      <x:c r="AD136" s="64" t="str">
        <x:v>自动默认</x:v>
      </x:c>
      <x:c r="AE136" s="64" t="str">
        <x:v>候选池</x:v>
      </x:c>
      <x:c r="AF136" s="64" t="str">
        <x:v>A_仅待终审</x:v>
      </x:c>
      <x:c r="AG136" s="64"/>
      <x:c r="AH136" s="64"/>
      <x:c r="AI136" s="64"/>
      <x:c r="AJ136" s="64"/>
      <x:c r="AK136" s="64"/>
      <x:c r="AL136" s="64"/>
      <x:c r="AM136" s="64"/>
      <x:c r="AN136" s="48" t="str">
        <x:v>136</x:v>
      </x:c>
      <x:c r="AO136" s="48" t="str">
        <x:v>MAP_需修正</x:v>
      </x:c>
      <x:c r="AP136" s="48" t="str">
        <x:v>需人工区分实质问题或表达优化；存在报告证据，但尚未经人工逐项核验；已列依据来源，但未在本阶段逐条核验</x:v>
      </x:c>
      <x:c r="AQ136" s="64"/>
      <x:c r="AR136" s="48" t="str">
        <x:v>environmental_quality_data</x:v>
      </x:c>
      <x:c r="AS136" s="48" t="str">
        <x:v>L3_analysis</x:v>
      </x:c>
      <x:c r="AT136" s="48" t="str">
        <x:v>consistency_comparison</x:v>
      </x:c>
      <x:c r="AU136" s="48" t="str">
        <x:v>evidence_integration</x:v>
      </x:c>
      <x:c r="AV136" s="48" t="str">
        <x:v>report_grounding；basis_grounding</x:v>
      </x:c>
      <x:c r="AW136" s="48" t="str">
        <x:v>high</x:v>
      </x:c>
      <x:c r="AX136" s="48" t="str">
        <x:v>high</x:v>
      </x:c>
      <x:c r="AY136" s="48" t="str">
        <x:v>report_plus_external</x:v>
      </x:c>
      <x:c r="AZ136" s="48" t="str">
        <x:v>True</x:v>
      </x:c>
      <x:c r="BA136" s="48"/>
      <x:c r="BB136" s="48" t="str">
        <x:v>auto_default</x:v>
      </x:c>
      <x:c r="BC136" s="48" t="str">
        <x:v>v1</x:v>
      </x:c>
      <x:c r="BD136" s="68"/>
    </x:row>
    <x:row r="137" ht="36" customHeight="1">
      <x:c r="A137" s="47" t="str">
        <x:v>2026-07-27</x:v>
      </x:c>
      <x:c r="B137" s="48" t="str">
        <x:v>PL026</x:v>
      </x:c>
      <x:c r="C137" s="48" t="str">
        <x:v>V01</x:v>
      </x:c>
      <x:c r="D137" s="48" t="str">
        <x:v>PL026_佛山市黑曜电器科技有限公司新建项目_01_报批稿或报告表.pdf</x:v>
      </x:c>
      <x:c r="E137" s="48" t="str">
        <x:v>佛山市黑曜电器科技有限公司新建项目</x:v>
      </x:c>
      <x:c r="F137" s="48" t="str">
        <x:v>PL026_Emission_水污</x:v>
      </x:c>
      <x:c r="G137" s="48" t="str">
        <x:v>污染物排放标准-水污染物排放标准</x:v>
      </x:c>
      <x:c r="H137"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37" s="48" t="str">
        <x:v>1、水污染物排放标准中生活污水排放执行标准：无误；
2、水污染物排放标准结论的过程分析内容：无误。报告编制完整，分别明确了企业排口标准和污水处理厂尾水标准两个层次。企业排口执行DB44/26-2001第二时段三级标准（适用范围为其他排污单位），限值表（表3-3）给出COD≤500mg/L、BOD5≤300mg/L、SS≤400mg/L，与知识库一致。容桂第一污水处理厂尾水执行GB18918-2002一级A标准及DB44/26-2001第二时段一级标准的较严值，尾水排放至桂洲水道，限值表给出COD≤40mg/L、BOD5≤10mg/L、氨氮≤5mg/L、SS≤10mg/L，与知识库一致。水标准编制完整准确。
2、</x:v>
      </x:c>
      <x:c r="J137" s="48" t="str">
        <x:v>1、水："生活污水经三级化粪池预处理达广东省地方标准《水污染物排放限值》（DB44/26-2001）第二时段三级标准（适用范围为其他排污单位）后，由市政污水管网引至容桂第一污水处理厂。""容桂第一污水处理厂尾水排放执行《城镇污水处理厂污染物排放标准》（GB18918-2002）一级A标准及广东省地方标准《水污染物排放限值》（DB44/26-2001）第二时段一级标准的较严值，尾水排放至桂洲水道。"表3-3限值表：企业排口COD≤500、BOD5≤300、SS≤400mg/L；污水厂出水COD≤40、BOD5≤10、氨氮≤5、SS≤10mg/L。</x:v>
      </x:c>
      <x:c r="K137" s="48" t="str">
        <x:v>emission-standard-kb.jsonl; DB44/26-2001; DB44/2367-2022; GB31572-2015; GB14554-93; GB12348-2008; GB18597-2023; GB18599-2020</x:v>
      </x:c>
      <x:c r="L137" s="48" t="str">
        <x:v>2</x:v>
      </x:c>
      <x:c r="M137" s="48" t="str">
        <x:v>2</x:v>
      </x:c>
      <x:c r="N137" s="48" t="str">
        <x:v>False</x:v>
      </x:c>
      <x:c r="O137" s="48" t="str">
        <x:v>无误</x:v>
      </x:c>
      <x:c r="P137"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137" s="48"/>
      <x:c r="R137" s="48"/>
      <x:c r="S137" s="48" t="str">
        <x:v>否</x:v>
      </x:c>
      <x:c r="T137" s="48" t="str">
        <x:v>原综合排放标准问答对拆分而来</x:v>
      </x:c>
      <x:c r="U137" s="48" t="str">
        <x:v>30份环评_污染物排放控制执行标准复核QA(拆分版)</x:v>
      </x:c>
      <x:c r="V137" s="48" t="str">
        <x:v>水污染物排放标准</x:v>
      </x:c>
      <x:c r="W137" s="48" t="str">
        <x:v>无误</x:v>
      </x:c>
      <x:c r="X137" s="48" t="str">
        <x:v>无误</x:v>
      </x:c>
      <x:c r="Y137" s="64"/>
      <x:c r="Z137" s="64" t="str">
        <x:v>未复核</x:v>
      </x:c>
      <x:c r="AA137" s="64" t="str">
        <x:v>部分充分</x:v>
      </x:c>
      <x:c r="AB137" s="64" t="str">
        <x:v>有效</x:v>
      </x:c>
      <x:c r="AC137" s="64" t="str">
        <x:v>部分核验</x:v>
      </x:c>
      <x:c r="AD137" s="64" t="str">
        <x:v>自动默认</x:v>
      </x:c>
      <x:c r="AE137" s="64" t="str">
        <x:v>候选池</x:v>
      </x:c>
      <x:c r="AF137" s="64" t="str">
        <x:v>待分流</x:v>
      </x:c>
      <x:c r="AG137" s="64"/>
      <x:c r="AH137" s="64"/>
      <x:c r="AI137" s="64"/>
      <x:c r="AJ137" s="64"/>
      <x:c r="AK137" s="64"/>
      <x:c r="AL137" s="64"/>
      <x:c r="AM137" s="64"/>
      <x:c r="AN137" s="48" t="str">
        <x:v>137</x:v>
      </x:c>
      <x:c r="AO137" s="48" t="str">
        <x:v>MAP_无误</x:v>
      </x:c>
      <x:c r="AP137" s="48" t="str">
        <x:v>存在报告证据，但尚未经人工逐项核验；已列依据来源，但未在本阶段逐条核验</x:v>
      </x:c>
      <x:c r="AQ137" s="64"/>
      <x:c r="AR137" s="48" t="str">
        <x:v>water_emission_standard</x:v>
      </x:c>
      <x:c r="AS137" s="48" t="str">
        <x:v>L3_analysis</x:v>
      </x:c>
      <x:c r="AT137" s="48" t="str">
        <x:v>rule_applicability</x:v>
      </x:c>
      <x:c r="AU137" s="48" t="str">
        <x:v>basis_grounding</x:v>
      </x:c>
      <x:c r="AV137" s="48" t="str">
        <x:v>report_grounding；procedural_reasoning</x:v>
      </x:c>
      <x:c r="AW137" s="48" t="str">
        <x:v>high</x:v>
      </x:c>
      <x:c r="AX137" s="48" t="str">
        <x:v>high</x:v>
      </x:c>
      <x:c r="AY137" s="48" t="str">
        <x:v>report_plus_external</x:v>
      </x:c>
      <x:c r="AZ137" s="48" t="str">
        <x:v>True</x:v>
      </x:c>
      <x:c r="BA137" s="48"/>
      <x:c r="BB137" s="48" t="str">
        <x:v>auto_default</x:v>
      </x:c>
      <x:c r="BC137" s="48" t="str">
        <x:v>v1</x:v>
      </x:c>
      <x:c r="BD137" s="68"/>
    </x:row>
    <x:row r="138" ht="36" customHeight="1">
      <x:c r="A138" s="47" t="str">
        <x:v>2026-07-27</x:v>
      </x:c>
      <x:c r="B138" s="48" t="str">
        <x:v>PL026</x:v>
      </x:c>
      <x:c r="C138" s="48" t="str">
        <x:v>V01</x:v>
      </x:c>
      <x:c r="D138" s="48" t="str">
        <x:v>PL026_佛山市黑曜电器科技有限公司新建项目_01_报批稿或报告表.pdf</x:v>
      </x:c>
      <x:c r="E138" s="48" t="str">
        <x:v>佛山市黑曜电器科技有限公司新建项目</x:v>
      </x:c>
      <x:c r="F138" s="48" t="str">
        <x:v>PL026_Emission_大气</x:v>
      </x:c>
      <x:c r="G138" s="48" t="str">
        <x:v>污染物排放标准-大气污染物排放标准</x:v>
      </x:c>
      <x:c r="H138" s="48" t="str">
        <x:v>请根据项目行业类别、生产工艺和污染因子，判断大气污染物排放标准选取是否合理。要求分析：污染源覆盖是否完整（列出所有大气污染源及对应标准），是否存在缺漏的污染源或标准。</x:v>
      </x:c>
      <x:c r="I138" s="48" t="str">
        <x:v>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x:v>
      </x:c>
      <x:c r="J138" s="48" t="str">
        <x:v>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x:v>
      </x:c>
      <x:c r="K138" s="48" t="str">
        <x:v>emission-standard-kb.jsonl; DB44/26-2001; DB44/2367-2022; GB31572-2015; GB14554-93; GB12348-2008; GB18597-2023; GB18599-2020</x:v>
      </x:c>
      <x:c r="L138" s="48" t="str">
        <x:v>2</x:v>
      </x:c>
      <x:c r="M138" s="48" t="str">
        <x:v>2</x:v>
      </x:c>
      <x:c r="N138" s="48" t="str">
        <x:v>False</x:v>
      </x:c>
      <x:c r="O138" s="48" t="str">
        <x:v>无误</x:v>
      </x:c>
      <x:c r="P138"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138" s="48"/>
      <x:c r="R138" s="48"/>
      <x:c r="S138" s="48" t="str">
        <x:v>否</x:v>
      </x:c>
      <x:c r="T138" s="48" t="str">
        <x:v>原综合排放标准问答对拆分而来</x:v>
      </x:c>
      <x:c r="U138" s="48" t="str">
        <x:v>30份环评_污染物排放控制执行标准复核QA(拆分版)</x:v>
      </x:c>
      <x:c r="V138" s="48" t="str">
        <x:v>大气污染物排放标准</x:v>
      </x:c>
      <x:c r="W138" s="48" t="str">
        <x:v>无误</x:v>
      </x:c>
      <x:c r="X138" s="48" t="str">
        <x:v>无误</x:v>
      </x:c>
      <x:c r="Y138" s="64"/>
      <x:c r="Z138" s="64" t="str">
        <x:v>未复核</x:v>
      </x:c>
      <x:c r="AA138" s="64" t="str">
        <x:v>部分充分</x:v>
      </x:c>
      <x:c r="AB138" s="64" t="str">
        <x:v>有效</x:v>
      </x:c>
      <x:c r="AC138" s="64" t="str">
        <x:v>部分核验</x:v>
      </x:c>
      <x:c r="AD138" s="64" t="str">
        <x:v>自动默认</x:v>
      </x:c>
      <x:c r="AE138" s="64" t="str">
        <x:v>候选池</x:v>
      </x:c>
      <x:c r="AF138" s="64" t="str">
        <x:v>待分流</x:v>
      </x:c>
      <x:c r="AG138" s="64"/>
      <x:c r="AH138" s="64"/>
      <x:c r="AI138" s="64"/>
      <x:c r="AJ138" s="64"/>
      <x:c r="AK138" s="64"/>
      <x:c r="AL138" s="64"/>
      <x:c r="AM138" s="64"/>
      <x:c r="AN138" s="48" t="str">
        <x:v>138</x:v>
      </x:c>
      <x:c r="AO138" s="48" t="str">
        <x:v>MAP_无误</x:v>
      </x:c>
      <x:c r="AP138" s="48" t="str">
        <x:v>存在报告证据，但尚未经人工逐项核验；已列依据来源，但未在本阶段逐条核验</x:v>
      </x:c>
      <x:c r="AQ138" s="64"/>
      <x:c r="AR138" s="48" t="str">
        <x:v>air_emission_standard</x:v>
      </x:c>
      <x:c r="AS138" s="48" t="str">
        <x:v>L3_analysis</x:v>
      </x:c>
      <x:c r="AT138" s="48" t="str">
        <x:v>multi_evidence_synthesis</x:v>
      </x:c>
      <x:c r="AU138" s="48" t="str">
        <x:v>basis_grounding</x:v>
      </x:c>
      <x:c r="AV138" s="48" t="str">
        <x:v>report_grounding；evidence_integration</x:v>
      </x:c>
      <x:c r="AW138" s="48" t="str">
        <x:v>high</x:v>
      </x:c>
      <x:c r="AX138" s="48" t="str">
        <x:v>high</x:v>
      </x:c>
      <x:c r="AY138" s="48" t="str">
        <x:v>report_plus_external</x:v>
      </x:c>
      <x:c r="AZ138" s="48" t="str">
        <x:v>True</x:v>
      </x:c>
      <x:c r="BA138" s="48"/>
      <x:c r="BB138" s="48" t="str">
        <x:v>auto_default</x:v>
      </x:c>
      <x:c r="BC138" s="48" t="str">
        <x:v>v1</x:v>
      </x:c>
      <x:c r="BD138" s="68"/>
    </x:row>
    <x:row r="139" ht="36" customHeight="1">
      <x:c r="A139" s="47" t="str">
        <x:v>2026-07-27</x:v>
      </x:c>
      <x:c r="B139" s="48" t="str">
        <x:v>PL026</x:v>
      </x:c>
      <x:c r="C139" s="48" t="str">
        <x:v>V01</x:v>
      </x:c>
      <x:c r="D139" s="48" t="str">
        <x:v>PL026_佛山市黑曜电器科技有限公司新建项目_01_报批稿或报告表.pdf</x:v>
      </x:c>
      <x:c r="E139" s="48" t="str">
        <x:v>佛山市黑曜电器科技有限公司新建项目</x:v>
      </x:c>
      <x:c r="F139" s="48" t="str">
        <x:v>PL026_Emission_噪声</x:v>
      </x:c>
      <x:c r="G139" s="48" t="str">
        <x:v>污染物排放标准-噪声排放标准</x:v>
      </x:c>
      <x:c r="H139" s="48" t="str">
        <x:v>请根据项目所属声环境功能区类别，判断噪声排放标准选取是否合理。要求总结声功能区类型、厂界执行标准（GB12348-2008）及昼夜限值，并与环评编制内容进行一致性分析。</x:v>
      </x:c>
      <x:c r="I139" s="48" t="str">
        <x:v>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x:v>
      </x:c>
      <x:c r="J139" s="48" t="str">
        <x:v>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x:v>
      </x:c>
      <x:c r="K139" s="48" t="str">
        <x:v>emission-standard-kb.jsonl; DB44/26-2001; DB44/2367-2022; GB31572-2015; GB14554-93; GB12348-2008; GB18597-2023; GB18599-2020</x:v>
      </x:c>
      <x:c r="L139" s="48" t="str">
        <x:v>2</x:v>
      </x:c>
      <x:c r="M139" s="48" t="str">
        <x:v>2</x:v>
      </x:c>
      <x:c r="N139" s="48" t="str">
        <x:v>False</x:v>
      </x:c>
      <x:c r="O139" s="48" t="str">
        <x:v>存在缺漏</x:v>
      </x:c>
      <x:c r="P139"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139" s="48"/>
      <x:c r="R139" s="48"/>
      <x:c r="S139" s="48" t="str">
        <x:v>是</x:v>
      </x:c>
      <x:c r="T139" s="48" t="str">
        <x:v>原综合排放标准问答对拆分而来</x:v>
      </x:c>
      <x:c r="U139" s="48" t="str">
        <x:v>30份环评_污染物排放控制执行标准复核QA(拆分版)</x:v>
      </x:c>
      <x:c r="V139" s="48" t="str">
        <x:v>噪声排放标准</x:v>
      </x:c>
      <x:c r="W139" s="48" t="str">
        <x:v>存在缺漏</x:v>
      </x:c>
      <x:c r="X139" s="48" t="str">
        <x:v>存在缺漏</x:v>
      </x:c>
      <x:c r="Y139" s="64"/>
      <x:c r="Z139" s="64" t="str">
        <x:v>未复核</x:v>
      </x:c>
      <x:c r="AA139" s="64" t="str">
        <x:v>部分充分</x:v>
      </x:c>
      <x:c r="AB139" s="64" t="str">
        <x:v>有效</x:v>
      </x:c>
      <x:c r="AC139" s="64" t="str">
        <x:v>部分核验</x:v>
      </x:c>
      <x:c r="AD139" s="64" t="str">
        <x:v>自动默认</x:v>
      </x:c>
      <x:c r="AE139" s="64" t="str">
        <x:v>候选池</x:v>
      </x:c>
      <x:c r="AF139" s="64" t="str">
        <x:v>A_仅待终审</x:v>
      </x:c>
      <x:c r="AG139" s="64"/>
      <x:c r="AH139" s="64"/>
      <x:c r="AI139" s="64"/>
      <x:c r="AJ139" s="64"/>
      <x:c r="AK139" s="64"/>
      <x:c r="AL139" s="64"/>
      <x:c r="AM139" s="64"/>
      <x:c r="AN139" s="48" t="str">
        <x:v>139</x:v>
      </x:c>
      <x:c r="AO139" s="48" t="str">
        <x:v>MAP_存在缺漏</x:v>
      </x:c>
      <x:c r="AP139" s="48" t="str">
        <x:v>存在报告证据，但尚未经人工逐项核验；已列依据来源，但未在本阶段逐条核验</x:v>
      </x:c>
      <x:c r="AQ139" s="64"/>
      <x:c r="AR139" s="48" t="str">
        <x:v>noise_emission_standard</x:v>
      </x:c>
      <x:c r="AS139" s="48" t="str">
        <x:v>L2_application</x:v>
      </x:c>
      <x:c r="AT139" s="48" t="str">
        <x:v>rule_applicability</x:v>
      </x:c>
      <x:c r="AU139" s="48" t="str">
        <x:v>basis_grounding</x:v>
      </x:c>
      <x:c r="AV139" s="48" t="str">
        <x:v>report_grounding</x:v>
      </x:c>
      <x:c r="AW139" s="48" t="str">
        <x:v>high</x:v>
      </x:c>
      <x:c r="AX139" s="48" t="str">
        <x:v>medium</x:v>
      </x:c>
      <x:c r="AY139" s="48" t="str">
        <x:v>report_plus_external</x:v>
      </x:c>
      <x:c r="AZ139" s="48" t="str">
        <x:v>True</x:v>
      </x:c>
      <x:c r="BA139" s="48"/>
      <x:c r="BB139" s="48" t="str">
        <x:v>auto_default</x:v>
      </x:c>
      <x:c r="BC139" s="48" t="str">
        <x:v>v1</x:v>
      </x:c>
      <x:c r="BD139" s="68"/>
    </x:row>
    <x:row r="140" ht="36" customHeight="1">
      <x:c r="A140" s="47" t="str">
        <x:v>2026-07-27</x:v>
      </x:c>
      <x:c r="B140" s="48" t="str">
        <x:v>PL026</x:v>
      </x:c>
      <x:c r="C140" s="48" t="str">
        <x:v>V01</x:v>
      </x:c>
      <x:c r="D140" s="48" t="str">
        <x:v>PL026_佛山市黑曜电器科技有限公司新建项目_01_报批稿或报告表.pdf</x:v>
      </x:c>
      <x:c r="E140" s="48" t="str">
        <x:v>佛山市黑曜电器科技有限公司新建项目</x:v>
      </x:c>
      <x:c r="F140" s="48" t="str">
        <x:v>PL026_Emission_固体</x:v>
      </x:c>
      <x:c r="G140" s="48" t="str">
        <x:v>污染物排放标准-固体废物控制标准</x:v>
      </x:c>
      <x:c r="H140" s="48" t="str">
        <x:v>请根据项目产生的固体废物和危险废物类型，判断固体废物控制标准选取是否合理。要求总结一般工业固体废物和危险废物执行标准的标准名称及编号，分析是否缺少必要标准条目。</x:v>
      </x:c>
      <x:c r="I140"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40" s="48" t="str">
        <x:v>固体废物："生活垃圾集中堆放，委托环卫部门及时清运处置；一般工业固废进行统一收集后外售；危险废物经收集后委托有资质单位进行处理，厂区设有一5m²危废仓库，并做好三防处理。"未引用具体标准编号。</x:v>
      </x:c>
      <x:c r="K140" s="48" t="str">
        <x:v>emission-standard-kb.jsonl; DB44/26-2001; DB44/2367-2022; GB31572-2015; GB14554-93; GB12348-2008; GB18597-2023; GB18599-2020</x:v>
      </x:c>
      <x:c r="L140" s="48" t="str">
        <x:v>2</x:v>
      </x:c>
      <x:c r="M140" s="48" t="str">
        <x:v>2</x:v>
      </x:c>
      <x:c r="N140" s="48" t="str">
        <x:v>False</x:v>
      </x:c>
      <x:c r="O140" s="48" t="str">
        <x:v>无误</x:v>
      </x:c>
      <x:c r="P140"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140" s="48"/>
      <x:c r="R140" s="48"/>
      <x:c r="S140" s="48" t="str">
        <x:v>否</x:v>
      </x:c>
      <x:c r="T140" s="48" t="str">
        <x:v>修正：GB18599-2020不在知识库必须满足的标准清单中，原判定依据已更正。原综合排放标准问答对拆分而来</x:v>
      </x:c>
      <x:c r="U140" s="48" t="str">
        <x:v>30份环评_污染物排放控制执行标准复核QA(拆分版)</x:v>
      </x:c>
      <x:c r="V140" s="48" t="str">
        <x:v>固体废物控制标准</x:v>
      </x:c>
      <x:c r="W140" s="48" t="str">
        <x:v>无误</x:v>
      </x:c>
      <x:c r="X140" s="48" t="str">
        <x:v>无误</x:v>
      </x:c>
      <x:c r="Y140" s="64"/>
      <x:c r="Z140" s="64" t="str">
        <x:v>未复核</x:v>
      </x:c>
      <x:c r="AA140" s="64" t="str">
        <x:v>部分充分</x:v>
      </x:c>
      <x:c r="AB140" s="64" t="str">
        <x:v>有效</x:v>
      </x:c>
      <x:c r="AC140" s="64" t="str">
        <x:v>部分核验</x:v>
      </x:c>
      <x:c r="AD140" s="64" t="str">
        <x:v>自动默认</x:v>
      </x:c>
      <x:c r="AE140" s="64" t="str">
        <x:v>候选池</x:v>
      </x:c>
      <x:c r="AF140" s="64" t="str">
        <x:v>待分流</x:v>
      </x:c>
      <x:c r="AG140" s="64"/>
      <x:c r="AH140" s="64"/>
      <x:c r="AI140" s="64"/>
      <x:c r="AJ140" s="64"/>
      <x:c r="AK140" s="64"/>
      <x:c r="AL140" s="64"/>
      <x:c r="AM140" s="64"/>
      <x:c r="AN140" s="48" t="str">
        <x:v>140</x:v>
      </x:c>
      <x:c r="AO140" s="48" t="str">
        <x:v>MAP_无误</x:v>
      </x:c>
      <x:c r="AP140" s="48" t="str">
        <x:v>存在报告证据，但尚未经人工逐项核验；已列依据来源，但未在本阶段逐条核验</x:v>
      </x:c>
      <x:c r="AQ140" s="64"/>
      <x:c r="AR140" s="48" t="str">
        <x:v>solid_waste_standard</x:v>
      </x:c>
      <x:c r="AS140" s="48" t="str">
        <x:v>L2_application</x:v>
      </x:c>
      <x:c r="AT140" s="48" t="str">
        <x:v>rule_applicability</x:v>
      </x:c>
      <x:c r="AU140" s="48" t="str">
        <x:v>basis_grounding</x:v>
      </x:c>
      <x:c r="AV140" s="48" t="str">
        <x:v>report_grounding</x:v>
      </x:c>
      <x:c r="AW140" s="48" t="str">
        <x:v>high</x:v>
      </x:c>
      <x:c r="AX140" s="48" t="str">
        <x:v>medium</x:v>
      </x:c>
      <x:c r="AY140" s="48" t="str">
        <x:v>report_plus_external</x:v>
      </x:c>
      <x:c r="AZ140" s="48" t="str">
        <x:v>True</x:v>
      </x:c>
      <x:c r="BA140" s="48"/>
      <x:c r="BB140" s="48" t="str">
        <x:v>auto_default</x:v>
      </x:c>
      <x:c r="BC140" s="48" t="str">
        <x:v>v1</x:v>
      </x:c>
      <x:c r="BD140" s="68"/>
    </x:row>
    <x:row r="141" ht="36" customHeight="1">
      <x:c r="A141" s="47" t="str">
        <x:v>2026-06-25</x:v>
      </x:c>
      <x:c r="B141" s="48" t="str">
        <x:v>PL027</x:v>
      </x:c>
      <x:c r="C141" s="48" t="str">
        <x:v>V01</x:v>
      </x:c>
      <x:c r="D141" s="48" t="str">
        <x:v>年10月23日建设项目环境影响报告书（表）受理公告（佛山市生态环境局顺德分局）_1.pdf</x:v>
      </x:c>
      <x:c r="E141" s="48" t="str">
        <x:v>佛山市天隆通塑料制品有限公司新建项目</x:v>
      </x:c>
      <x:c r="F141" s="48" t="str">
        <x:v>PL027_V01_Q01</x:v>
      </x:c>
      <x:c r="G141" s="48" t="str">
        <x:v>1. 塑胶行业样本筛选与国民经济行业分类</x:v>
      </x:c>
      <x:c r="H141" s="48" t="str">
        <x:v>请结合项目产品、原辅材料和生产工艺，判断该报告行业类别是否基本合理。</x:v>
      </x:c>
      <x:c r="I141" s="48" t="str">
        <x:v>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x:v>
      </x:c>
      <x:c r="J141" s="48" t="str">
        <x:v>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v>
      </x:c>
      <x:c r="K141" s="48" t="str">
        <x:v>《国民经济行业分类》(GB/T 4754—2017)；本任务C292筛选及C17/C18排除规则</x:v>
      </x:c>
      <x:c r="L141" s="48" t="str">
        <x:v>结合本项目行业代码、建设性质、工艺关键词及PDF证据生成，非脱离项目的通用题。</x:v>
      </x:c>
      <x:c r="M141" s="48" t="str">
        <x:v>可依据对应PDF原文、工程分析表格及所列法规标准逐项复核。</x:v>
      </x:c>
      <x:c r="N141" s="48" t="str">
        <x:v>True</x:v>
      </x:c>
      <x:c r="O141" s="48"/>
      <x:c r="P141" s="48"/>
      <x:c r="Q141" s="48"/>
      <x:c r="R141" s="48" t="str">
        <x:v>新增</x:v>
      </x:c>
      <x:c r="S141" s="48" t="str">
        <x:v>是</x:v>
      </x:c>
      <x:c r="T141" s="48" t="str">
        <x:v>自动生成；需人工复核项目参数、公式取值、标准适用范围及PDF文字提取完整性。</x:v>
      </x:c>
      <x:c r="U141" s="48" t="str">
        <x:v>seed_qa_塑胶行业筛选版_30个国民经济行业分类的人工标记</x:v>
      </x:c>
      <x:c r="V141" s="48" t="str">
        <x:v>国民经济行业分类</x:v>
      </x:c>
      <x:c r="W141" s="48"/>
      <x:c r="X141" s="48" t="str">
        <x:v>待判断</x:v>
      </x:c>
      <x:c r="Y141" s="64"/>
      <x:c r="Z141" s="64" t="str">
        <x:v>未复核</x:v>
      </x:c>
      <x:c r="AA141" s="64" t="str">
        <x:v>部分充分</x:v>
      </x:c>
      <x:c r="AB141" s="64" t="str">
        <x:v>待判断</x:v>
      </x:c>
      <x:c r="AC141" s="64" t="str">
        <x:v>部分核验</x:v>
      </x:c>
      <x:c r="AD141" s="64" t="str">
        <x:v>自动默认</x:v>
      </x:c>
      <x:c r="AE141" s="64" t="str">
        <x:v>候选池</x:v>
      </x:c>
      <x:c r="AF141" s="64" t="str">
        <x:v>C_题目或材料问题</x:v>
      </x:c>
      <x:c r="AG141" s="64"/>
      <x:c r="AH141" s="64"/>
      <x:c r="AI141" s="64"/>
      <x:c r="AJ141" s="64"/>
      <x:c r="AK141" s="64"/>
      <x:c r="AL141" s="64"/>
      <x:c r="AM141" s="64"/>
      <x:c r="AN141" s="48" t="str">
        <x:v>141</x:v>
      </x:c>
      <x:c r="AO141" s="48" t="str">
        <x:v>MAP_BLANK</x:v>
      </x:c>
      <x:c r="AP141" s="48" t="str">
        <x:v>人工判断为空：不得自动补填结论；人工判断为空；结构完整但原因需人工确认；存在报告证据，但尚未经人工逐项核验；已列依据来源，但未在本阶段逐条核验</x:v>
      </x:c>
      <x:c r="AQ141" s="64"/>
      <x:c r="AR141" s="48" t="str">
        <x:v>industry_classification</x:v>
      </x:c>
      <x:c r="AS141" s="48" t="str">
        <x:v>L3_analysis</x:v>
      </x:c>
      <x:c r="AT141" s="48" t="str">
        <x:v>multi_evidence_synthesis</x:v>
      </x:c>
      <x:c r="AU141" s="48" t="str">
        <x:v>evidence_integration</x:v>
      </x:c>
      <x:c r="AV141" s="48" t="str">
        <x:v>report_grounding；basis_grounding</x:v>
      </x:c>
      <x:c r="AW141" s="48" t="str">
        <x:v>high</x:v>
      </x:c>
      <x:c r="AX141" s="48" t="str">
        <x:v>high</x:v>
      </x:c>
      <x:c r="AY141" s="48" t="str">
        <x:v>cross_section</x:v>
      </x:c>
      <x:c r="AZ141" s="48" t="str">
        <x:v>True</x:v>
      </x:c>
      <x:c r="BA141" s="48"/>
      <x:c r="BB141" s="48" t="str">
        <x:v>auto_default</x:v>
      </x:c>
      <x:c r="BC141" s="48" t="str">
        <x:v>v1</x:v>
      </x:c>
      <x:c r="BD141" s="68"/>
    </x:row>
    <x:row r="142" ht="36" customHeight="1">
      <x:c r="A142" s="47" t="str">
        <x:v>2026-07-24</x:v>
      </x:c>
      <x:c r="B142" s="48" t="str">
        <x:v>PL027</x:v>
      </x:c>
      <x:c r="C142" s="48" t="str">
        <x:v>V01</x:v>
      </x:c>
      <x:c r="D142" s="48" t="str">
        <x:v>PL027_佛山市天隆通塑料制品有限公司新建项目</x:v>
      </x:c>
      <x:c r="E142" s="48" t="str">
        <x:v>佛山市天隆通塑料制品有限公司新建项目</x:v>
      </x:c>
      <x:c r="F142" s="48" t="str">
        <x:v>PL027_V01_Q03</x:v>
      </x:c>
      <x:c r="G142" s="48" t="str">
        <x:v>环评投资核算</x:v>
      </x:c>
      <x:c r="H142" s="48" t="str">
        <x:v>请根据报告中的总投资、环保投资和环保工程投资明细，判断环保投资核算是否前后一致、比例是否正确。</x:v>
      </x:c>
      <x:c r="I142" s="48" t="str">
        <x:v>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x:v>
      </x:c>
      <x:c r="J142" s="48" t="str">
        <x:v>一、建设项目基本情况；环保投资情况一览表：总投资200万元、环保投资20万元、占比10%；分项合计20万元。来源：解析文本拼接_02_021-040(3).md</x:v>
      </x:c>
      <x:c r="K142" s="48" t="str">
        <x:v>报告原文-环保投资明细表</x:v>
      </x:c>
      <x:c r="L142" s="48" t="str">
        <x:v>2</x:v>
      </x:c>
      <x:c r="M142" s="48" t="str">
        <x:v>2</x:v>
      </x:c>
      <x:c r="N142" s="48" t="str">
        <x:v>False</x:v>
      </x:c>
      <x:c r="O142" s="48" t="str">
        <x:v>正确</x:v>
      </x:c>
      <x:c r="P142" s="48"/>
      <x:c r="Q142" s="48"/>
      <x:c r="R142" s="48"/>
      <x:c r="S142" s="48" t="str">
        <x:v>否</x:v>
      </x:c>
      <x:c r="T142" s="48"/>
      <x:c r="U142" s="48" t="str">
        <x:v>30个PL_环评投资核算QA</x:v>
      </x:c>
      <x:c r="V142" s="48" t="str">
        <x:v>环评投资概算</x:v>
      </x:c>
      <x:c r="W142" s="48" t="str">
        <x:v>正确</x:v>
      </x:c>
      <x:c r="X142" s="48" t="str">
        <x:v>无误</x:v>
      </x:c>
      <x:c r="Y142" s="64"/>
      <x:c r="Z142" s="64" t="str">
        <x:v>未复核</x:v>
      </x:c>
      <x:c r="AA142" s="64" t="str">
        <x:v>部分充分</x:v>
      </x:c>
      <x:c r="AB142" s="64" t="str">
        <x:v>有效</x:v>
      </x:c>
      <x:c r="AC142" s="64" t="str">
        <x:v>不需要外部依据</x:v>
      </x:c>
      <x:c r="AD142" s="64" t="str">
        <x:v>自动默认</x:v>
      </x:c>
      <x:c r="AE142" s="64" t="str">
        <x:v>候选池</x:v>
      </x:c>
      <x:c r="AF142" s="64" t="str">
        <x:v>待分流</x:v>
      </x:c>
      <x:c r="AG142" s="64"/>
      <x:c r="AH142" s="64"/>
      <x:c r="AI142" s="64"/>
      <x:c r="AJ142" s="64"/>
      <x:c r="AK142" s="64"/>
      <x:c r="AL142" s="64"/>
      <x:c r="AM142" s="64"/>
      <x:c r="AN142" s="48" t="str">
        <x:v>142</x:v>
      </x:c>
      <x:c r="AO142" s="48" t="str">
        <x:v>MAP_正确</x:v>
      </x:c>
      <x:c r="AP142" s="48" t="str">
        <x:v>存在报告证据，但尚未经人工逐项核验；投资复核主要依据报告内金额与算式</x:v>
      </x:c>
      <x:c r="AQ142" s="64"/>
      <x:c r="AR142" s="48" t="str">
        <x:v>environmental_investment</x:v>
      </x:c>
      <x:c r="AS142" s="48" t="str">
        <x:v>L2_application</x:v>
      </x:c>
      <x:c r="AT142" s="48" t="str">
        <x:v>quantitative_verification</x:v>
      </x:c>
      <x:c r="AU142" s="48" t="str">
        <x:v>numerical_accuracy</x:v>
      </x:c>
      <x:c r="AV142" s="48" t="str">
        <x:v>report_grounding；procedural_reasoning</x:v>
      </x:c>
      <x:c r="AW142" s="48" t="str">
        <x:v>low</x:v>
      </x:c>
      <x:c r="AX142" s="48" t="str">
        <x:v>medium</x:v>
      </x:c>
      <x:c r="AY142" s="48" t="str">
        <x:v>cross_section</x:v>
      </x:c>
      <x:c r="AZ142" s="48" t="str">
        <x:v>True</x:v>
      </x:c>
      <x:c r="BA142" s="48"/>
      <x:c r="BB142" s="48" t="str">
        <x:v>auto_default</x:v>
      </x:c>
      <x:c r="BC142" s="48" t="str">
        <x:v>v1</x:v>
      </x:c>
      <x:c r="BD142" s="68"/>
    </x:row>
    <x:row r="143" ht="36" customHeight="1">
      <x:c r="A143" s="47" t="str">
        <x:v>2026-07-28</x:v>
      </x:c>
      <x:c r="B143" s="48" t="str">
        <x:v>PL027</x:v>
      </x:c>
      <x:c r="C143" s="48" t="str">
        <x:v>V01</x:v>
      </x:c>
      <x:c r="D143" s="48" t="str">
        <x:v>PL027_佛山市天隆通塑料制品有限公司新建项目_01_受理公告或公示版.pdf</x:v>
      </x:c>
      <x:c r="E143" s="48" t="str">
        <x:v>佛山市天隆通塑料制品有限公司新建项目</x:v>
      </x:c>
      <x:c r="F143" s="48" t="str">
        <x:v>PL027_EnvQuality_Q01</x:v>
      </x:c>
      <x:c r="G143" s="48" t="str">
        <x:v>大气及地表水环境质量现状数据引用</x:v>
      </x:c>
      <x:c r="H143" s="48" t="str">
        <x:v>请根据报告引用的环境质量公报及现状数据，判断大气和地表水环境质量现状数据引用是否准确。</x:v>
      </x:c>
      <x:c r="I143" s="48" t="str">
        <x:v>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x:v>
      </x:c>
      <x:c r="J143" s="48" t="str">
        <x:v>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x:v>
      </x:c>
      <x:c r="K143" s="48" t="str">
        <x:v>生态环境状况公报知识库; 收纳水体地表水执行标准</x:v>
      </x:c>
      <x:c r="L143" s="48" t="str">
        <x:v>2</x:v>
      </x:c>
      <x:c r="M143" s="48" t="str">
        <x:v>2</x:v>
      </x:c>
      <x:c r="N143" s="48" t="str">
        <x:v>False</x:v>
      </x:c>
      <x:c r="O143" s="48" t="str">
        <x:v>正确</x:v>
      </x:c>
      <x:c r="P143" s="48" t="str">
        <x:v>大气:正确; 地表水:正确; 报告日期:2024</x:v>
      </x:c>
      <x:c r="Q143" s="48"/>
      <x:c r="R143" s="48"/>
      <x:c r="S143" s="48" t="str">
        <x:v>是</x:v>
      </x:c>
      <x:c r="T143" s="48" t="str">
        <x:v>报告中公报名称使用“环境质量状况公报”而非官方“生态环境状况公报”，存在轻微命名差异，但数据引用年度（2023年度）正确，分析内容与公报一致，勒流污水处理厂尾水受纳河道（顺德支流）与官方登记一致。</x:v>
      </x:c>
      <x:c r="U143" s="48" t="str">
        <x:v>30个环评_大气及地表水环境质量现状数据引用复核QA</x:v>
      </x:c>
      <x:c r="V143" s="48" t="str">
        <x:v>环境质量数据引用</x:v>
      </x:c>
      <x:c r="W143" s="48" t="str">
        <x:v>正确</x:v>
      </x:c>
      <x:c r="X143" s="48" t="str">
        <x:v>无误</x:v>
      </x:c>
      <x:c r="Y143" s="64"/>
      <x:c r="Z143" s="64" t="str">
        <x:v>未复核</x:v>
      </x:c>
      <x:c r="AA143" s="64" t="str">
        <x:v>部分充分</x:v>
      </x:c>
      <x:c r="AB143" s="64" t="str">
        <x:v>有效</x:v>
      </x:c>
      <x:c r="AC143" s="64" t="str">
        <x:v>部分核验</x:v>
      </x:c>
      <x:c r="AD143" s="64" t="str">
        <x:v>自动默认</x:v>
      </x:c>
      <x:c r="AE143" s="64" t="str">
        <x:v>候选池</x:v>
      </x:c>
      <x:c r="AF143" s="64" t="str">
        <x:v>A_仅待终审</x:v>
      </x:c>
      <x:c r="AG143" s="64"/>
      <x:c r="AH143" s="64"/>
      <x:c r="AI143" s="64"/>
      <x:c r="AJ143" s="64"/>
      <x:c r="AK143" s="64"/>
      <x:c r="AL143" s="64"/>
      <x:c r="AM143" s="64"/>
      <x:c r="AN143" s="48" t="str">
        <x:v>143</x:v>
      </x:c>
      <x:c r="AO143" s="48" t="str">
        <x:v>MAP_正确</x:v>
      </x:c>
      <x:c r="AP143" s="48" t="str">
        <x:v>存在报告证据，但尚未经人工逐项核验；已列依据来源，但未在本阶段逐条核验</x:v>
      </x:c>
      <x:c r="AQ143" s="64"/>
      <x:c r="AR143" s="48" t="str">
        <x:v>environmental_quality_data</x:v>
      </x:c>
      <x:c r="AS143" s="48" t="str">
        <x:v>L3_analysis</x:v>
      </x:c>
      <x:c r="AT143" s="48" t="str">
        <x:v>consistency_comparison</x:v>
      </x:c>
      <x:c r="AU143" s="48" t="str">
        <x:v>evidence_integration</x:v>
      </x:c>
      <x:c r="AV143" s="48" t="str">
        <x:v>report_grounding；basis_grounding</x:v>
      </x:c>
      <x:c r="AW143" s="48" t="str">
        <x:v>high</x:v>
      </x:c>
      <x:c r="AX143" s="48" t="str">
        <x:v>high</x:v>
      </x:c>
      <x:c r="AY143" s="48" t="str">
        <x:v>report_plus_external</x:v>
      </x:c>
      <x:c r="AZ143" s="48" t="str">
        <x:v>True</x:v>
      </x:c>
      <x:c r="BA143" s="48"/>
      <x:c r="BB143" s="48" t="str">
        <x:v>auto_default</x:v>
      </x:c>
      <x:c r="BC143" s="48" t="str">
        <x:v>v1</x:v>
      </x:c>
      <x:c r="BD143" s="68"/>
    </x:row>
    <x:row r="144" ht="36" customHeight="1">
      <x:c r="A144" s="47" t="str">
        <x:v>2026-07-27</x:v>
      </x:c>
      <x:c r="B144" s="48" t="str">
        <x:v>PL027</x:v>
      </x:c>
      <x:c r="C144" s="48" t="str">
        <x:v>V01</x:v>
      </x:c>
      <x:c r="D144" s="48" t="str">
        <x:v>PL027_佛山市天隆通塑料制品有限公司新建项目_01_受理公告或公示版.pdf</x:v>
      </x:c>
      <x:c r="E144" s="48" t="str">
        <x:v>佛山市天隆通塑料制品有限公司新建项目</x:v>
      </x:c>
      <x:c r="F144" s="48" t="str">
        <x:v>PL027_Emission_水污</x:v>
      </x:c>
      <x:c r="G144" s="48" t="str">
        <x:v>污染物排放标准-水污染物排放标准</x:v>
      </x:c>
      <x:c r="H144"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44" s="48" t="str">
        <x:v>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x:v>
      </x:c>
      <x:c r="J144" s="48" t="str">
        <x:v>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x:v>
      </x:c>
      <x:c r="K144" s="48" t="str">
        <x:v>emission-standard-kb.jsonl; DB44/26-2001; DB44/2367-2022; GB31572-2015; GB14554-93; GB12348-2008; GB18597-2023; GB18599-2020</x:v>
      </x:c>
      <x:c r="L144" s="48" t="str">
        <x:v>2</x:v>
      </x:c>
      <x:c r="M144" s="48" t="str">
        <x:v>2</x:v>
      </x:c>
      <x:c r="N144" s="48" t="str">
        <x:v>False</x:v>
      </x:c>
      <x:c r="O144" s="48" t="str">
        <x:v>存在缺漏</x:v>
      </x:c>
      <x:c r="P144"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144" s="48"/>
      <x:c r="R144" s="48"/>
      <x:c r="S144" s="48" t="str">
        <x:v>是</x:v>
      </x:c>
      <x:c r="T144" s="48" t="str">
        <x:v>原综合排放标准问答对拆分而来</x:v>
      </x:c>
      <x:c r="U144" s="48" t="str">
        <x:v>30份环评_污染物排放控制执行标准复核QA(拆分版)</x:v>
      </x:c>
      <x:c r="V144" s="48" t="str">
        <x:v>水污染物排放标准</x:v>
      </x:c>
      <x:c r="W144" s="48" t="str">
        <x:v>存在缺漏</x:v>
      </x:c>
      <x:c r="X144" s="48" t="str">
        <x:v>存在缺漏</x:v>
      </x:c>
      <x:c r="Y144" s="64"/>
      <x:c r="Z144" s="64" t="str">
        <x:v>未复核</x:v>
      </x:c>
      <x:c r="AA144" s="64" t="str">
        <x:v>部分充分</x:v>
      </x:c>
      <x:c r="AB144" s="64" t="str">
        <x:v>有效</x:v>
      </x:c>
      <x:c r="AC144" s="64" t="str">
        <x:v>部分核验</x:v>
      </x:c>
      <x:c r="AD144" s="64" t="str">
        <x:v>自动默认</x:v>
      </x:c>
      <x:c r="AE144" s="64" t="str">
        <x:v>候选池</x:v>
      </x:c>
      <x:c r="AF144" s="64" t="str">
        <x:v>A_仅待终审</x:v>
      </x:c>
      <x:c r="AG144" s="64"/>
      <x:c r="AH144" s="64"/>
      <x:c r="AI144" s="64"/>
      <x:c r="AJ144" s="64"/>
      <x:c r="AK144" s="64"/>
      <x:c r="AL144" s="64"/>
      <x:c r="AM144" s="64"/>
      <x:c r="AN144" s="48" t="str">
        <x:v>144</x:v>
      </x:c>
      <x:c r="AO144" s="48" t="str">
        <x:v>MAP_存在缺漏</x:v>
      </x:c>
      <x:c r="AP144" s="48" t="str">
        <x:v>存在报告证据，但尚未经人工逐项核验；已列依据来源，但未在本阶段逐条核验</x:v>
      </x:c>
      <x:c r="AQ144" s="64"/>
      <x:c r="AR144" s="48" t="str">
        <x:v>water_emission_standard</x:v>
      </x:c>
      <x:c r="AS144" s="48" t="str">
        <x:v>L3_analysis</x:v>
      </x:c>
      <x:c r="AT144" s="48" t="str">
        <x:v>rule_applicability</x:v>
      </x:c>
      <x:c r="AU144" s="48" t="str">
        <x:v>basis_grounding</x:v>
      </x:c>
      <x:c r="AV144" s="48" t="str">
        <x:v>report_grounding；procedural_reasoning</x:v>
      </x:c>
      <x:c r="AW144" s="48" t="str">
        <x:v>high</x:v>
      </x:c>
      <x:c r="AX144" s="48" t="str">
        <x:v>high</x:v>
      </x:c>
      <x:c r="AY144" s="48" t="str">
        <x:v>report_plus_external</x:v>
      </x:c>
      <x:c r="AZ144" s="48" t="str">
        <x:v>True</x:v>
      </x:c>
      <x:c r="BA144" s="48"/>
      <x:c r="BB144" s="48" t="str">
        <x:v>auto_default</x:v>
      </x:c>
      <x:c r="BC144" s="48" t="str">
        <x:v>v1</x:v>
      </x:c>
      <x:c r="BD144" s="68"/>
    </x:row>
    <x:row r="145" ht="36" customHeight="1">
      <x:c r="A145" s="47" t="str">
        <x:v>2026-07-27</x:v>
      </x:c>
      <x:c r="B145" s="48" t="str">
        <x:v>PL027</x:v>
      </x:c>
      <x:c r="C145" s="48" t="str">
        <x:v>V01</x:v>
      </x:c>
      <x:c r="D145" s="48" t="str">
        <x:v>PL027_佛山市天隆通塑料制品有限公司新建项目_01_受理公告或公示版.pdf</x:v>
      </x:c>
      <x:c r="E145" s="48" t="str">
        <x:v>佛山市天隆通塑料制品有限公司新建项目</x:v>
      </x:c>
      <x:c r="F145" s="48" t="str">
        <x:v>PL027_Emission_大气</x:v>
      </x:c>
      <x:c r="G145" s="48" t="str">
        <x:v>污染物排放标准-大气污染物排放标准</x:v>
      </x:c>
      <x:c r="H145" s="48" t="str">
        <x:v>请根据项目行业类别、生产工艺和污染因子，判断大气污染物排放标准选取是否合理。要求分析：污染源覆盖是否完整（列出所有大气污染源及对应标准），是否存在缺漏的污染源或标准。</x:v>
      </x:c>
      <x:c r="I145" s="48" t="str">
        <x:v>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x:v>
      </x:c>
      <x:c r="J145" s="48" t="str">
        <x:v>大气标准片段：「灌注、发泡熟化成型经收集后通过‘活性炭吸附装置’处理后通过55 米排气筒G1 排放」「项目产生的有机废气初始排放速率为0.171kg/h，小于3kg/h，项目设置活性炭吸附装置处理有机废气，处理效率为50%。」
3.</x:v>
      </x:c>
      <x:c r="K145" s="48" t="str">
        <x:v>emission-standard-kb.jsonl; DB44/26-2001; DB44/2367-2022; GB31572-2015; GB14554-93; GB12348-2008; GB18597-2023; GB18599-2020</x:v>
      </x:c>
      <x:c r="L145" s="48" t="str">
        <x:v>2</x:v>
      </x:c>
      <x:c r="M145" s="48" t="str">
        <x:v>2</x:v>
      </x:c>
      <x:c r="N145" s="48" t="str">
        <x:v>False</x:v>
      </x:c>
      <x:c r="O145" s="48" t="str">
        <x:v>存在缺漏</x:v>
      </x:c>
      <x:c r="P145"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145" s="48"/>
      <x:c r="R145" s="48"/>
      <x:c r="S145" s="48" t="str">
        <x:v>是</x:v>
      </x:c>
      <x:c r="T145" s="48" t="str">
        <x:v>原综合排放标准问答对拆分而来</x:v>
      </x:c>
      <x:c r="U145" s="48" t="str">
        <x:v>30份环评_污染物排放控制执行标准复核QA(拆分版)</x:v>
      </x:c>
      <x:c r="V145" s="48" t="str">
        <x:v>大气污染物排放标准</x:v>
      </x:c>
      <x:c r="W145" s="48" t="str">
        <x:v>存在缺漏</x:v>
      </x:c>
      <x:c r="X145" s="48" t="str">
        <x:v>存在缺漏</x:v>
      </x:c>
      <x:c r="Y145" s="64"/>
      <x:c r="Z145" s="64" t="str">
        <x:v>未复核</x:v>
      </x:c>
      <x:c r="AA145" s="64" t="str">
        <x:v>部分充分</x:v>
      </x:c>
      <x:c r="AB145" s="64" t="str">
        <x:v>有效</x:v>
      </x:c>
      <x:c r="AC145" s="64" t="str">
        <x:v>部分核验</x:v>
      </x:c>
      <x:c r="AD145" s="64" t="str">
        <x:v>自动默认</x:v>
      </x:c>
      <x:c r="AE145" s="64" t="str">
        <x:v>候选池</x:v>
      </x:c>
      <x:c r="AF145" s="64" t="str">
        <x:v>A_仅待终审</x:v>
      </x:c>
      <x:c r="AG145" s="64"/>
      <x:c r="AH145" s="64"/>
      <x:c r="AI145" s="64"/>
      <x:c r="AJ145" s="64"/>
      <x:c r="AK145" s="64"/>
      <x:c r="AL145" s="64"/>
      <x:c r="AM145" s="64"/>
      <x:c r="AN145" s="48" t="str">
        <x:v>145</x:v>
      </x:c>
      <x:c r="AO145" s="48" t="str">
        <x:v>MAP_存在缺漏</x:v>
      </x:c>
      <x:c r="AP145" s="48" t="str">
        <x:v>存在报告证据，但尚未经人工逐项核验；已列依据来源，但未在本阶段逐条核验</x:v>
      </x:c>
      <x:c r="AQ145" s="64"/>
      <x:c r="AR145" s="48" t="str">
        <x:v>air_emission_standard</x:v>
      </x:c>
      <x:c r="AS145" s="48" t="str">
        <x:v>L3_analysis</x:v>
      </x:c>
      <x:c r="AT145" s="48" t="str">
        <x:v>multi_evidence_synthesis</x:v>
      </x:c>
      <x:c r="AU145" s="48" t="str">
        <x:v>basis_grounding</x:v>
      </x:c>
      <x:c r="AV145" s="48" t="str">
        <x:v>report_grounding；evidence_integration</x:v>
      </x:c>
      <x:c r="AW145" s="48" t="str">
        <x:v>high</x:v>
      </x:c>
      <x:c r="AX145" s="48" t="str">
        <x:v>high</x:v>
      </x:c>
      <x:c r="AY145" s="48" t="str">
        <x:v>report_plus_external</x:v>
      </x:c>
      <x:c r="AZ145" s="48" t="str">
        <x:v>True</x:v>
      </x:c>
      <x:c r="BA145" s="48"/>
      <x:c r="BB145" s="48" t="str">
        <x:v>auto_default</x:v>
      </x:c>
      <x:c r="BC145" s="48" t="str">
        <x:v>v1</x:v>
      </x:c>
      <x:c r="BD145" s="68"/>
    </x:row>
    <x:row r="146" ht="36" customHeight="1">
      <x:c r="A146" s="47" t="str">
        <x:v>2026-07-27</x:v>
      </x:c>
      <x:c r="B146" s="48" t="str">
        <x:v>PL027</x:v>
      </x:c>
      <x:c r="C146" s="48" t="str">
        <x:v>V01</x:v>
      </x:c>
      <x:c r="D146" s="48" t="str">
        <x:v>PL027_佛山市天隆通塑料制品有限公司新建项目_01_受理公告或公示版.pdf</x:v>
      </x:c>
      <x:c r="E146" s="48" t="str">
        <x:v>佛山市天隆通塑料制品有限公司新建项目</x:v>
      </x:c>
      <x:c r="F146" s="48" t="str">
        <x:v>PL027_Emission_噪声</x:v>
      </x:c>
      <x:c r="G146" s="48" t="str">
        <x:v>污染物排放标准-噪声排放标准</x:v>
      </x:c>
      <x:c r="H146" s="48" t="str">
        <x:v>请根据项目所属声环境功能区类别，判断噪声排放标准选取是否合理。要求总结声功能区类型、厂界执行标准（GB12348-2008）及昼夜限值，并与环评编制内容进行一致性分析。</x:v>
      </x:c>
      <x:c r="I146" s="48" t="str">
        <x:v>1、噪声排放标准中执行标准与排放限值内容：存在缺漏；
2、报告全文未提及《工业企业厂界环境噪声排放标准》（GB12348-2008）或任何噪声排放标准，未对厂界噪声执行标准作出规定，存在缺漏。
4.</x:v>
      </x:c>
      <x:c r="J146" s="48" t="str">
        <x:v>噪声标准：报告全文未出现GB12348-2008或任何噪声排放标准的引用。
4.</x:v>
      </x:c>
      <x:c r="K146" s="48" t="str">
        <x:v>emission-standard-kb.jsonl; DB44/26-2001; DB44/2367-2022; GB31572-2015; GB14554-93; GB12348-2008; GB18597-2023; GB18599-2020</x:v>
      </x:c>
      <x:c r="L146" s="48" t="str">
        <x:v>2</x:v>
      </x:c>
      <x:c r="M146" s="48" t="str">
        <x:v>2</x:v>
      </x:c>
      <x:c r="N146" s="48" t="str">
        <x:v>False</x:v>
      </x:c>
      <x:c r="O146" s="48" t="str">
        <x:v>存在缺漏</x:v>
      </x:c>
      <x:c r="P146"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146" s="48"/>
      <x:c r="R146" s="48"/>
      <x:c r="S146" s="48" t="str">
        <x:v>是</x:v>
      </x:c>
      <x:c r="T146" s="48" t="str">
        <x:v>原综合排放标准问答对拆分而来</x:v>
      </x:c>
      <x:c r="U146" s="48" t="str">
        <x:v>30份环评_污染物排放控制执行标准复核QA(拆分版)</x:v>
      </x:c>
      <x:c r="V146" s="48" t="str">
        <x:v>噪声排放标准</x:v>
      </x:c>
      <x:c r="W146" s="48" t="str">
        <x:v>存在缺漏</x:v>
      </x:c>
      <x:c r="X146" s="48" t="str">
        <x:v>存在缺漏</x:v>
      </x:c>
      <x:c r="Y146" s="64"/>
      <x:c r="Z146" s="64" t="str">
        <x:v>未复核</x:v>
      </x:c>
      <x:c r="AA146" s="64" t="str">
        <x:v>部分充分</x:v>
      </x:c>
      <x:c r="AB146" s="64" t="str">
        <x:v>有效</x:v>
      </x:c>
      <x:c r="AC146" s="64" t="str">
        <x:v>部分核验</x:v>
      </x:c>
      <x:c r="AD146" s="64" t="str">
        <x:v>自动默认</x:v>
      </x:c>
      <x:c r="AE146" s="64" t="str">
        <x:v>候选池</x:v>
      </x:c>
      <x:c r="AF146" s="64" t="str">
        <x:v>A_仅待终审</x:v>
      </x:c>
      <x:c r="AG146" s="64"/>
      <x:c r="AH146" s="64"/>
      <x:c r="AI146" s="64"/>
      <x:c r="AJ146" s="64"/>
      <x:c r="AK146" s="64"/>
      <x:c r="AL146" s="64"/>
      <x:c r="AM146" s="64"/>
      <x:c r="AN146" s="48" t="str">
        <x:v>146</x:v>
      </x:c>
      <x:c r="AO146" s="48" t="str">
        <x:v>MAP_存在缺漏</x:v>
      </x:c>
      <x:c r="AP146" s="48" t="str">
        <x:v>存在报告证据，但尚未经人工逐项核验；已列依据来源，但未在本阶段逐条核验</x:v>
      </x:c>
      <x:c r="AQ146" s="64"/>
      <x:c r="AR146" s="48" t="str">
        <x:v>noise_emission_standard</x:v>
      </x:c>
      <x:c r="AS146" s="48" t="str">
        <x:v>L2_application</x:v>
      </x:c>
      <x:c r="AT146" s="48" t="str">
        <x:v>rule_applicability</x:v>
      </x:c>
      <x:c r="AU146" s="48" t="str">
        <x:v>basis_grounding</x:v>
      </x:c>
      <x:c r="AV146" s="48" t="str">
        <x:v>report_grounding</x:v>
      </x:c>
      <x:c r="AW146" s="48" t="str">
        <x:v>high</x:v>
      </x:c>
      <x:c r="AX146" s="48" t="str">
        <x:v>medium</x:v>
      </x:c>
      <x:c r="AY146" s="48" t="str">
        <x:v>report_plus_external</x:v>
      </x:c>
      <x:c r="AZ146" s="48" t="str">
        <x:v>True</x:v>
      </x:c>
      <x:c r="BA146" s="48"/>
      <x:c r="BB146" s="48" t="str">
        <x:v>auto_default</x:v>
      </x:c>
      <x:c r="BC146" s="48" t="str">
        <x:v>v1</x:v>
      </x:c>
      <x:c r="BD146" s="68"/>
    </x:row>
    <x:row r="147" ht="36" customHeight="1">
      <x:c r="A147" s="47" t="str">
        <x:v>2026-07-27</x:v>
      </x:c>
      <x:c r="B147" s="48" t="str">
        <x:v>PL027</x:v>
      </x:c>
      <x:c r="C147" s="48" t="str">
        <x:v>V01</x:v>
      </x:c>
      <x:c r="D147" s="48" t="str">
        <x:v>PL027_佛山市天隆通塑料制品有限公司新建项目_01_受理公告或公示版.pdf</x:v>
      </x:c>
      <x:c r="E147" s="48" t="str">
        <x:v>佛山市天隆通塑料制品有限公司新建项目</x:v>
      </x:c>
      <x:c r="F147" s="48" t="str">
        <x:v>PL027_Emission_固体</x:v>
      </x:c>
      <x:c r="G147" s="48" t="str">
        <x:v>污染物排放标准-固体废物控制标准</x:v>
      </x:c>
      <x:c r="H147" s="48" t="str">
        <x:v>请根据项目产生的固体废物和危险废物类型，判断固体废物控制标准选取是否合理。要求总结一般工业固体废物和危险废物执行标准的标准名称及编号，分析是否缺少必要标准条目。</x:v>
      </x:c>
      <x:c r="I147"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47" s="48" t="str">
        <x:v>固废标准：报告仅在政策相符性分析中提及「企业拟建立危险废物台账，定期将危险废物交给有危废资质的单位处理」，未引用GB18597-2023、GB18599-2020等标准。</x:v>
      </x:c>
      <x:c r="K147" s="48" t="str">
        <x:v>emission-standard-kb.jsonl; DB44/26-2001; DB44/2367-2022; GB31572-2015; GB14554-93; GB12348-2008; GB18597-2023; GB18599-2020</x:v>
      </x:c>
      <x:c r="L147" s="48" t="str">
        <x:v>2</x:v>
      </x:c>
      <x:c r="M147" s="48" t="str">
        <x:v>2</x:v>
      </x:c>
      <x:c r="N147" s="48" t="str">
        <x:v>False</x:v>
      </x:c>
      <x:c r="O147" s="48" t="str">
        <x:v>无误</x:v>
      </x:c>
      <x:c r="P147"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147" s="48"/>
      <x:c r="R147" s="48"/>
      <x:c r="S147" s="48" t="str">
        <x:v>否</x:v>
      </x:c>
      <x:c r="T147" s="48" t="str">
        <x:v>修正：GB18599-2020不在知识库必须满足的标准清单中，原判定依据已更正。原综合排放标准问答对拆分而来</x:v>
      </x:c>
      <x:c r="U147" s="48" t="str">
        <x:v>30份环评_污染物排放控制执行标准复核QA(拆分版)</x:v>
      </x:c>
      <x:c r="V147" s="48" t="str">
        <x:v>固体废物控制标准</x:v>
      </x:c>
      <x:c r="W147" s="48" t="str">
        <x:v>无误</x:v>
      </x:c>
      <x:c r="X147" s="48" t="str">
        <x:v>无误</x:v>
      </x:c>
      <x:c r="Y147" s="64"/>
      <x:c r="Z147" s="64" t="str">
        <x:v>未复核</x:v>
      </x:c>
      <x:c r="AA147" s="64" t="str">
        <x:v>部分充分</x:v>
      </x:c>
      <x:c r="AB147" s="64" t="str">
        <x:v>有效</x:v>
      </x:c>
      <x:c r="AC147" s="64" t="str">
        <x:v>部分核验</x:v>
      </x:c>
      <x:c r="AD147" s="64" t="str">
        <x:v>自动默认</x:v>
      </x:c>
      <x:c r="AE147" s="64" t="str">
        <x:v>候选池</x:v>
      </x:c>
      <x:c r="AF147" s="64" t="str">
        <x:v>待分流</x:v>
      </x:c>
      <x:c r="AG147" s="64"/>
      <x:c r="AH147" s="64"/>
      <x:c r="AI147" s="64"/>
      <x:c r="AJ147" s="64"/>
      <x:c r="AK147" s="64"/>
      <x:c r="AL147" s="64"/>
      <x:c r="AM147" s="64"/>
      <x:c r="AN147" s="48" t="str">
        <x:v>147</x:v>
      </x:c>
      <x:c r="AO147" s="48" t="str">
        <x:v>MAP_无误</x:v>
      </x:c>
      <x:c r="AP147" s="48" t="str">
        <x:v>存在报告证据，但尚未经人工逐项核验；已列依据来源，但未在本阶段逐条核验</x:v>
      </x:c>
      <x:c r="AQ147" s="64"/>
      <x:c r="AR147" s="48" t="str">
        <x:v>solid_waste_standard</x:v>
      </x:c>
      <x:c r="AS147" s="48" t="str">
        <x:v>L2_application</x:v>
      </x:c>
      <x:c r="AT147" s="48" t="str">
        <x:v>rule_applicability</x:v>
      </x:c>
      <x:c r="AU147" s="48" t="str">
        <x:v>basis_grounding</x:v>
      </x:c>
      <x:c r="AV147" s="48" t="str">
        <x:v>report_grounding</x:v>
      </x:c>
      <x:c r="AW147" s="48" t="str">
        <x:v>high</x:v>
      </x:c>
      <x:c r="AX147" s="48" t="str">
        <x:v>medium</x:v>
      </x:c>
      <x:c r="AY147" s="48" t="str">
        <x:v>report_plus_external</x:v>
      </x:c>
      <x:c r="AZ147" s="48" t="str">
        <x:v>True</x:v>
      </x:c>
      <x:c r="BA147" s="48"/>
      <x:c r="BB147" s="48" t="str">
        <x:v>auto_default</x:v>
      </x:c>
      <x:c r="BC147" s="48" t="str">
        <x:v>v1</x:v>
      </x:c>
      <x:c r="BD147" s="68"/>
    </x:row>
    <x:row r="148" ht="36" customHeight="1">
      <x:c r="A148" s="47" t="str">
        <x:v>2026-06-25</x:v>
      </x:c>
      <x:c r="B148" s="48" t="str">
        <x:v>PL028</x:v>
      </x:c>
      <x:c r="C148" s="48" t="str">
        <x:v>V01</x:v>
      </x:c>
      <x:c r="D148" s="48" t="str">
        <x:v>年10月24日建设项目环境影响报告书（表）受理公告（均安）_1.pdf</x:v>
      </x:c>
      <x:c r="E148" s="48" t="str">
        <x:v>佛山市顺德区振峰塑料模具制造有限公司分车间新建项目</x:v>
      </x:c>
      <x:c r="F148" s="48" t="str">
        <x:v>PL028_V01_Q01</x:v>
      </x:c>
      <x:c r="G148" s="48" t="str">
        <x:v>1. 塑胶行业样本筛选与国民经济行业分类</x:v>
      </x:c>
      <x:c r="H148" s="48" t="str">
        <x:v>请结合项目产品、原辅材料和生产工艺，判断该报告行业类别是否基本合理。</x:v>
      </x:c>
      <x:c r="I148" s="48" t="str">
        <x:v>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x:v>
      </x:c>
      <x:c r="J148" s="48"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148" s="48" t="str">
        <x:v>《国民经济行业分类》(GB/T 4754—2017)；本任务C292筛选及C17/C18排除规则</x:v>
      </x:c>
      <x:c r="L148" s="48" t="str">
        <x:v>结合本项目行业代码、建设性质、工艺关键词及PDF证据生成，非脱离项目的通用题。</x:v>
      </x:c>
      <x:c r="M148" s="48" t="str">
        <x:v>可依据对应PDF原文、工程分析表格及所列法规标准逐项复核。</x:v>
      </x:c>
      <x:c r="N148" s="48" t="str">
        <x:v>True</x:v>
      </x:c>
      <x:c r="O148" s="48"/>
      <x:c r="P148" s="48"/>
      <x:c r="Q148" s="48"/>
      <x:c r="R148" s="48" t="str">
        <x:v>新增</x:v>
      </x:c>
      <x:c r="S148" s="48" t="str">
        <x:v>是</x:v>
      </x:c>
      <x:c r="T148" s="48" t="str">
        <x:v>自动生成；需人工复核项目参数、公式取值、标准适用范围及PDF文字提取完整性。</x:v>
      </x:c>
      <x:c r="U148" s="48" t="str">
        <x:v>seed_qa_塑胶行业筛选版_30个国民经济行业分类的人工标记</x:v>
      </x:c>
      <x:c r="V148" s="48" t="str">
        <x:v>国民经济行业分类</x:v>
      </x:c>
      <x:c r="W148" s="48"/>
      <x:c r="X148" s="48" t="str">
        <x:v>待判断</x:v>
      </x:c>
      <x:c r="Y148" s="64"/>
      <x:c r="Z148" s="64" t="str">
        <x:v>未复核</x:v>
      </x:c>
      <x:c r="AA148" s="64" t="str">
        <x:v>部分充分</x:v>
      </x:c>
      <x:c r="AB148" s="64" t="str">
        <x:v>待判断</x:v>
      </x:c>
      <x:c r="AC148" s="64" t="str">
        <x:v>部分核验</x:v>
      </x:c>
      <x:c r="AD148" s="64" t="str">
        <x:v>自动默认</x:v>
      </x:c>
      <x:c r="AE148" s="64" t="str">
        <x:v>候选池</x:v>
      </x:c>
      <x:c r="AF148" s="64" t="str">
        <x:v>C_题目或材料问题</x:v>
      </x:c>
      <x:c r="AG148" s="64"/>
      <x:c r="AH148" s="64"/>
      <x:c r="AI148" s="64"/>
      <x:c r="AJ148" s="64"/>
      <x:c r="AK148" s="64"/>
      <x:c r="AL148" s="64"/>
      <x:c r="AM148" s="64"/>
      <x:c r="AN148" s="48" t="str">
        <x:v>148</x:v>
      </x:c>
      <x:c r="AO148" s="48" t="str">
        <x:v>MAP_BLANK</x:v>
      </x:c>
      <x:c r="AP148" s="48" t="str">
        <x:v>人工判断为空：不得自动补填结论；人工判断为空；结构完整但原因需人工确认；存在报告证据，但尚未经人工逐项核验；已列依据来源，但未在本阶段逐条核验</x:v>
      </x:c>
      <x:c r="AQ148" s="64"/>
      <x:c r="AR148" s="48" t="str">
        <x:v>industry_classification</x:v>
      </x:c>
      <x:c r="AS148" s="48" t="str">
        <x:v>L3_analysis</x:v>
      </x:c>
      <x:c r="AT148" s="48" t="str">
        <x:v>multi_evidence_synthesis</x:v>
      </x:c>
      <x:c r="AU148" s="48" t="str">
        <x:v>evidence_integration</x:v>
      </x:c>
      <x:c r="AV148" s="48" t="str">
        <x:v>report_grounding；basis_grounding</x:v>
      </x:c>
      <x:c r="AW148" s="48" t="str">
        <x:v>high</x:v>
      </x:c>
      <x:c r="AX148" s="48" t="str">
        <x:v>high</x:v>
      </x:c>
      <x:c r="AY148" s="48" t="str">
        <x:v>cross_section</x:v>
      </x:c>
      <x:c r="AZ148" s="48" t="str">
        <x:v>True</x:v>
      </x:c>
      <x:c r="BA148" s="48"/>
      <x:c r="BB148" s="48" t="str">
        <x:v>auto_default</x:v>
      </x:c>
      <x:c r="BC148" s="48" t="str">
        <x:v>v1</x:v>
      </x:c>
      <x:c r="BD148" s="68"/>
    </x:row>
    <x:row r="149" ht="36" customHeight="1">
      <x:c r="A149" s="47" t="str">
        <x:v>2026-07-24</x:v>
      </x:c>
      <x:c r="B149" s="48" t="str">
        <x:v>PL028</x:v>
      </x:c>
      <x:c r="C149" s="48" t="str">
        <x:v>V01</x:v>
      </x:c>
      <x:c r="D149" s="48" t="str">
        <x:v>PL028_佛山市顺德区振峰塑料模具制造有限公司分车间新建项目</x:v>
      </x:c>
      <x:c r="E149" s="48" t="str">
        <x:v>佛山市顺德区振峰塑料模具制造有限公司分车间新建项目</x:v>
      </x:c>
      <x:c r="F149" s="48" t="str">
        <x:v>PL028_V01_Q03</x:v>
      </x:c>
      <x:c r="G149" s="48" t="str">
        <x:v>环评投资核算</x:v>
      </x:c>
      <x:c r="H149" s="48" t="str">
        <x:v>请根据报告中的总投资、环保投资和环保工程投资明细，判断环保投资核算是否前后一致、比例是否正确。</x:v>
      </x:c>
      <x:c r="I149" s="48" t="str">
        <x:v>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x:v>
      </x:c>
      <x:c r="J149" s="48" t="str">
        <x:v>一、建设项目基本情况；表2-11：分项合计20万元。来源：解析文本拼接_02_021-040(3).md</x:v>
      </x:c>
      <x:c r="K149" s="48" t="str">
        <x:v>报告原文-环保投资明细表</x:v>
      </x:c>
      <x:c r="L149" s="48" t="str">
        <x:v>2</x:v>
      </x:c>
      <x:c r="M149" s="48" t="str">
        <x:v>2</x:v>
      </x:c>
      <x:c r="N149" s="48" t="str">
        <x:v>False</x:v>
      </x:c>
      <x:c r="O149" s="48" t="str">
        <x:v>需复核</x:v>
      </x:c>
      <x:c r="P149" s="48"/>
      <x:c r="Q149" s="48"/>
      <x:c r="R149" s="48"/>
      <x:c r="S149" s="48" t="str">
        <x:v>是</x:v>
      </x:c>
      <x:c r="T149" s="48"/>
      <x:c r="U149" s="48" t="str">
        <x:v>30个PL_环评投资核算QA</x:v>
      </x:c>
      <x:c r="V149" s="48" t="str">
        <x:v>环评投资概算</x:v>
      </x:c>
      <x:c r="W149" s="48" t="str">
        <x:v>需复核</x:v>
      </x:c>
      <x:c r="X149" s="48" t="str">
        <x:v>需人工复核</x:v>
      </x:c>
      <x:c r="Y149" s="64"/>
      <x:c r="Z149" s="64" t="str">
        <x:v>未复核</x:v>
      </x:c>
      <x:c r="AA149" s="64" t="str">
        <x:v>部分充分</x:v>
      </x:c>
      <x:c r="AB149" s="64" t="str">
        <x:v>有效</x:v>
      </x:c>
      <x:c r="AC149" s="64" t="str">
        <x:v>不需要外部依据</x:v>
      </x:c>
      <x:c r="AD149" s="64" t="str">
        <x:v>自动默认</x:v>
      </x:c>
      <x:c r="AE149" s="64" t="str">
        <x:v>候选池</x:v>
      </x:c>
      <x:c r="AF149" s="64" t="str">
        <x:v>B_证据不足</x:v>
      </x:c>
      <x:c r="AG149" s="64"/>
      <x:c r="AH149" s="64"/>
      <x:c r="AI149" s="64"/>
      <x:c r="AJ149" s="64"/>
      <x:c r="AK149" s="64"/>
      <x:c r="AL149" s="64"/>
      <x:c r="AM149" s="64"/>
      <x:c r="AN149" s="48" t="str">
        <x:v>149</x:v>
      </x:c>
      <x:c r="AO149" s="48" t="str">
        <x:v>MAP_需复核</x:v>
      </x:c>
      <x:c r="AP149" s="48" t="str">
        <x:v>原结论明确要求人工复核；存在报告证据，但尚未经人工逐项核验；投资复核主要依据报告内金额与算式</x:v>
      </x:c>
      <x:c r="AQ149" s="64"/>
      <x:c r="AR149" s="48" t="str">
        <x:v>environmental_investment</x:v>
      </x:c>
      <x:c r="AS149" s="48" t="str">
        <x:v>L2_application</x:v>
      </x:c>
      <x:c r="AT149" s="48" t="str">
        <x:v>quantitative_verification</x:v>
      </x:c>
      <x:c r="AU149" s="48" t="str">
        <x:v>numerical_accuracy</x:v>
      </x:c>
      <x:c r="AV149" s="48" t="str">
        <x:v>report_grounding；procedural_reasoning</x:v>
      </x:c>
      <x:c r="AW149" s="48" t="str">
        <x:v>low</x:v>
      </x:c>
      <x:c r="AX149" s="48" t="str">
        <x:v>medium</x:v>
      </x:c>
      <x:c r="AY149" s="48" t="str">
        <x:v>cross_section</x:v>
      </x:c>
      <x:c r="AZ149" s="48" t="str">
        <x:v>True</x:v>
      </x:c>
      <x:c r="BA149" s="48"/>
      <x:c r="BB149" s="48" t="str">
        <x:v>auto_default</x:v>
      </x:c>
      <x:c r="BC149" s="48" t="str">
        <x:v>v1</x:v>
      </x:c>
      <x:c r="BD149" s="68"/>
    </x:row>
    <x:row r="150" ht="36" customHeight="1">
      <x:c r="A150" s="47" t="str">
        <x:v>2026-07-28</x:v>
      </x:c>
      <x:c r="B150" s="48" t="str">
        <x:v>PL028</x:v>
      </x:c>
      <x:c r="C150" s="48" t="str">
        <x:v>V01</x:v>
      </x:c>
      <x:c r="D150" s="48" t="str">
        <x:v>PL028_佛山市顺德区振峰塑料模具制造有限公司分车间新建项目_01_受理公告或公示版.pdf</x:v>
      </x:c>
      <x:c r="E150" s="48" t="str">
        <x:v>佛山市顺德区振峰塑料模具制造有限公司分车间新建项目</x:v>
      </x:c>
      <x:c r="F150" s="48" t="str">
        <x:v>PL028_EnvQuality_Q01</x:v>
      </x:c>
      <x:c r="G150" s="48" t="str">
        <x:v>大气及地表水环境质量现状数据引用</x:v>
      </x:c>
      <x:c r="H150" s="48" t="str">
        <x:v>请根据报告引用的环境质量公报及现状数据，判断大气和地表水环境质量现状数据引用是否准确。</x:v>
      </x:c>
      <x:c r="I150"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150" s="48" t="str">
        <x:v>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x:v>
      </x:c>
      <x:c r="K150" s="48" t="str">
        <x:v>生态环境状况公报知识库; 收纳水体地表水执行标准</x:v>
      </x:c>
      <x:c r="L150" s="48" t="str">
        <x:v>2</x:v>
      </x:c>
      <x:c r="M150" s="48" t="str">
        <x:v>2</x:v>
      </x:c>
      <x:c r="N150" s="48" t="str">
        <x:v>False</x:v>
      </x:c>
      <x:c r="O150" s="48" t="str">
        <x:v>正确</x:v>
      </x:c>
      <x:c r="P150" s="48" t="str">
        <x:v>大气:正确; 地表水:正确; 报告日期:2024</x:v>
      </x:c>
      <x:c r="Q150" s="48"/>
      <x:c r="R150" s="48"/>
      <x:c r="S150" s="48" t="str">
        <x:v>是</x:v>
      </x:c>
      <x:c r="T150" s="48" t="str">
        <x:v>未发现明显问题，大气和地表水环境质量引用数据均正确，公报引用在近3年度窗口内，分析内容与公报一致，均安污水处理厂尾水受纳河道（海洲水道）和执行标准（III类）与官方登记一致。</x:v>
      </x:c>
      <x:c r="U150" s="48" t="str">
        <x:v>30个环评_大气及地表水环境质量现状数据引用复核QA</x:v>
      </x:c>
      <x:c r="V150" s="48" t="str">
        <x:v>环境质量数据引用</x:v>
      </x:c>
      <x:c r="W150" s="48" t="str">
        <x:v>正确</x:v>
      </x:c>
      <x:c r="X150" s="48" t="str">
        <x:v>无误</x:v>
      </x:c>
      <x:c r="Y150" s="64"/>
      <x:c r="Z150" s="64" t="str">
        <x:v>未复核</x:v>
      </x:c>
      <x:c r="AA150" s="64" t="str">
        <x:v>部分充分</x:v>
      </x:c>
      <x:c r="AB150" s="64" t="str">
        <x:v>有效</x:v>
      </x:c>
      <x:c r="AC150" s="64" t="str">
        <x:v>部分核验</x:v>
      </x:c>
      <x:c r="AD150" s="64" t="str">
        <x:v>自动默认</x:v>
      </x:c>
      <x:c r="AE150" s="64" t="str">
        <x:v>候选池</x:v>
      </x:c>
      <x:c r="AF150" s="64" t="str">
        <x:v>A_仅待终审</x:v>
      </x:c>
      <x:c r="AG150" s="64"/>
      <x:c r="AH150" s="64"/>
      <x:c r="AI150" s="64"/>
      <x:c r="AJ150" s="64"/>
      <x:c r="AK150" s="64"/>
      <x:c r="AL150" s="64"/>
      <x:c r="AM150" s="64"/>
      <x:c r="AN150" s="48" t="str">
        <x:v>150</x:v>
      </x:c>
      <x:c r="AO150" s="48" t="str">
        <x:v>MAP_正确</x:v>
      </x:c>
      <x:c r="AP150" s="48" t="str">
        <x:v>存在报告证据，但尚未经人工逐项核验；已列依据来源，但未在本阶段逐条核验</x:v>
      </x:c>
      <x:c r="AQ150" s="64"/>
      <x:c r="AR150" s="48" t="str">
        <x:v>environmental_quality_data</x:v>
      </x:c>
      <x:c r="AS150" s="48" t="str">
        <x:v>L3_analysis</x:v>
      </x:c>
      <x:c r="AT150" s="48" t="str">
        <x:v>consistency_comparison</x:v>
      </x:c>
      <x:c r="AU150" s="48" t="str">
        <x:v>evidence_integration</x:v>
      </x:c>
      <x:c r="AV150" s="48" t="str">
        <x:v>report_grounding；basis_grounding</x:v>
      </x:c>
      <x:c r="AW150" s="48" t="str">
        <x:v>high</x:v>
      </x:c>
      <x:c r="AX150" s="48" t="str">
        <x:v>high</x:v>
      </x:c>
      <x:c r="AY150" s="48" t="str">
        <x:v>report_plus_external</x:v>
      </x:c>
      <x:c r="AZ150" s="48" t="str">
        <x:v>True</x:v>
      </x:c>
      <x:c r="BA150" s="48"/>
      <x:c r="BB150" s="48" t="str">
        <x:v>auto_default</x:v>
      </x:c>
      <x:c r="BC150" s="48" t="str">
        <x:v>v1</x:v>
      </x:c>
      <x:c r="BD150" s="68"/>
    </x:row>
    <x:row r="151" ht="36" customHeight="1">
      <x:c r="A151" s="47" t="str">
        <x:v>2026-07-27</x:v>
      </x:c>
      <x:c r="B151" s="48" t="str">
        <x:v>PL028</x:v>
      </x:c>
      <x:c r="C151" s="48" t="str">
        <x:v>V01</x:v>
      </x:c>
      <x:c r="D151" s="48" t="str">
        <x:v>PL028_佛山市顺德区振峰塑料模具制造有限公司分车间新建项目_01_受理公告或公示版.pdf</x:v>
      </x:c>
      <x:c r="E151" s="48" t="str">
        <x:v>佛山市顺德区振峰塑料模具制造有限公司分车间新建项目</x:v>
      </x:c>
      <x:c r="F151" s="48" t="str">
        <x:v>PL028_Emission_水污</x:v>
      </x:c>
      <x:c r="G151" s="48" t="str">
        <x:v>污染物排放标准-水污染物排放标准</x:v>
      </x:c>
      <x:c r="H15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51" s="48" t="str">
        <x:v>1、水污染物排放标准中生活污水排放执行标准：无误；
2、水污染物排放标准结论的过程分析内容：报告明确生活污水经三级化粪池预处理后达到《水污染物排放限值》（DB44/26-2001）第二时段三级标准后，排入均安污水处理厂处理，尾水排入海洲水道。均安污水处理厂尾水排放执行《城镇污水处理厂污染物排放标准》（GB18918-2002）一级A标准及DB44/26-2001第二时段一级标准的较严值。报告以表3-4列出pH、CODCr、NH3-N、BOD5、SS等污染物限值，标准选取正确，限值完整，无误。
2.</x:v>
      </x:c>
      <x:c r="J151" s="48" t="str">
        <x:v>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x:v>
      </x:c>
      <x:c r="K151" s="48" t="str">
        <x:v>emission-standard-kb.jsonl; DB44/26-2001; DB44/2367-2022; GB31572-2015; GB14554-93; GB12348-2008; GB18597-2023; GB18599-2020</x:v>
      </x:c>
      <x:c r="L151" s="48" t="str">
        <x:v>2</x:v>
      </x:c>
      <x:c r="M151" s="48" t="str">
        <x:v>2</x:v>
      </x:c>
      <x:c r="N151" s="48" t="str">
        <x:v>False</x:v>
      </x:c>
      <x:c r="O151" s="48" t="str">
        <x:v>无误</x:v>
      </x:c>
      <x:c r="P151" s="4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151" s="48"/>
      <x:c r="R151" s="48"/>
      <x:c r="S151" s="48" t="str">
        <x:v>否</x:v>
      </x:c>
      <x:c r="T151" s="48" t="str">
        <x:v>原综合排放标准问答对拆分而来</x:v>
      </x:c>
      <x:c r="U151" s="48" t="str">
        <x:v>30份环评_污染物排放控制执行标准复核QA(拆分版)</x:v>
      </x:c>
      <x:c r="V151" s="48" t="str">
        <x:v>水污染物排放标准</x:v>
      </x:c>
      <x:c r="W151" s="48" t="str">
        <x:v>无误</x:v>
      </x:c>
      <x:c r="X151" s="48" t="str">
        <x:v>无误</x:v>
      </x:c>
      <x:c r="Y151" s="64"/>
      <x:c r="Z151" s="64" t="str">
        <x:v>未复核</x:v>
      </x:c>
      <x:c r="AA151" s="64" t="str">
        <x:v>部分充分</x:v>
      </x:c>
      <x:c r="AB151" s="64" t="str">
        <x:v>有效</x:v>
      </x:c>
      <x:c r="AC151" s="64" t="str">
        <x:v>部分核验</x:v>
      </x:c>
      <x:c r="AD151" s="64" t="str">
        <x:v>自动默认</x:v>
      </x:c>
      <x:c r="AE151" s="64" t="str">
        <x:v>候选池</x:v>
      </x:c>
      <x:c r="AF151" s="64" t="str">
        <x:v>待分流</x:v>
      </x:c>
      <x:c r="AG151" s="64"/>
      <x:c r="AH151" s="64"/>
      <x:c r="AI151" s="64"/>
      <x:c r="AJ151" s="64"/>
      <x:c r="AK151" s="64"/>
      <x:c r="AL151" s="64"/>
      <x:c r="AM151" s="64"/>
      <x:c r="AN151" s="48" t="str">
        <x:v>151</x:v>
      </x:c>
      <x:c r="AO151" s="48" t="str">
        <x:v>MAP_无误</x:v>
      </x:c>
      <x:c r="AP151" s="48" t="str">
        <x:v>存在报告证据，但尚未经人工逐项核验；已列依据来源，但未在本阶段逐条核验</x:v>
      </x:c>
      <x:c r="AQ151" s="64"/>
      <x:c r="AR151" s="48" t="str">
        <x:v>water_emission_standard</x:v>
      </x:c>
      <x:c r="AS151" s="48" t="str">
        <x:v>L3_analysis</x:v>
      </x:c>
      <x:c r="AT151" s="48" t="str">
        <x:v>rule_applicability</x:v>
      </x:c>
      <x:c r="AU151" s="48" t="str">
        <x:v>basis_grounding</x:v>
      </x:c>
      <x:c r="AV151" s="48" t="str">
        <x:v>report_grounding；procedural_reasoning</x:v>
      </x:c>
      <x:c r="AW151" s="48" t="str">
        <x:v>high</x:v>
      </x:c>
      <x:c r="AX151" s="48" t="str">
        <x:v>high</x:v>
      </x:c>
      <x:c r="AY151" s="48" t="str">
        <x:v>report_plus_external</x:v>
      </x:c>
      <x:c r="AZ151" s="48" t="str">
        <x:v>True</x:v>
      </x:c>
      <x:c r="BA151" s="48"/>
      <x:c r="BB151" s="48" t="str">
        <x:v>auto_default</x:v>
      </x:c>
      <x:c r="BC151" s="48" t="str">
        <x:v>v1</x:v>
      </x:c>
      <x:c r="BD151" s="68"/>
    </x:row>
    <x:row r="152" ht="36" customHeight="1">
      <x:c r="A152" s="47" t="str">
        <x:v>2026-07-27</x:v>
      </x:c>
      <x:c r="B152" s="48" t="str">
        <x:v>PL028</x:v>
      </x:c>
      <x:c r="C152" s="48" t="str">
        <x:v>V01</x:v>
      </x:c>
      <x:c r="D152" s="48" t="str">
        <x:v>PL028_佛山市顺德区振峰塑料模具制造有限公司分车间新建项目_01_受理公告或公示版.pdf</x:v>
      </x:c>
      <x:c r="E152" s="48" t="str">
        <x:v>佛山市顺德区振峰塑料模具制造有限公司分车间新建项目</x:v>
      </x:c>
      <x:c r="F152" s="48" t="str">
        <x:v>PL028_Emission_大气</x:v>
      </x:c>
      <x:c r="G152" s="48" t="str">
        <x:v>污染物排放标准-大气污染物排放标准</x:v>
      </x:c>
      <x:c r="H152" s="48" t="str">
        <x:v>请根据项目行业类别、生产工艺和污染因子，判断大气污染物排放标准选取是否合理。要求分析：污染源覆盖是否完整（列出所有大气污染源及对应标准），是否存在缺漏的污染源或标准。</x:v>
      </x:c>
      <x:c r="I152" s="48" t="str">
        <x:v>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x:v>
      </x:c>
      <x:c r="J152" s="4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x:v>
      </x:c>
      <x:c r="K152" s="48" t="str">
        <x:v>emission-standard-kb.jsonl; DB44/26-2001; DB44/2367-2022; GB31572-2015; GB14554-93; GB12348-2008; GB18597-2023; GB18599-2020</x:v>
      </x:c>
      <x:c r="L152" s="48" t="str">
        <x:v>2</x:v>
      </x:c>
      <x:c r="M152" s="48" t="str">
        <x:v>2</x:v>
      </x:c>
      <x:c r="N152" s="48" t="str">
        <x:v>False</x:v>
      </x:c>
      <x:c r="O152" s="48" t="str">
        <x:v>无误</x:v>
      </x:c>
      <x:c r="P152" s="4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152" s="48"/>
      <x:c r="R152" s="48"/>
      <x:c r="S152" s="48" t="str">
        <x:v>否</x:v>
      </x:c>
      <x:c r="T152" s="48" t="str">
        <x:v>原综合排放标准问答对拆分而来</x:v>
      </x:c>
      <x:c r="U152" s="48" t="str">
        <x:v>30份环评_污染物排放控制执行标准复核QA(拆分版)</x:v>
      </x:c>
      <x:c r="V152" s="48" t="str">
        <x:v>大气污染物排放标准</x:v>
      </x:c>
      <x:c r="W152" s="48" t="str">
        <x:v>无误</x:v>
      </x:c>
      <x:c r="X152" s="48" t="str">
        <x:v>无误</x:v>
      </x:c>
      <x:c r="Y152" s="64"/>
      <x:c r="Z152" s="64" t="str">
        <x:v>未复核</x:v>
      </x:c>
      <x:c r="AA152" s="64" t="str">
        <x:v>部分充分</x:v>
      </x:c>
      <x:c r="AB152" s="64" t="str">
        <x:v>有效</x:v>
      </x:c>
      <x:c r="AC152" s="64" t="str">
        <x:v>部分核验</x:v>
      </x:c>
      <x:c r="AD152" s="64" t="str">
        <x:v>自动默认</x:v>
      </x:c>
      <x:c r="AE152" s="64" t="str">
        <x:v>候选池</x:v>
      </x:c>
      <x:c r="AF152" s="64" t="str">
        <x:v>待分流</x:v>
      </x:c>
      <x:c r="AG152" s="64"/>
      <x:c r="AH152" s="64"/>
      <x:c r="AI152" s="64"/>
      <x:c r="AJ152" s="64"/>
      <x:c r="AK152" s="64"/>
      <x:c r="AL152" s="64"/>
      <x:c r="AM152" s="64"/>
      <x:c r="AN152" s="48" t="str">
        <x:v>152</x:v>
      </x:c>
      <x:c r="AO152" s="48" t="str">
        <x:v>MAP_无误</x:v>
      </x:c>
      <x:c r="AP152" s="48" t="str">
        <x:v>存在报告证据，但尚未经人工逐项核验；已列依据来源，但未在本阶段逐条核验</x:v>
      </x:c>
      <x:c r="AQ152" s="64"/>
      <x:c r="AR152" s="48" t="str">
        <x:v>air_emission_standard</x:v>
      </x:c>
      <x:c r="AS152" s="48" t="str">
        <x:v>L3_analysis</x:v>
      </x:c>
      <x:c r="AT152" s="48" t="str">
        <x:v>multi_evidence_synthesis</x:v>
      </x:c>
      <x:c r="AU152" s="48" t="str">
        <x:v>basis_grounding</x:v>
      </x:c>
      <x:c r="AV152" s="48" t="str">
        <x:v>report_grounding；evidence_integration</x:v>
      </x:c>
      <x:c r="AW152" s="48" t="str">
        <x:v>high</x:v>
      </x:c>
      <x:c r="AX152" s="48" t="str">
        <x:v>high</x:v>
      </x:c>
      <x:c r="AY152" s="48" t="str">
        <x:v>report_plus_external</x:v>
      </x:c>
      <x:c r="AZ152" s="48" t="str">
        <x:v>True</x:v>
      </x:c>
      <x:c r="BA152" s="48"/>
      <x:c r="BB152" s="48" t="str">
        <x:v>auto_default</x:v>
      </x:c>
      <x:c r="BC152" s="48" t="str">
        <x:v>v1</x:v>
      </x:c>
      <x:c r="BD152" s="68"/>
    </x:row>
    <x:row r="153" ht="36" customHeight="1">
      <x:c r="A153" s="47" t="str">
        <x:v>2026-07-27</x:v>
      </x:c>
      <x:c r="B153" s="48" t="str">
        <x:v>PL028</x:v>
      </x:c>
      <x:c r="C153" s="48" t="str">
        <x:v>V01</x:v>
      </x:c>
      <x:c r="D153" s="48" t="str">
        <x:v>PL028_佛山市顺德区振峰塑料模具制造有限公司分车间新建项目_01_受理公告或公示版.pdf</x:v>
      </x:c>
      <x:c r="E153" s="48" t="str">
        <x:v>佛山市顺德区振峰塑料模具制造有限公司分车间新建项目</x:v>
      </x:c>
      <x:c r="F153" s="48" t="str">
        <x:v>PL028_Emission_噪声</x:v>
      </x:c>
      <x:c r="G153" s="48" t="str">
        <x:v>污染物排放标准-噪声排放标准</x:v>
      </x:c>
      <x:c r="H153" s="48" t="str">
        <x:v>请根据项目所属声环境功能区类别，判断噪声排放标准选取是否合理。要求总结声功能区类型、厂界执行标准（GB12348-2008）及昼夜限值，并与环评编制内容进行一致性分析。</x:v>
      </x:c>
      <x:c r="I153" s="48" t="str">
        <x:v>1、噪声排放标准中执行标准与排放限值内容：无误；
2、报告明确厂界噪声执行《工业企业厂界环境噪声排放标准》（GB12348-2008）3类标准（昼间≤65dB(A)，夜间≤55dB(A)），选取正确，无误。
4.</x:v>
      </x:c>
      <x:c r="J153" s="48" t="str">
        <x:v>噪声标准：「项目厂界噪声执行《工业企业厂界环境噪声排放标准》（GB12348-2008）中的3 类标准：昼间≤65dB（A），夜间≤55dB（A）。」
4.</x:v>
      </x:c>
      <x:c r="K153" s="48" t="str">
        <x:v>emission-standard-kb.jsonl; DB44/26-2001; DB44/2367-2022; GB31572-2015; GB14554-93; GB12348-2008; GB18597-2023; GB18599-2020</x:v>
      </x:c>
      <x:c r="L153" s="48" t="str">
        <x:v>2</x:v>
      </x:c>
      <x:c r="M153" s="48" t="str">
        <x:v>2</x:v>
      </x:c>
      <x:c r="N153" s="48" t="str">
        <x:v>False</x:v>
      </x:c>
      <x:c r="O153" s="48" t="str">
        <x:v>无误</x:v>
      </x:c>
      <x:c r="P153" s="4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153" s="48"/>
      <x:c r="R153" s="48"/>
      <x:c r="S153" s="48" t="str">
        <x:v>否</x:v>
      </x:c>
      <x:c r="T153" s="48" t="str">
        <x:v>原综合排放标准问答对拆分而来</x:v>
      </x:c>
      <x:c r="U153" s="48" t="str">
        <x:v>30份环评_污染物排放控制执行标准复核QA(拆分版)</x:v>
      </x:c>
      <x:c r="V153" s="48" t="str">
        <x:v>噪声排放标准</x:v>
      </x:c>
      <x:c r="W153" s="48" t="str">
        <x:v>无误</x:v>
      </x:c>
      <x:c r="X153" s="48" t="str">
        <x:v>无误</x:v>
      </x:c>
      <x:c r="Y153" s="64"/>
      <x:c r="Z153" s="64" t="str">
        <x:v>未复核</x:v>
      </x:c>
      <x:c r="AA153" s="64" t="str">
        <x:v>部分充分</x:v>
      </x:c>
      <x:c r="AB153" s="64" t="str">
        <x:v>有效</x:v>
      </x:c>
      <x:c r="AC153" s="64" t="str">
        <x:v>部分核验</x:v>
      </x:c>
      <x:c r="AD153" s="64" t="str">
        <x:v>自动默认</x:v>
      </x:c>
      <x:c r="AE153" s="64" t="str">
        <x:v>候选池</x:v>
      </x:c>
      <x:c r="AF153" s="64" t="str">
        <x:v>待分流</x:v>
      </x:c>
      <x:c r="AG153" s="64"/>
      <x:c r="AH153" s="64"/>
      <x:c r="AI153" s="64"/>
      <x:c r="AJ153" s="64"/>
      <x:c r="AK153" s="64"/>
      <x:c r="AL153" s="64"/>
      <x:c r="AM153" s="64"/>
      <x:c r="AN153" s="48" t="str">
        <x:v>153</x:v>
      </x:c>
      <x:c r="AO153" s="48" t="str">
        <x:v>MAP_无误</x:v>
      </x:c>
      <x:c r="AP153" s="48" t="str">
        <x:v>存在报告证据，但尚未经人工逐项核验；已列依据来源，但未在本阶段逐条核验</x:v>
      </x:c>
      <x:c r="AQ153" s="64"/>
      <x:c r="AR153" s="48" t="str">
        <x:v>noise_emission_standard</x:v>
      </x:c>
      <x:c r="AS153" s="48" t="str">
        <x:v>L2_application</x:v>
      </x:c>
      <x:c r="AT153" s="48" t="str">
        <x:v>rule_applicability</x:v>
      </x:c>
      <x:c r="AU153" s="48" t="str">
        <x:v>basis_grounding</x:v>
      </x:c>
      <x:c r="AV153" s="48" t="str">
        <x:v>report_grounding</x:v>
      </x:c>
      <x:c r="AW153" s="48" t="str">
        <x:v>high</x:v>
      </x:c>
      <x:c r="AX153" s="48" t="str">
        <x:v>medium</x:v>
      </x:c>
      <x:c r="AY153" s="48" t="str">
        <x:v>report_plus_external</x:v>
      </x:c>
      <x:c r="AZ153" s="48" t="str">
        <x:v>True</x:v>
      </x:c>
      <x:c r="BA153" s="48"/>
      <x:c r="BB153" s="48" t="str">
        <x:v>auto_default</x:v>
      </x:c>
      <x:c r="BC153" s="48" t="str">
        <x:v>v1</x:v>
      </x:c>
      <x:c r="BD153" s="68"/>
    </x:row>
    <x:row r="154" ht="36" customHeight="1">
      <x:c r="A154" s="47" t="str">
        <x:v>2026-07-27</x:v>
      </x:c>
      <x:c r="B154" s="48" t="str">
        <x:v>PL028</x:v>
      </x:c>
      <x:c r="C154" s="48" t="str">
        <x:v>V01</x:v>
      </x:c>
      <x:c r="D154" s="48" t="str">
        <x:v>PL028_佛山市顺德区振峰塑料模具制造有限公司分车间新建项目_01_受理公告或公示版.pdf</x:v>
      </x:c>
      <x:c r="E154" s="48" t="str">
        <x:v>佛山市顺德区振峰塑料模具制造有限公司分车间新建项目</x:v>
      </x:c>
      <x:c r="F154" s="48" t="str">
        <x:v>PL028_Emission_固体</x:v>
      </x:c>
      <x:c r="G154" s="48" t="str">
        <x:v>污染物排放标准-固体废物控制标准</x:v>
      </x:c>
      <x:c r="H154" s="48" t="str">
        <x:v>请根据项目产生的固体废物和危险废物类型，判断固体废物控制标准选取是否合理。要求总结一般工业固体废物和危险废物执行标准的标准名称及编号，分析是否缺少必要标准条目。</x:v>
      </x:c>
      <x:c r="I154"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54" s="48" t="str">
        <x:v>固废标准：「危险废物在厂区内暂存应符合《危险废物贮存污染控制标准》（GB18597-2023）；一般工业固废在厂区内贮存过程应满足相应防渗漏、防雨淋、防扬尘等环境保护要求」</x:v>
      </x:c>
      <x:c r="K154" s="48" t="str">
        <x:v>emission-standard-kb.jsonl; DB44/26-2001; DB44/2367-2022; GB31572-2015; GB14554-93; GB12348-2008; GB18597-2023; GB18599-2020</x:v>
      </x:c>
      <x:c r="L154" s="48" t="str">
        <x:v>2</x:v>
      </x:c>
      <x:c r="M154" s="48" t="str">
        <x:v>2</x:v>
      </x:c>
      <x:c r="N154" s="48" t="str">
        <x:v>False</x:v>
      </x:c>
      <x:c r="O154" s="48" t="str">
        <x:v>无误</x:v>
      </x:c>
      <x:c r="P154" s="4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154" s="48"/>
      <x:c r="R154" s="48"/>
      <x:c r="S154" s="48" t="str">
        <x:v>否</x:v>
      </x:c>
      <x:c r="T154" s="48" t="str">
        <x:v>修正：GB18599-2020不在知识库必须满足的标准清单中，原判定依据已更正。原综合排放标准问答对拆分而来</x:v>
      </x:c>
      <x:c r="U154" s="48" t="str">
        <x:v>30份环评_污染物排放控制执行标准复核QA(拆分版)</x:v>
      </x:c>
      <x:c r="V154" s="48" t="str">
        <x:v>固体废物控制标准</x:v>
      </x:c>
      <x:c r="W154" s="48" t="str">
        <x:v>无误</x:v>
      </x:c>
      <x:c r="X154" s="48" t="str">
        <x:v>无误</x:v>
      </x:c>
      <x:c r="Y154" s="64"/>
      <x:c r="Z154" s="64" t="str">
        <x:v>未复核</x:v>
      </x:c>
      <x:c r="AA154" s="64" t="str">
        <x:v>部分充分</x:v>
      </x:c>
      <x:c r="AB154" s="64" t="str">
        <x:v>有效</x:v>
      </x:c>
      <x:c r="AC154" s="64" t="str">
        <x:v>部分核验</x:v>
      </x:c>
      <x:c r="AD154" s="64" t="str">
        <x:v>自动默认</x:v>
      </x:c>
      <x:c r="AE154" s="64" t="str">
        <x:v>候选池</x:v>
      </x:c>
      <x:c r="AF154" s="64" t="str">
        <x:v>待分流</x:v>
      </x:c>
      <x:c r="AG154" s="64"/>
      <x:c r="AH154" s="64"/>
      <x:c r="AI154" s="64"/>
      <x:c r="AJ154" s="64"/>
      <x:c r="AK154" s="64"/>
      <x:c r="AL154" s="64"/>
      <x:c r="AM154" s="64"/>
      <x:c r="AN154" s="48" t="str">
        <x:v>154</x:v>
      </x:c>
      <x:c r="AO154" s="48" t="str">
        <x:v>MAP_无误</x:v>
      </x:c>
      <x:c r="AP154" s="48" t="str">
        <x:v>存在报告证据，但尚未经人工逐项核验；已列依据来源，但未在本阶段逐条核验</x:v>
      </x:c>
      <x:c r="AQ154" s="64"/>
      <x:c r="AR154" s="48" t="str">
        <x:v>solid_waste_standard</x:v>
      </x:c>
      <x:c r="AS154" s="48" t="str">
        <x:v>L2_application</x:v>
      </x:c>
      <x:c r="AT154" s="48" t="str">
        <x:v>rule_applicability</x:v>
      </x:c>
      <x:c r="AU154" s="48" t="str">
        <x:v>basis_grounding</x:v>
      </x:c>
      <x:c r="AV154" s="48" t="str">
        <x:v>report_grounding</x:v>
      </x:c>
      <x:c r="AW154" s="48" t="str">
        <x:v>high</x:v>
      </x:c>
      <x:c r="AX154" s="48" t="str">
        <x:v>medium</x:v>
      </x:c>
      <x:c r="AY154" s="48" t="str">
        <x:v>report_plus_external</x:v>
      </x:c>
      <x:c r="AZ154" s="48" t="str">
        <x:v>True</x:v>
      </x:c>
      <x:c r="BA154" s="48"/>
      <x:c r="BB154" s="48" t="str">
        <x:v>auto_default</x:v>
      </x:c>
      <x:c r="BC154" s="48" t="str">
        <x:v>v1</x:v>
      </x:c>
      <x:c r="BD154" s="68"/>
    </x:row>
    <x:row r="155" ht="36" customHeight="1">
      <x:c r="A155" s="47" t="str">
        <x:v>2026-06-25</x:v>
      </x:c>
      <x:c r="B155" s="48" t="str">
        <x:v>PL029</x:v>
      </x:c>
      <x:c r="C155" s="48" t="str">
        <x:v>V01</x:v>
      </x:c>
      <x:c r="D155" s="48" t="str">
        <x:v>年10月24日建设项目环境影响报告书（表）受理公告（均安）_2.pdf</x:v>
      </x:c>
      <x:c r="E155" s="48" t="str">
        <x:v>佛山市茂安耀科技有限公司新建项目</x:v>
      </x:c>
      <x:c r="F155" s="48" t="str">
        <x:v>PL029_V01_Q01</x:v>
      </x:c>
      <x:c r="G155" s="48" t="str">
        <x:v>1. 塑胶行业样本筛选与国民经济行业分类</x:v>
      </x:c>
      <x:c r="H155" s="48" t="str">
        <x:v>请结合项目产品、原辅材料和生产工艺，判断该报告行业类别是否基本合理。</x:v>
      </x:c>
      <x:c r="I155" s="48" t="str">
        <x:v>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x:v>
      </x:c>
      <x:c r="J155" s="48"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155" s="48" t="str">
        <x:v>《国民经济行业分类》(GB/T 4754—2017)；本任务C292筛选及C17/C18排除规则</x:v>
      </x:c>
      <x:c r="L155" s="48" t="str">
        <x:v>结合本项目行业代码、建设性质、工艺关键词及PDF证据生成，非脱离项目的通用题。</x:v>
      </x:c>
      <x:c r="M155" s="48" t="str">
        <x:v>可依据对应PDF原文、工程分析表格及所列法规标准逐项复核。</x:v>
      </x:c>
      <x:c r="N155" s="48" t="str">
        <x:v>True</x:v>
      </x:c>
      <x:c r="O155" s="48"/>
      <x:c r="P155" s="48"/>
      <x:c r="Q155" s="48"/>
      <x:c r="R155" s="48" t="str">
        <x:v>新增</x:v>
      </x:c>
      <x:c r="S155" s="48" t="str">
        <x:v>是</x:v>
      </x:c>
      <x:c r="T155" s="48" t="str">
        <x:v>自动生成；需人工复核项目参数、公式取值、标准适用范围及PDF文字提取完整性。</x:v>
      </x:c>
      <x:c r="U155" s="48" t="str">
        <x:v>seed_qa_塑胶行业筛选版_30个国民经济行业分类的人工标记</x:v>
      </x:c>
      <x:c r="V155" s="48" t="str">
        <x:v>国民经济行业分类</x:v>
      </x:c>
      <x:c r="W155" s="48"/>
      <x:c r="X155" s="48" t="str">
        <x:v>待判断</x:v>
      </x:c>
      <x:c r="Y155" s="64"/>
      <x:c r="Z155" s="64" t="str">
        <x:v>未复核</x:v>
      </x:c>
      <x:c r="AA155" s="64" t="str">
        <x:v>部分充分</x:v>
      </x:c>
      <x:c r="AB155" s="64" t="str">
        <x:v>待判断</x:v>
      </x:c>
      <x:c r="AC155" s="64" t="str">
        <x:v>部分核验</x:v>
      </x:c>
      <x:c r="AD155" s="64" t="str">
        <x:v>自动默认</x:v>
      </x:c>
      <x:c r="AE155" s="64" t="str">
        <x:v>候选池</x:v>
      </x:c>
      <x:c r="AF155" s="64" t="str">
        <x:v>C_题目或材料问题</x:v>
      </x:c>
      <x:c r="AG155" s="64"/>
      <x:c r="AH155" s="64"/>
      <x:c r="AI155" s="64"/>
      <x:c r="AJ155" s="64"/>
      <x:c r="AK155" s="64"/>
      <x:c r="AL155" s="64"/>
      <x:c r="AM155" s="64"/>
      <x:c r="AN155" s="48" t="str">
        <x:v>155</x:v>
      </x:c>
      <x:c r="AO155" s="48" t="str">
        <x:v>MAP_BLANK</x:v>
      </x:c>
      <x:c r="AP155" s="48" t="str">
        <x:v>人工判断为空：不得自动补填结论；人工判断为空；结构完整但原因需人工确认；存在报告证据，但尚未经人工逐项核验；已列依据来源，但未在本阶段逐条核验</x:v>
      </x:c>
      <x:c r="AQ155" s="64"/>
      <x:c r="AR155" s="48" t="str">
        <x:v>industry_classification</x:v>
      </x:c>
      <x:c r="AS155" s="48" t="str">
        <x:v>L3_analysis</x:v>
      </x:c>
      <x:c r="AT155" s="48" t="str">
        <x:v>multi_evidence_synthesis</x:v>
      </x:c>
      <x:c r="AU155" s="48" t="str">
        <x:v>evidence_integration</x:v>
      </x:c>
      <x:c r="AV155" s="48" t="str">
        <x:v>report_grounding；basis_grounding</x:v>
      </x:c>
      <x:c r="AW155" s="48" t="str">
        <x:v>high</x:v>
      </x:c>
      <x:c r="AX155" s="48" t="str">
        <x:v>high</x:v>
      </x:c>
      <x:c r="AY155" s="48" t="str">
        <x:v>cross_section</x:v>
      </x:c>
      <x:c r="AZ155" s="48" t="str">
        <x:v>True</x:v>
      </x:c>
      <x:c r="BA155" s="48"/>
      <x:c r="BB155" s="48" t="str">
        <x:v>auto_default</x:v>
      </x:c>
      <x:c r="BC155" s="48" t="str">
        <x:v>v1</x:v>
      </x:c>
      <x:c r="BD155" s="68"/>
    </x:row>
    <x:row r="156" ht="36" customHeight="1">
      <x:c r="A156" s="47" t="str">
        <x:v>2026-07-24</x:v>
      </x:c>
      <x:c r="B156" s="48" t="str">
        <x:v>PL029</x:v>
      </x:c>
      <x:c r="C156" s="48" t="str">
        <x:v>V01</x:v>
      </x:c>
      <x:c r="D156" s="48" t="str">
        <x:v>PL029_佛山市茂安耀科技有限公司新建项目</x:v>
      </x:c>
      <x:c r="E156" s="48" t="str">
        <x:v>佛山市茂安耀科技有限公司新建项目</x:v>
      </x:c>
      <x:c r="F156" s="48" t="str">
        <x:v>PL029_V01_Q03</x:v>
      </x:c>
      <x:c r="G156" s="48" t="str">
        <x:v>环评投资核算</x:v>
      </x:c>
      <x:c r="H156" s="48" t="str">
        <x:v>请根据报告中的总投资、环保投资和环保工程投资明细，判断环保投资核算是否前后一致、比例是否正确。</x:v>
      </x:c>
      <x:c r="I156" s="48" t="str">
        <x:v>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x:v>
      </x:c>
      <x:c r="J156" s="48" t="str">
        <x:v>一、建设项目基本情况；表2-11：分项合计20万元。来源：解析文本拼接_02_021-040(3).md</x:v>
      </x:c>
      <x:c r="K156" s="48" t="str">
        <x:v>报告原文-环保投资明细表</x:v>
      </x:c>
      <x:c r="L156" s="48" t="str">
        <x:v>2</x:v>
      </x:c>
      <x:c r="M156" s="48" t="str">
        <x:v>2</x:v>
      </x:c>
      <x:c r="N156" s="48" t="str">
        <x:v>False</x:v>
      </x:c>
      <x:c r="O156" s="48" t="str">
        <x:v>需复核</x:v>
      </x:c>
      <x:c r="P156" s="48"/>
      <x:c r="Q156" s="48"/>
      <x:c r="R156" s="48"/>
      <x:c r="S156" s="48" t="str">
        <x:v>是</x:v>
      </x:c>
      <x:c r="T156" s="48"/>
      <x:c r="U156" s="48" t="str">
        <x:v>30个PL_环评投资核算QA</x:v>
      </x:c>
      <x:c r="V156" s="48" t="str">
        <x:v>环评投资概算</x:v>
      </x:c>
      <x:c r="W156" s="48" t="str">
        <x:v>需复核</x:v>
      </x:c>
      <x:c r="X156" s="48" t="str">
        <x:v>需人工复核</x:v>
      </x:c>
      <x:c r="Y156" s="64"/>
      <x:c r="Z156" s="64" t="str">
        <x:v>未复核</x:v>
      </x:c>
      <x:c r="AA156" s="64" t="str">
        <x:v>部分充分</x:v>
      </x:c>
      <x:c r="AB156" s="64" t="str">
        <x:v>有效</x:v>
      </x:c>
      <x:c r="AC156" s="64" t="str">
        <x:v>不需要外部依据</x:v>
      </x:c>
      <x:c r="AD156" s="64" t="str">
        <x:v>自动默认</x:v>
      </x:c>
      <x:c r="AE156" s="64" t="str">
        <x:v>候选池</x:v>
      </x:c>
      <x:c r="AF156" s="64" t="str">
        <x:v>B_证据不足</x:v>
      </x:c>
      <x:c r="AG156" s="64"/>
      <x:c r="AH156" s="64"/>
      <x:c r="AI156" s="64"/>
      <x:c r="AJ156" s="64"/>
      <x:c r="AK156" s="64"/>
      <x:c r="AL156" s="64"/>
      <x:c r="AM156" s="64"/>
      <x:c r="AN156" s="48" t="str">
        <x:v>156</x:v>
      </x:c>
      <x:c r="AO156" s="48" t="str">
        <x:v>MAP_需复核</x:v>
      </x:c>
      <x:c r="AP156" s="48" t="str">
        <x:v>原结论明确要求人工复核；存在报告证据，但尚未经人工逐项核验；投资复核主要依据报告内金额与算式</x:v>
      </x:c>
      <x:c r="AQ156" s="64"/>
      <x:c r="AR156" s="48" t="str">
        <x:v>environmental_investment</x:v>
      </x:c>
      <x:c r="AS156" s="48" t="str">
        <x:v>L2_application</x:v>
      </x:c>
      <x:c r="AT156" s="48" t="str">
        <x:v>quantitative_verification</x:v>
      </x:c>
      <x:c r="AU156" s="48" t="str">
        <x:v>numerical_accuracy</x:v>
      </x:c>
      <x:c r="AV156" s="48" t="str">
        <x:v>report_grounding；procedural_reasoning</x:v>
      </x:c>
      <x:c r="AW156" s="48" t="str">
        <x:v>low</x:v>
      </x:c>
      <x:c r="AX156" s="48" t="str">
        <x:v>medium</x:v>
      </x:c>
      <x:c r="AY156" s="48" t="str">
        <x:v>cross_section</x:v>
      </x:c>
      <x:c r="AZ156" s="48" t="str">
        <x:v>True</x:v>
      </x:c>
      <x:c r="BA156" s="48"/>
      <x:c r="BB156" s="48" t="str">
        <x:v>auto_default</x:v>
      </x:c>
      <x:c r="BC156" s="48" t="str">
        <x:v>v1</x:v>
      </x:c>
      <x:c r="BD156" s="68"/>
    </x:row>
    <x:row r="157" ht="36" customHeight="1">
      <x:c r="A157" s="47" t="str">
        <x:v>2026-07-28</x:v>
      </x:c>
      <x:c r="B157" s="48" t="str">
        <x:v>PL029</x:v>
      </x:c>
      <x:c r="C157" s="48" t="str">
        <x:v>V01</x:v>
      </x:c>
      <x:c r="D157" s="48" t="str">
        <x:v>PL029_佛山市茂安耀科技有限公司新建项目_01_受理公告或公示版.pdf</x:v>
      </x:c>
      <x:c r="E157" s="48" t="str">
        <x:v>佛山市茂安耀科技有限公司新建项目</x:v>
      </x:c>
      <x:c r="F157" s="48" t="str">
        <x:v>PL029_EnvQuality_Q01</x:v>
      </x:c>
      <x:c r="G157" s="48" t="str">
        <x:v>大气及地表水环境质量现状数据引用</x:v>
      </x:c>
      <x:c r="H157" s="48" t="str">
        <x:v>请根据报告引用的环境质量公报及现状数据，判断大气和地表水环境质量现状数据引用是否准确。</x:v>
      </x:c>
      <x:c r="I157"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157" s="48" t="str">
        <x:v>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x:v>
      </x:c>
      <x:c r="K157" s="48" t="str">
        <x:v>生态环境状况公报知识库; 收纳水体地表水执行标准</x:v>
      </x:c>
      <x:c r="L157" s="48" t="str">
        <x:v>2</x:v>
      </x:c>
      <x:c r="M157" s="48" t="str">
        <x:v>2</x:v>
      </x:c>
      <x:c r="N157" s="48" t="str">
        <x:v>False</x:v>
      </x:c>
      <x:c r="O157" s="48" t="str">
        <x:v>正确</x:v>
      </x:c>
      <x:c r="P157" s="48" t="str">
        <x:v>大气:正确; 地表水:正确; 报告日期:2024</x:v>
      </x:c>
      <x:c r="Q157" s="48"/>
      <x:c r="R157" s="48"/>
      <x:c r="S157" s="48" t="str">
        <x:v>是</x:v>
      </x:c>
      <x:c r="T157" s="48" t="str">
        <x:v>未发现明显问题，大气和地表水环境质量引用数据均正确，公报引用在近3年度窗口内，分析内容与公报一致，均安污水处理厂尾水受纳河道（海洲水道）和执行标准（III类）与官方登记一致。</x:v>
      </x:c>
      <x:c r="U157" s="48" t="str">
        <x:v>30个环评_大气及地表水环境质量现状数据引用复核QA</x:v>
      </x:c>
      <x:c r="V157" s="48" t="str">
        <x:v>环境质量数据引用</x:v>
      </x:c>
      <x:c r="W157" s="48" t="str">
        <x:v>正确</x:v>
      </x:c>
      <x:c r="X157" s="48" t="str">
        <x:v>无误</x:v>
      </x:c>
      <x:c r="Y157" s="64"/>
      <x:c r="Z157" s="64" t="str">
        <x:v>未复核</x:v>
      </x:c>
      <x:c r="AA157" s="64" t="str">
        <x:v>部分充分</x:v>
      </x:c>
      <x:c r="AB157" s="64" t="str">
        <x:v>有效</x:v>
      </x:c>
      <x:c r="AC157" s="64" t="str">
        <x:v>部分核验</x:v>
      </x:c>
      <x:c r="AD157" s="64" t="str">
        <x:v>自动默认</x:v>
      </x:c>
      <x:c r="AE157" s="64" t="str">
        <x:v>候选池</x:v>
      </x:c>
      <x:c r="AF157" s="64" t="str">
        <x:v>A_仅待终审</x:v>
      </x:c>
      <x:c r="AG157" s="64"/>
      <x:c r="AH157" s="64"/>
      <x:c r="AI157" s="64"/>
      <x:c r="AJ157" s="64"/>
      <x:c r="AK157" s="64"/>
      <x:c r="AL157" s="64"/>
      <x:c r="AM157" s="64"/>
      <x:c r="AN157" s="48" t="str">
        <x:v>157</x:v>
      </x:c>
      <x:c r="AO157" s="48" t="str">
        <x:v>MAP_正确</x:v>
      </x:c>
      <x:c r="AP157" s="48" t="str">
        <x:v>存在报告证据，但尚未经人工逐项核验；已列依据来源，但未在本阶段逐条核验</x:v>
      </x:c>
      <x:c r="AQ157" s="64"/>
      <x:c r="AR157" s="48" t="str">
        <x:v>environmental_quality_data</x:v>
      </x:c>
      <x:c r="AS157" s="48" t="str">
        <x:v>L3_analysis</x:v>
      </x:c>
      <x:c r="AT157" s="48" t="str">
        <x:v>consistency_comparison</x:v>
      </x:c>
      <x:c r="AU157" s="48" t="str">
        <x:v>evidence_integration</x:v>
      </x:c>
      <x:c r="AV157" s="48" t="str">
        <x:v>report_grounding；basis_grounding</x:v>
      </x:c>
      <x:c r="AW157" s="48" t="str">
        <x:v>high</x:v>
      </x:c>
      <x:c r="AX157" s="48" t="str">
        <x:v>high</x:v>
      </x:c>
      <x:c r="AY157" s="48" t="str">
        <x:v>report_plus_external</x:v>
      </x:c>
      <x:c r="AZ157" s="48" t="str">
        <x:v>True</x:v>
      </x:c>
      <x:c r="BA157" s="48"/>
      <x:c r="BB157" s="48" t="str">
        <x:v>auto_default</x:v>
      </x:c>
      <x:c r="BC157" s="48" t="str">
        <x:v>v1</x:v>
      </x:c>
      <x:c r="BD157" s="68"/>
    </x:row>
    <x:row r="158" ht="36" customHeight="1">
      <x:c r="A158" s="47" t="str">
        <x:v>2026-07-27</x:v>
      </x:c>
      <x:c r="B158" s="48" t="str">
        <x:v>PL029</x:v>
      </x:c>
      <x:c r="C158" s="48" t="str">
        <x:v>V01</x:v>
      </x:c>
      <x:c r="D158" s="48" t="str">
        <x:v>PL029_佛山市茂安耀科技有限公司新建项目_01_受理公告或公示版.pdf</x:v>
      </x:c>
      <x:c r="E158" s="48" t="str">
        <x:v>佛山市茂安耀科技有限公司新建项目</x:v>
      </x:c>
      <x:c r="F158" s="48" t="str">
        <x:v>PL029_Emission_水污</x:v>
      </x:c>
      <x:c r="G158" s="48" t="str">
        <x:v>污染物排放标准-水污染物排放标准</x:v>
      </x:c>
      <x:c r="H158"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58" s="48" t="str">
        <x:v>1、水污染物排放标准中生活污水排放执行标准：无误；
2、水污染物排放标准结论的过程分析内容：报告明确生活污水经三级化粪池预处理后达到DB44/26-2001第二时段三级标准，排入均安污水处理厂处理，尾水排入海洲水道。污水处理厂尾水执行GB18918-2002一级A标准及DB44/26-2001第二时段一级标准的较严值。报告以表3-4列出pH、CODCr、NH3-N、BOD5、SS等污染物限值，标准选取正确，限值完整，无误。
2.</x:v>
      </x:c>
      <x:c r="J158" s="48" t="str">
        <x:v>水标准：「本项目运营期间产生的生活污水经三级化粪池预处理后达到广东省地方标准《水污染物排放限值》(DB44/26-2001) 第二时段三级标准后，排入均安污水处理厂处理，尾水排入海洲水道。均安污水处理厂尾水排放执行《城镇污水处理厂污染物排放标准》（GB18918-2002）一级A 标准及广东省地方标准《水污染物排放限值》（DB44/26-2001）第二时段一级标准的较严值。」
2.</x:v>
      </x:c>
      <x:c r="K158" s="48" t="str">
        <x:v>emission-standard-kb.jsonl; DB44/26-2001; DB44/2367-2022; GB31572-2015; GB14554-93; GB12348-2008; GB18597-2023; GB18599-2020</x:v>
      </x:c>
      <x:c r="L158" s="48" t="str">
        <x:v>2</x:v>
      </x:c>
      <x:c r="M158" s="48" t="str">
        <x:v>2</x:v>
      </x:c>
      <x:c r="N158" s="48" t="str">
        <x:v>False</x:v>
      </x:c>
      <x:c r="O158" s="48" t="str">
        <x:v>无误</x:v>
      </x:c>
      <x:c r="P158" s="4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158" s="48"/>
      <x:c r="R158" s="48"/>
      <x:c r="S158" s="48" t="str">
        <x:v>否</x:v>
      </x:c>
      <x:c r="T158" s="48" t="str">
        <x:v>原综合排放标准问答对拆分而来</x:v>
      </x:c>
      <x:c r="U158" s="48" t="str">
        <x:v>30份环评_污染物排放控制执行标准复核QA(拆分版)</x:v>
      </x:c>
      <x:c r="V158" s="48" t="str">
        <x:v>水污染物排放标准</x:v>
      </x:c>
      <x:c r="W158" s="48" t="str">
        <x:v>无误</x:v>
      </x:c>
      <x:c r="X158" s="48" t="str">
        <x:v>无误</x:v>
      </x:c>
      <x:c r="Y158" s="64"/>
      <x:c r="Z158" s="64" t="str">
        <x:v>未复核</x:v>
      </x:c>
      <x:c r="AA158" s="64" t="str">
        <x:v>部分充分</x:v>
      </x:c>
      <x:c r="AB158" s="64" t="str">
        <x:v>有效</x:v>
      </x:c>
      <x:c r="AC158" s="64" t="str">
        <x:v>部分核验</x:v>
      </x:c>
      <x:c r="AD158" s="64" t="str">
        <x:v>自动默认</x:v>
      </x:c>
      <x:c r="AE158" s="64" t="str">
        <x:v>候选池</x:v>
      </x:c>
      <x:c r="AF158" s="64" t="str">
        <x:v>待分流</x:v>
      </x:c>
      <x:c r="AG158" s="64"/>
      <x:c r="AH158" s="64"/>
      <x:c r="AI158" s="64"/>
      <x:c r="AJ158" s="64"/>
      <x:c r="AK158" s="64"/>
      <x:c r="AL158" s="64"/>
      <x:c r="AM158" s="64"/>
      <x:c r="AN158" s="48" t="str">
        <x:v>158</x:v>
      </x:c>
      <x:c r="AO158" s="48" t="str">
        <x:v>MAP_无误</x:v>
      </x:c>
      <x:c r="AP158" s="48" t="str">
        <x:v>存在报告证据，但尚未经人工逐项核验；已列依据来源，但未在本阶段逐条核验</x:v>
      </x:c>
      <x:c r="AQ158" s="64"/>
      <x:c r="AR158" s="48" t="str">
        <x:v>water_emission_standard</x:v>
      </x:c>
      <x:c r="AS158" s="48" t="str">
        <x:v>L3_analysis</x:v>
      </x:c>
      <x:c r="AT158" s="48" t="str">
        <x:v>rule_applicability</x:v>
      </x:c>
      <x:c r="AU158" s="48" t="str">
        <x:v>basis_grounding</x:v>
      </x:c>
      <x:c r="AV158" s="48" t="str">
        <x:v>report_grounding；procedural_reasoning</x:v>
      </x:c>
      <x:c r="AW158" s="48" t="str">
        <x:v>high</x:v>
      </x:c>
      <x:c r="AX158" s="48" t="str">
        <x:v>high</x:v>
      </x:c>
      <x:c r="AY158" s="48" t="str">
        <x:v>report_plus_external</x:v>
      </x:c>
      <x:c r="AZ158" s="48" t="str">
        <x:v>True</x:v>
      </x:c>
      <x:c r="BA158" s="48"/>
      <x:c r="BB158" s="48" t="str">
        <x:v>auto_default</x:v>
      </x:c>
      <x:c r="BC158" s="48" t="str">
        <x:v>v1</x:v>
      </x:c>
      <x:c r="BD158" s="68"/>
    </x:row>
    <x:row r="159" ht="36" customHeight="1">
      <x:c r="A159" s="47" t="str">
        <x:v>2026-07-27</x:v>
      </x:c>
      <x:c r="B159" s="48" t="str">
        <x:v>PL029</x:v>
      </x:c>
      <x:c r="C159" s="48" t="str">
        <x:v>V01</x:v>
      </x:c>
      <x:c r="D159" s="48" t="str">
        <x:v>PL029_佛山市茂安耀科技有限公司新建项目_01_受理公告或公示版.pdf</x:v>
      </x:c>
      <x:c r="E159" s="48" t="str">
        <x:v>佛山市茂安耀科技有限公司新建项目</x:v>
      </x:c>
      <x:c r="F159" s="48" t="str">
        <x:v>PL029_Emission_大气</x:v>
      </x:c>
      <x:c r="G159" s="48" t="str">
        <x:v>污染物排放标准-大气污染物排放标准</x:v>
      </x:c>
      <x:c r="H159" s="48" t="str">
        <x:v>请根据项目行业类别、生产工艺和污染因子，判断大气污染物排放标准选取是否合理。要求分析：污染源覆盖是否完整（列出所有大气污染源及对应标准），是否存在缺漏的污染源或标准。</x:v>
      </x:c>
      <x:c r="I159" s="48" t="str">
        <x:v>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x:v>
      </x:c>
      <x:c r="J159" s="4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x:v>
      </x:c>
      <x:c r="K159" s="48" t="str">
        <x:v>emission-standard-kb.jsonl; DB44/26-2001; DB44/2367-2022; GB31572-2015; GB14554-93; GB12348-2008; GB18597-2023; GB18599-2020</x:v>
      </x:c>
      <x:c r="L159" s="48" t="str">
        <x:v>2</x:v>
      </x:c>
      <x:c r="M159" s="48" t="str">
        <x:v>2</x:v>
      </x:c>
      <x:c r="N159" s="48" t="str">
        <x:v>False</x:v>
      </x:c>
      <x:c r="O159" s="48" t="str">
        <x:v>无误</x:v>
      </x:c>
      <x:c r="P159" s="4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159" s="48"/>
      <x:c r="R159" s="48"/>
      <x:c r="S159" s="48" t="str">
        <x:v>否</x:v>
      </x:c>
      <x:c r="T159" s="48" t="str">
        <x:v>原综合排放标准问答对拆分而来</x:v>
      </x:c>
      <x:c r="U159" s="48" t="str">
        <x:v>30份环评_污染物排放控制执行标准复核QA(拆分版)</x:v>
      </x:c>
      <x:c r="V159" s="48" t="str">
        <x:v>大气污染物排放标准</x:v>
      </x:c>
      <x:c r="W159" s="48" t="str">
        <x:v>无误</x:v>
      </x:c>
      <x:c r="X159" s="48" t="str">
        <x:v>无误</x:v>
      </x:c>
      <x:c r="Y159" s="64"/>
      <x:c r="Z159" s="64" t="str">
        <x:v>未复核</x:v>
      </x:c>
      <x:c r="AA159" s="64" t="str">
        <x:v>部分充分</x:v>
      </x:c>
      <x:c r="AB159" s="64" t="str">
        <x:v>有效</x:v>
      </x:c>
      <x:c r="AC159" s="64" t="str">
        <x:v>部分核验</x:v>
      </x:c>
      <x:c r="AD159" s="64" t="str">
        <x:v>自动默认</x:v>
      </x:c>
      <x:c r="AE159" s="64" t="str">
        <x:v>候选池</x:v>
      </x:c>
      <x:c r="AF159" s="64" t="str">
        <x:v>待分流</x:v>
      </x:c>
      <x:c r="AG159" s="64"/>
      <x:c r="AH159" s="64"/>
      <x:c r="AI159" s="64"/>
      <x:c r="AJ159" s="64"/>
      <x:c r="AK159" s="64"/>
      <x:c r="AL159" s="64"/>
      <x:c r="AM159" s="64"/>
      <x:c r="AN159" s="48" t="str">
        <x:v>159</x:v>
      </x:c>
      <x:c r="AO159" s="48" t="str">
        <x:v>MAP_无误</x:v>
      </x:c>
      <x:c r="AP159" s="48" t="str">
        <x:v>存在报告证据，但尚未经人工逐项核验；已列依据来源，但未在本阶段逐条核验</x:v>
      </x:c>
      <x:c r="AQ159" s="64"/>
      <x:c r="AR159" s="48" t="str">
        <x:v>air_emission_standard</x:v>
      </x:c>
      <x:c r="AS159" s="48" t="str">
        <x:v>L3_analysis</x:v>
      </x:c>
      <x:c r="AT159" s="48" t="str">
        <x:v>multi_evidence_synthesis</x:v>
      </x:c>
      <x:c r="AU159" s="48" t="str">
        <x:v>basis_grounding</x:v>
      </x:c>
      <x:c r="AV159" s="48" t="str">
        <x:v>report_grounding；evidence_integration</x:v>
      </x:c>
      <x:c r="AW159" s="48" t="str">
        <x:v>high</x:v>
      </x:c>
      <x:c r="AX159" s="48" t="str">
        <x:v>high</x:v>
      </x:c>
      <x:c r="AY159" s="48" t="str">
        <x:v>report_plus_external</x:v>
      </x:c>
      <x:c r="AZ159" s="48" t="str">
        <x:v>True</x:v>
      </x:c>
      <x:c r="BA159" s="48"/>
      <x:c r="BB159" s="48" t="str">
        <x:v>auto_default</x:v>
      </x:c>
      <x:c r="BC159" s="48" t="str">
        <x:v>v1</x:v>
      </x:c>
      <x:c r="BD159" s="68"/>
    </x:row>
    <x:row r="160" ht="36" customHeight="1">
      <x:c r="A160" s="47" t="str">
        <x:v>2026-07-27</x:v>
      </x:c>
      <x:c r="B160" s="48" t="str">
        <x:v>PL029</x:v>
      </x:c>
      <x:c r="C160" s="48" t="str">
        <x:v>V01</x:v>
      </x:c>
      <x:c r="D160" s="48" t="str">
        <x:v>PL029_佛山市茂安耀科技有限公司新建项目_01_受理公告或公示版.pdf</x:v>
      </x:c>
      <x:c r="E160" s="48" t="str">
        <x:v>佛山市茂安耀科技有限公司新建项目</x:v>
      </x:c>
      <x:c r="F160" s="48" t="str">
        <x:v>PL029_Emission_噪声</x:v>
      </x:c>
      <x:c r="G160" s="48" t="str">
        <x:v>污染物排放标准-噪声排放标准</x:v>
      </x:c>
      <x:c r="H160" s="48" t="str">
        <x:v>请根据项目所属声环境功能区类别，判断噪声排放标准选取是否合理。要求总结声功能区类型、厂界执行标准（GB12348-2008）及昼夜限值，并与环评编制内容进行一致性分析。</x:v>
      </x:c>
      <x:c r="I160" s="48" t="str">
        <x:v>1、噪声排放标准中执行标准与排放限值内容：无误；
2、报告明确厂界噪声执行GB12348-2008 3类标准（昼间≤65dB(A)，夜间≤55dB(A)），选取正确，无误。
4.</x:v>
      </x:c>
      <x:c r="J160" s="48" t="str">
        <x:v>噪声标准：「项目厂界噪声执行《工业企业厂界环境噪声排放标准》（GB12348-2008）中的3 类标准：昼间≤65dB（A），夜间≤55dB（A）。」
4.</x:v>
      </x:c>
      <x:c r="K160" s="48" t="str">
        <x:v>emission-standard-kb.jsonl; DB44/26-2001; DB44/2367-2022; GB31572-2015; GB14554-93; GB12348-2008; GB18597-2023; GB18599-2020</x:v>
      </x:c>
      <x:c r="L160" s="48" t="str">
        <x:v>2</x:v>
      </x:c>
      <x:c r="M160" s="48" t="str">
        <x:v>2</x:v>
      </x:c>
      <x:c r="N160" s="48" t="str">
        <x:v>False</x:v>
      </x:c>
      <x:c r="O160" s="48" t="str">
        <x:v>无误</x:v>
      </x:c>
      <x:c r="P160" s="4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160" s="48"/>
      <x:c r="R160" s="48"/>
      <x:c r="S160" s="48" t="str">
        <x:v>否</x:v>
      </x:c>
      <x:c r="T160" s="48" t="str">
        <x:v>原综合排放标准问答对拆分而来</x:v>
      </x:c>
      <x:c r="U160" s="48" t="str">
        <x:v>30份环评_污染物排放控制执行标准复核QA(拆分版)</x:v>
      </x:c>
      <x:c r="V160" s="48" t="str">
        <x:v>噪声排放标准</x:v>
      </x:c>
      <x:c r="W160" s="48" t="str">
        <x:v>无误</x:v>
      </x:c>
      <x:c r="X160" s="48" t="str">
        <x:v>无误</x:v>
      </x:c>
      <x:c r="Y160" s="64"/>
      <x:c r="Z160" s="64" t="str">
        <x:v>未复核</x:v>
      </x:c>
      <x:c r="AA160" s="64" t="str">
        <x:v>部分充分</x:v>
      </x:c>
      <x:c r="AB160" s="64" t="str">
        <x:v>有效</x:v>
      </x:c>
      <x:c r="AC160" s="64" t="str">
        <x:v>部分核验</x:v>
      </x:c>
      <x:c r="AD160" s="64" t="str">
        <x:v>自动默认</x:v>
      </x:c>
      <x:c r="AE160" s="64" t="str">
        <x:v>候选池</x:v>
      </x:c>
      <x:c r="AF160" s="64" t="str">
        <x:v>待分流</x:v>
      </x:c>
      <x:c r="AG160" s="64"/>
      <x:c r="AH160" s="64"/>
      <x:c r="AI160" s="64"/>
      <x:c r="AJ160" s="64"/>
      <x:c r="AK160" s="64"/>
      <x:c r="AL160" s="64"/>
      <x:c r="AM160" s="64"/>
      <x:c r="AN160" s="48" t="str">
        <x:v>160</x:v>
      </x:c>
      <x:c r="AO160" s="48" t="str">
        <x:v>MAP_无误</x:v>
      </x:c>
      <x:c r="AP160" s="48" t="str">
        <x:v>存在报告证据，但尚未经人工逐项核验；已列依据来源，但未在本阶段逐条核验</x:v>
      </x:c>
      <x:c r="AQ160" s="64"/>
      <x:c r="AR160" s="48" t="str">
        <x:v>noise_emission_standard</x:v>
      </x:c>
      <x:c r="AS160" s="48" t="str">
        <x:v>L2_application</x:v>
      </x:c>
      <x:c r="AT160" s="48" t="str">
        <x:v>rule_applicability</x:v>
      </x:c>
      <x:c r="AU160" s="48" t="str">
        <x:v>basis_grounding</x:v>
      </x:c>
      <x:c r="AV160" s="48" t="str">
        <x:v>report_grounding</x:v>
      </x:c>
      <x:c r="AW160" s="48" t="str">
        <x:v>high</x:v>
      </x:c>
      <x:c r="AX160" s="48" t="str">
        <x:v>medium</x:v>
      </x:c>
      <x:c r="AY160" s="48" t="str">
        <x:v>report_plus_external</x:v>
      </x:c>
      <x:c r="AZ160" s="48" t="str">
        <x:v>True</x:v>
      </x:c>
      <x:c r="BA160" s="48"/>
      <x:c r="BB160" s="48" t="str">
        <x:v>auto_default</x:v>
      </x:c>
      <x:c r="BC160" s="48" t="str">
        <x:v>v1</x:v>
      </x:c>
      <x:c r="BD160" s="68"/>
    </x:row>
    <x:row r="161" ht="36" customHeight="1">
      <x:c r="A161" s="47" t="str">
        <x:v>2026-07-27</x:v>
      </x:c>
      <x:c r="B161" s="48" t="str">
        <x:v>PL029</x:v>
      </x:c>
      <x:c r="C161" s="48" t="str">
        <x:v>V01</x:v>
      </x:c>
      <x:c r="D161" s="48" t="str">
        <x:v>PL029_佛山市茂安耀科技有限公司新建项目_01_受理公告或公示版.pdf</x:v>
      </x:c>
      <x:c r="E161" s="48" t="str">
        <x:v>佛山市茂安耀科技有限公司新建项目</x:v>
      </x:c>
      <x:c r="F161" s="48" t="str">
        <x:v>PL029_Emission_固体</x:v>
      </x:c>
      <x:c r="G161" s="48" t="str">
        <x:v>污染物排放标准-固体废物控制标准</x:v>
      </x:c>
      <x:c r="H161" s="48" t="str">
        <x:v>请根据项目产生的固体废物和危险废物类型，判断固体废物控制标准选取是否合理。要求总结一般工业固体废物和危险废物执行标准的标准名称及编号，分析是否缺少必要标准条目。</x:v>
      </x:c>
      <x:c r="I161"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61" s="48" t="str">
        <x:v>固废标准：「危险废物在厂区内暂存应符合《危险废物贮存污染控制标准》（GB18597-2023）；一般工业固废在厂区内贮存过程应满足相应防渗漏、防雨淋、防扬尘等环境保护要求」
5. 特征污染物备注：「①ABS 树脂生产时产生的特征污染物。②聚苯乙烯树脂生产时产生的特征污染物。」</x:v>
      </x:c>
      <x:c r="K161" s="48" t="str">
        <x:v>emission-standard-kb.jsonl; DB44/26-2001; DB44/2367-2022; GB31572-2015; GB14554-93; GB12348-2008; GB18597-2023; GB18599-2020</x:v>
      </x:c>
      <x:c r="L161" s="48" t="str">
        <x:v>2</x:v>
      </x:c>
      <x:c r="M161" s="48" t="str">
        <x:v>2</x:v>
      </x:c>
      <x:c r="N161" s="48" t="str">
        <x:v>False</x:v>
      </x:c>
      <x:c r="O161" s="48" t="str">
        <x:v>无误</x:v>
      </x:c>
      <x:c r="P161" s="4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161" s="48"/>
      <x:c r="R161" s="48"/>
      <x:c r="S161" s="48" t="str">
        <x:v>否</x:v>
      </x:c>
      <x:c r="T161" s="48" t="str">
        <x:v>修正：GB18599-2020不在知识库必须满足的标准清单中，原判定依据已更正。原综合排放标准问答对拆分而来</x:v>
      </x:c>
      <x:c r="U161" s="48" t="str">
        <x:v>30份环评_污染物排放控制执行标准复核QA(拆分版)</x:v>
      </x:c>
      <x:c r="V161" s="48" t="str">
        <x:v>固体废物控制标准</x:v>
      </x:c>
      <x:c r="W161" s="48" t="str">
        <x:v>无误</x:v>
      </x:c>
      <x:c r="X161" s="48" t="str">
        <x:v>无误</x:v>
      </x:c>
      <x:c r="Y161" s="64"/>
      <x:c r="Z161" s="64" t="str">
        <x:v>未复核</x:v>
      </x:c>
      <x:c r="AA161" s="64" t="str">
        <x:v>部分充分</x:v>
      </x:c>
      <x:c r="AB161" s="64" t="str">
        <x:v>有效</x:v>
      </x:c>
      <x:c r="AC161" s="64" t="str">
        <x:v>部分核验</x:v>
      </x:c>
      <x:c r="AD161" s="64" t="str">
        <x:v>自动默认</x:v>
      </x:c>
      <x:c r="AE161" s="64" t="str">
        <x:v>候选池</x:v>
      </x:c>
      <x:c r="AF161" s="64" t="str">
        <x:v>待分流</x:v>
      </x:c>
      <x:c r="AG161" s="64"/>
      <x:c r="AH161" s="64"/>
      <x:c r="AI161" s="64"/>
      <x:c r="AJ161" s="64"/>
      <x:c r="AK161" s="64"/>
      <x:c r="AL161" s="64"/>
      <x:c r="AM161" s="64"/>
      <x:c r="AN161" s="48" t="str">
        <x:v>161</x:v>
      </x:c>
      <x:c r="AO161" s="48" t="str">
        <x:v>MAP_无误</x:v>
      </x:c>
      <x:c r="AP161" s="48" t="str">
        <x:v>存在报告证据，但尚未经人工逐项核验；已列依据来源，但未在本阶段逐条核验</x:v>
      </x:c>
      <x:c r="AQ161" s="64"/>
      <x:c r="AR161" s="48" t="str">
        <x:v>solid_waste_standard</x:v>
      </x:c>
      <x:c r="AS161" s="48" t="str">
        <x:v>L2_application</x:v>
      </x:c>
      <x:c r="AT161" s="48" t="str">
        <x:v>rule_applicability</x:v>
      </x:c>
      <x:c r="AU161" s="48" t="str">
        <x:v>basis_grounding</x:v>
      </x:c>
      <x:c r="AV161" s="48" t="str">
        <x:v>report_grounding</x:v>
      </x:c>
      <x:c r="AW161" s="48" t="str">
        <x:v>high</x:v>
      </x:c>
      <x:c r="AX161" s="48" t="str">
        <x:v>medium</x:v>
      </x:c>
      <x:c r="AY161" s="48" t="str">
        <x:v>report_plus_external</x:v>
      </x:c>
      <x:c r="AZ161" s="48" t="str">
        <x:v>True</x:v>
      </x:c>
      <x:c r="BA161" s="48"/>
      <x:c r="BB161" s="48" t="str">
        <x:v>auto_default</x:v>
      </x:c>
      <x:c r="BC161" s="48" t="str">
        <x:v>v1</x:v>
      </x:c>
      <x:c r="BD161" s="68"/>
    </x:row>
    <x:row r="162" ht="36" customHeight="1">
      <x:c r="A162" s="47" t="str">
        <x:v>2026-06-25</x:v>
      </x:c>
      <x:c r="B162" s="48" t="str">
        <x:v>PL030</x:v>
      </x:c>
      <x:c r="C162" s="48" t="str">
        <x:v>V01</x:v>
      </x:c>
      <x:c r="D162" s="48" t="str">
        <x:v>年10月25日建设项目环境影响报告书（表）受理公告（佛山市生态环境局顺德分局）_3.pdf</x:v>
      </x:c>
      <x:c r="E162" s="48" t="str">
        <x:v>佛山市瑞易德塑料五金制品有限公司搬迁项目</x:v>
      </x:c>
      <x:c r="F162" s="48" t="str">
        <x:v>PL030_V01_Q01</x:v>
      </x:c>
      <x:c r="G162" s="48" t="str">
        <x:v>1. 塑胶行业样本筛选与国民经济行业分类</x:v>
      </x:c>
      <x:c r="H162" s="48" t="str">
        <x:v>请结合项目产品、原辅材料和生产工艺，判断该报告行业类别是否基本合理。</x:v>
      </x:c>
      <x:c r="I162" s="48" t="str">
        <x:v>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x:v>
      </x:c>
      <x:c r="J162" s="48"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162" s="48" t="str">
        <x:v>《国民经济行业分类》(GB/T 4754—2017)；本任务C292筛选及C17/C18排除规则</x:v>
      </x:c>
      <x:c r="L162" s="48" t="str">
        <x:v>结合本项目行业代码、建设性质、工艺关键词及PDF证据生成，非脱离项目的通用题。</x:v>
      </x:c>
      <x:c r="M162" s="48" t="str">
        <x:v>可依据对应PDF原文、工程分析表格及所列法规标准逐项复核。</x:v>
      </x:c>
      <x:c r="N162" s="48" t="str">
        <x:v>True</x:v>
      </x:c>
      <x:c r="O162" s="48"/>
      <x:c r="P162" s="48"/>
      <x:c r="Q162" s="48"/>
      <x:c r="R162" s="48" t="str">
        <x:v>新增</x:v>
      </x:c>
      <x:c r="S162" s="48" t="str">
        <x:v>是</x:v>
      </x:c>
      <x:c r="T162" s="48" t="str">
        <x:v>自动生成；需人工复核项目参数、公式取值、标准适用范围及PDF文字提取完整性。</x:v>
      </x:c>
      <x:c r="U162" s="48" t="str">
        <x:v>seed_qa_塑胶行业筛选版_30个国民经济行业分类的人工标记</x:v>
      </x:c>
      <x:c r="V162" s="48" t="str">
        <x:v>国民经济行业分类</x:v>
      </x:c>
      <x:c r="W162" s="48"/>
      <x:c r="X162" s="48" t="str">
        <x:v>待判断</x:v>
      </x:c>
      <x:c r="Y162" s="64"/>
      <x:c r="Z162" s="64" t="str">
        <x:v>未复核</x:v>
      </x:c>
      <x:c r="AA162" s="64" t="str">
        <x:v>部分充分</x:v>
      </x:c>
      <x:c r="AB162" s="64" t="str">
        <x:v>待判断</x:v>
      </x:c>
      <x:c r="AC162" s="64" t="str">
        <x:v>部分核验</x:v>
      </x:c>
      <x:c r="AD162" s="64" t="str">
        <x:v>自动默认</x:v>
      </x:c>
      <x:c r="AE162" s="64" t="str">
        <x:v>候选池</x:v>
      </x:c>
      <x:c r="AF162" s="64" t="str">
        <x:v>C_题目或材料问题</x:v>
      </x:c>
      <x:c r="AG162" s="64"/>
      <x:c r="AH162" s="64"/>
      <x:c r="AI162" s="64"/>
      <x:c r="AJ162" s="64"/>
      <x:c r="AK162" s="64"/>
      <x:c r="AL162" s="64"/>
      <x:c r="AM162" s="64"/>
      <x:c r="AN162" s="48" t="str">
        <x:v>162</x:v>
      </x:c>
      <x:c r="AO162" s="48" t="str">
        <x:v>MAP_BLANK</x:v>
      </x:c>
      <x:c r="AP162" s="48" t="str">
        <x:v>人工判断为空：不得自动补填结论；人工判断为空；结构完整但原因需人工确认；存在报告证据，但尚未经人工逐项核验；已列依据来源，但未在本阶段逐条核验</x:v>
      </x:c>
      <x:c r="AQ162" s="64"/>
      <x:c r="AR162" s="48" t="str">
        <x:v>industry_classification</x:v>
      </x:c>
      <x:c r="AS162" s="48" t="str">
        <x:v>L3_analysis</x:v>
      </x:c>
      <x:c r="AT162" s="48" t="str">
        <x:v>multi_evidence_synthesis</x:v>
      </x:c>
      <x:c r="AU162" s="48" t="str">
        <x:v>evidence_integration</x:v>
      </x:c>
      <x:c r="AV162" s="48" t="str">
        <x:v>report_grounding；basis_grounding</x:v>
      </x:c>
      <x:c r="AW162" s="48" t="str">
        <x:v>high</x:v>
      </x:c>
      <x:c r="AX162" s="48" t="str">
        <x:v>high</x:v>
      </x:c>
      <x:c r="AY162" s="48" t="str">
        <x:v>cross_section</x:v>
      </x:c>
      <x:c r="AZ162" s="48" t="str">
        <x:v>True</x:v>
      </x:c>
      <x:c r="BA162" s="48"/>
      <x:c r="BB162" s="48" t="str">
        <x:v>auto_default</x:v>
      </x:c>
      <x:c r="BC162" s="48" t="str">
        <x:v>v1</x:v>
      </x:c>
      <x:c r="BD162" s="68"/>
    </x:row>
    <x:row r="163" ht="36" customHeight="1">
      <x:c r="A163" s="47" t="str">
        <x:v>2026-07-24</x:v>
      </x:c>
      <x:c r="B163" s="48" t="str">
        <x:v>PL030</x:v>
      </x:c>
      <x:c r="C163" s="48" t="str">
        <x:v>V01</x:v>
      </x:c>
      <x:c r="D163" s="48" t="str">
        <x:v>PL030_佛山市瑞易德塑料五金制品有限公司搬迁项目</x:v>
      </x:c>
      <x:c r="E163" s="48" t="str">
        <x:v>佛山市瑞易德塑料五金制品有限公司搬迁项目</x:v>
      </x:c>
      <x:c r="F163" s="48" t="str">
        <x:v>PL030_V01_Q03</x:v>
      </x:c>
      <x:c r="G163" s="48" t="str">
        <x:v>环评投资核算</x:v>
      </x:c>
      <x:c r="H163" s="48" t="str">
        <x:v>请根据报告中的总投资、环保投资和环保工程投资明细，判断环保投资核算是否前后一致、比例是否正确。</x:v>
      </x:c>
      <x:c r="I163" s="48" t="str">
        <x:v>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x:v>
      </x:c>
      <x:c r="J163" s="48" t="str">
        <x:v>一、建设项目基本情况；表4-16：总投资200万元、环保投资15万元、占比7.5%；分项合计15万元。来源：解析文本拼接_02_021-040(3).md</x:v>
      </x:c>
      <x:c r="K163" s="48" t="str">
        <x:v>报告原文-环保投资明细表</x:v>
      </x:c>
      <x:c r="L163" s="48" t="str">
        <x:v>2</x:v>
      </x:c>
      <x:c r="M163" s="48" t="str">
        <x:v>2</x:v>
      </x:c>
      <x:c r="N163" s="48" t="str">
        <x:v>False</x:v>
      </x:c>
      <x:c r="O163" s="48" t="str">
        <x:v>正确</x:v>
      </x:c>
      <x:c r="P163" s="48"/>
      <x:c r="Q163" s="48"/>
      <x:c r="R163" s="48"/>
      <x:c r="S163" s="48" t="str">
        <x:v>否</x:v>
      </x:c>
      <x:c r="T163" s="48"/>
      <x:c r="U163" s="48" t="str">
        <x:v>30个PL_环评投资核算QA</x:v>
      </x:c>
      <x:c r="V163" s="48" t="str">
        <x:v>环评投资概算</x:v>
      </x:c>
      <x:c r="W163" s="48" t="str">
        <x:v>正确</x:v>
      </x:c>
      <x:c r="X163" s="48" t="str">
        <x:v>无误</x:v>
      </x:c>
      <x:c r="Y163" s="64"/>
      <x:c r="Z163" s="64" t="str">
        <x:v>未复核</x:v>
      </x:c>
      <x:c r="AA163" s="64" t="str">
        <x:v>部分充分</x:v>
      </x:c>
      <x:c r="AB163" s="64" t="str">
        <x:v>有效</x:v>
      </x:c>
      <x:c r="AC163" s="64" t="str">
        <x:v>不需要外部依据</x:v>
      </x:c>
      <x:c r="AD163" s="64" t="str">
        <x:v>自动默认</x:v>
      </x:c>
      <x:c r="AE163" s="64" t="str">
        <x:v>候选池</x:v>
      </x:c>
      <x:c r="AF163" s="64" t="str">
        <x:v>待分流</x:v>
      </x:c>
      <x:c r="AG163" s="64"/>
      <x:c r="AH163" s="64"/>
      <x:c r="AI163" s="64"/>
      <x:c r="AJ163" s="64"/>
      <x:c r="AK163" s="64"/>
      <x:c r="AL163" s="64"/>
      <x:c r="AM163" s="64"/>
      <x:c r="AN163" s="48" t="str">
        <x:v>163</x:v>
      </x:c>
      <x:c r="AO163" s="48" t="str">
        <x:v>MAP_正确</x:v>
      </x:c>
      <x:c r="AP163" s="48" t="str">
        <x:v>存在报告证据，但尚未经人工逐项核验；投资复核主要依据报告内金额与算式</x:v>
      </x:c>
      <x:c r="AQ163" s="64"/>
      <x:c r="AR163" s="48" t="str">
        <x:v>environmental_investment</x:v>
      </x:c>
      <x:c r="AS163" s="48" t="str">
        <x:v>L2_application</x:v>
      </x:c>
      <x:c r="AT163" s="48" t="str">
        <x:v>quantitative_verification</x:v>
      </x:c>
      <x:c r="AU163" s="48" t="str">
        <x:v>numerical_accuracy</x:v>
      </x:c>
      <x:c r="AV163" s="48" t="str">
        <x:v>report_grounding；procedural_reasoning</x:v>
      </x:c>
      <x:c r="AW163" s="48" t="str">
        <x:v>low</x:v>
      </x:c>
      <x:c r="AX163" s="48" t="str">
        <x:v>medium</x:v>
      </x:c>
      <x:c r="AY163" s="48" t="str">
        <x:v>cross_section</x:v>
      </x:c>
      <x:c r="AZ163" s="48" t="str">
        <x:v>True</x:v>
      </x:c>
      <x:c r="BA163" s="48"/>
      <x:c r="BB163" s="48" t="str">
        <x:v>auto_default</x:v>
      </x:c>
      <x:c r="BC163" s="48" t="str">
        <x:v>v1</x:v>
      </x:c>
      <x:c r="BD163" s="68"/>
    </x:row>
    <x:row r="164" ht="36" customHeight="1">
      <x:c r="A164" s="47" t="str">
        <x:v>2026-07-28</x:v>
      </x:c>
      <x:c r="B164" s="48" t="str">
        <x:v>PL030</x:v>
      </x:c>
      <x:c r="C164" s="48" t="str">
        <x:v>V01</x:v>
      </x:c>
      <x:c r="D164" s="48" t="str">
        <x:v>PL030_佛山市瑞易德塑料五金制品有限公司搬迁项目_01_受理公告或公示版.pdf</x:v>
      </x:c>
      <x:c r="E164" s="48" t="str">
        <x:v>佛山市瑞易德塑料五金制品有限公司搬迁项目</x:v>
      </x:c>
      <x:c r="F164" s="48" t="str">
        <x:v>PL030_EnvQuality_Q01</x:v>
      </x:c>
      <x:c r="G164" s="48" t="str">
        <x:v>大气及地表水环境质量现状数据引用</x:v>
      </x:c>
      <x:c r="H164" s="48" t="str">
        <x:v>请根据报告引用的环境质量公报及现状数据，判断大气和地表水环境质量现状数据引用是否准确。</x:v>
      </x:c>
      <x:c r="I164"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x:v>
      </x:c>
      <x:c r="J164" s="48" t="str">
        <x:v>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x:v>
      </x:c>
      <x:c r="K164" s="48" t="str">
        <x:v>生态环境状况公报知识库; 收纳水体地表水执行标准</x:v>
      </x:c>
      <x:c r="L164" s="48" t="str">
        <x:v>2</x:v>
      </x:c>
      <x:c r="M164" s="48" t="str">
        <x:v>2</x:v>
      </x:c>
      <x:c r="N164" s="48" t="str">
        <x:v>False</x:v>
      </x:c>
      <x:c r="O164" s="48" t="str">
        <x:v>正确</x:v>
      </x:c>
      <x:c r="P164" s="48" t="str">
        <x:v>大气:正确; 地表水:正确; 报告日期:2024-04</x:v>
      </x:c>
      <x:c r="Q164" s="48"/>
      <x:c r="R164" s="48"/>
      <x:c r="S164" s="48" t="str">
        <x:v>是</x:v>
      </x:c>
      <x:c r="T164" s="48" t="str">
        <x:v>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x:v>
      </x:c>
      <x:c r="U164" s="48" t="str">
        <x:v>30个环评_大气及地表水环境质量现状数据引用复核QA</x:v>
      </x:c>
      <x:c r="V164" s="48" t="str">
        <x:v>环境质量数据引用</x:v>
      </x:c>
      <x:c r="W164" s="48" t="str">
        <x:v>正确</x:v>
      </x:c>
      <x:c r="X164" s="48" t="str">
        <x:v>无误</x:v>
      </x:c>
      <x:c r="Y164" s="64"/>
      <x:c r="Z164" s="64" t="str">
        <x:v>未复核</x:v>
      </x:c>
      <x:c r="AA164" s="64" t="str">
        <x:v>部分充分</x:v>
      </x:c>
      <x:c r="AB164" s="64" t="str">
        <x:v>有效</x:v>
      </x:c>
      <x:c r="AC164" s="64" t="str">
        <x:v>部分核验</x:v>
      </x:c>
      <x:c r="AD164" s="64" t="str">
        <x:v>自动默认</x:v>
      </x:c>
      <x:c r="AE164" s="64" t="str">
        <x:v>候选池</x:v>
      </x:c>
      <x:c r="AF164" s="64" t="str">
        <x:v>A_仅待终审</x:v>
      </x:c>
      <x:c r="AG164" s="64"/>
      <x:c r="AH164" s="64"/>
      <x:c r="AI164" s="64"/>
      <x:c r="AJ164" s="64"/>
      <x:c r="AK164" s="64"/>
      <x:c r="AL164" s="64"/>
      <x:c r="AM164" s="64"/>
      <x:c r="AN164" s="48" t="str">
        <x:v>164</x:v>
      </x:c>
      <x:c r="AO164" s="48" t="str">
        <x:v>MAP_正确</x:v>
      </x:c>
      <x:c r="AP164" s="48" t="str">
        <x:v>存在报告证据，但尚未经人工逐项核验；已列依据来源，但未在本阶段逐条核验</x:v>
      </x:c>
      <x:c r="AQ164" s="64"/>
      <x:c r="AR164" s="48" t="str">
        <x:v>environmental_quality_data</x:v>
      </x:c>
      <x:c r="AS164" s="48" t="str">
        <x:v>L3_analysis</x:v>
      </x:c>
      <x:c r="AT164" s="48" t="str">
        <x:v>consistency_comparison</x:v>
      </x:c>
      <x:c r="AU164" s="48" t="str">
        <x:v>evidence_integration</x:v>
      </x:c>
      <x:c r="AV164" s="48" t="str">
        <x:v>report_grounding；basis_grounding</x:v>
      </x:c>
      <x:c r="AW164" s="48" t="str">
        <x:v>high</x:v>
      </x:c>
      <x:c r="AX164" s="48" t="str">
        <x:v>high</x:v>
      </x:c>
      <x:c r="AY164" s="48" t="str">
        <x:v>report_plus_external</x:v>
      </x:c>
      <x:c r="AZ164" s="48" t="str">
        <x:v>True</x:v>
      </x:c>
      <x:c r="BA164" s="48"/>
      <x:c r="BB164" s="48" t="str">
        <x:v>auto_default</x:v>
      </x:c>
      <x:c r="BC164" s="48" t="str">
        <x:v>v1</x:v>
      </x:c>
      <x:c r="BD164" s="68"/>
    </x:row>
    <x:row r="165" ht="36" customHeight="1">
      <x:c r="A165" s="47" t="str">
        <x:v>2026-07-27</x:v>
      </x:c>
      <x:c r="B165" s="48" t="str">
        <x:v>PL030</x:v>
      </x:c>
      <x:c r="C165" s="48" t="str">
        <x:v>V01</x:v>
      </x:c>
      <x:c r="D165" s="48" t="str">
        <x:v>PL030_佛山市瑞易德塑料五金制品有限公司搬迁项目_01_受理公告或公示版.pdf</x:v>
      </x:c>
      <x:c r="E165" s="48" t="str">
        <x:v>佛山市瑞易德塑料五金制品有限公司搬迁项目</x:v>
      </x:c>
      <x:c r="F165" s="48" t="str">
        <x:v>PL030_Emission_水污</x:v>
      </x:c>
      <x:c r="G165" s="48" t="str">
        <x:v>污染物排放标准-水污染物排放标准</x:v>
      </x:c>
      <x:c r="H16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65" s="48" t="str">
        <x:v>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x:v>
      </x:c>
      <x:c r="J165" s="48" t="str">
        <x:v>水标准片段：「尾水应执行《城镇污水处理厂污染物排放标准》（GB18918-2002）一级A标准及《广东省水污染物排放限值》（DB44/26-2001）的较严值。」「生活污水经三级化粪池预处理后排入勒流污水处理厂」
2.</x:v>
      </x:c>
      <x:c r="K165" s="48" t="str">
        <x:v>emission-standard-kb.jsonl; DB44/26-2001; DB44/2367-2022; GB31572-2015; GB14554-93; GB12348-2008; GB18597-2023; GB18599-2020</x:v>
      </x:c>
      <x:c r="L165" s="48" t="str">
        <x:v>2</x:v>
      </x:c>
      <x:c r="M165" s="48" t="str">
        <x:v>2</x:v>
      </x:c>
      <x:c r="N165" s="48" t="str">
        <x:v>False</x:v>
      </x:c>
      <x:c r="O165" s="48" t="str">
        <x:v>存在缺漏</x:v>
      </x:c>
      <x:c r="P165"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165" s="48"/>
      <x:c r="R165" s="48"/>
      <x:c r="S165" s="48" t="str">
        <x:v>是</x:v>
      </x:c>
      <x:c r="T165" s="48" t="str">
        <x:v>原综合排放标准问答对拆分而来</x:v>
      </x:c>
      <x:c r="U165" s="48" t="str">
        <x:v>30份环评_污染物排放控制执行标准复核QA(拆分版)</x:v>
      </x:c>
      <x:c r="V165" s="48" t="str">
        <x:v>水污染物排放标准</x:v>
      </x:c>
      <x:c r="W165" s="48" t="str">
        <x:v>存在缺漏</x:v>
      </x:c>
      <x:c r="X165" s="48" t="str">
        <x:v>存在缺漏</x:v>
      </x:c>
      <x:c r="Y165" s="64"/>
      <x:c r="Z165" s="64" t="str">
        <x:v>未复核</x:v>
      </x:c>
      <x:c r="AA165" s="64" t="str">
        <x:v>部分充分</x:v>
      </x:c>
      <x:c r="AB165" s="64" t="str">
        <x:v>有效</x:v>
      </x:c>
      <x:c r="AC165" s="64" t="str">
        <x:v>部分核验</x:v>
      </x:c>
      <x:c r="AD165" s="64" t="str">
        <x:v>自动默认</x:v>
      </x:c>
      <x:c r="AE165" s="64" t="str">
        <x:v>候选池</x:v>
      </x:c>
      <x:c r="AF165" s="64" t="str">
        <x:v>A_仅待终审</x:v>
      </x:c>
      <x:c r="AG165" s="64"/>
      <x:c r="AH165" s="64"/>
      <x:c r="AI165" s="64"/>
      <x:c r="AJ165" s="64"/>
      <x:c r="AK165" s="64"/>
      <x:c r="AL165" s="64"/>
      <x:c r="AM165" s="64"/>
      <x:c r="AN165" s="48" t="str">
        <x:v>165</x:v>
      </x:c>
      <x:c r="AO165" s="48" t="str">
        <x:v>MAP_存在缺漏</x:v>
      </x:c>
      <x:c r="AP165" s="48" t="str">
        <x:v>存在报告证据，但尚未经人工逐项核验；已列依据来源，但未在本阶段逐条核验</x:v>
      </x:c>
      <x:c r="AQ165" s="64"/>
      <x:c r="AR165" s="48" t="str">
        <x:v>water_emission_standard</x:v>
      </x:c>
      <x:c r="AS165" s="48" t="str">
        <x:v>L3_analysis</x:v>
      </x:c>
      <x:c r="AT165" s="48" t="str">
        <x:v>rule_applicability</x:v>
      </x:c>
      <x:c r="AU165" s="48" t="str">
        <x:v>basis_grounding</x:v>
      </x:c>
      <x:c r="AV165" s="48" t="str">
        <x:v>report_grounding；procedural_reasoning</x:v>
      </x:c>
      <x:c r="AW165" s="48" t="str">
        <x:v>high</x:v>
      </x:c>
      <x:c r="AX165" s="48" t="str">
        <x:v>high</x:v>
      </x:c>
      <x:c r="AY165" s="48" t="str">
        <x:v>report_plus_external</x:v>
      </x:c>
      <x:c r="AZ165" s="48" t="str">
        <x:v>True</x:v>
      </x:c>
      <x:c r="BA165" s="48"/>
      <x:c r="BB165" s="48" t="str">
        <x:v>auto_default</x:v>
      </x:c>
      <x:c r="BC165" s="48" t="str">
        <x:v>v1</x:v>
      </x:c>
      <x:c r="BD165" s="68"/>
    </x:row>
    <x:row r="166" ht="36" customHeight="1">
      <x:c r="A166" s="47" t="str">
        <x:v>2026-07-27</x:v>
      </x:c>
      <x:c r="B166" s="48" t="str">
        <x:v>PL030</x:v>
      </x:c>
      <x:c r="C166" s="48" t="str">
        <x:v>V01</x:v>
      </x:c>
      <x:c r="D166" s="48" t="str">
        <x:v>PL030_佛山市瑞易德塑料五金制品有限公司搬迁项目_01_受理公告或公示版.pdf</x:v>
      </x:c>
      <x:c r="E166" s="48" t="str">
        <x:v>佛山市瑞易德塑料五金制品有限公司搬迁项目</x:v>
      </x:c>
      <x:c r="F166" s="48" t="str">
        <x:v>PL030_Emission_大气</x:v>
      </x:c>
      <x:c r="G166" s="48" t="str">
        <x:v>污染物排放标准-大气污染物排放标准</x:v>
      </x:c>
      <x:c r="H166" s="48" t="str">
        <x:v>请根据项目行业类别、生产工艺和污染因子，判断大气污染物排放标准选取是否合理。要求分析：污染源覆盖是否完整（列出所有大气污染源及对应标准），是否存在缺漏的污染源或标准。</x:v>
      </x:c>
      <x:c r="I166" s="48" t="str">
        <x:v>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x:v>
      </x:c>
      <x:c r="J166" s="48" t="str">
        <x:v>大气标准片段：「注塑废气经单层密闭负压收集后引至一套活性炭吸附装置处理，最后通过45m 排气筒G1 排放」「项目收集的废气中NMHC初始排放速率＜2kg/h」
3.</x:v>
      </x:c>
      <x:c r="K166" s="48" t="str">
        <x:v>emission-standard-kb.jsonl; DB44/26-2001; DB44/2367-2022; GB31572-2015; GB14554-93; GB12348-2008; GB18597-2023; GB18599-2020</x:v>
      </x:c>
      <x:c r="L166" s="48" t="str">
        <x:v>2</x:v>
      </x:c>
      <x:c r="M166" s="48" t="str">
        <x:v>2</x:v>
      </x:c>
      <x:c r="N166" s="48" t="str">
        <x:v>False</x:v>
      </x:c>
      <x:c r="O166" s="48" t="str">
        <x:v>存在缺漏</x:v>
      </x:c>
      <x:c r="P166"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166" s="48"/>
      <x:c r="R166" s="48"/>
      <x:c r="S166" s="48" t="str">
        <x:v>是</x:v>
      </x:c>
      <x:c r="T166" s="48" t="str">
        <x:v>原综合排放标准问答对拆分而来</x:v>
      </x:c>
      <x:c r="U166" s="48" t="str">
        <x:v>30份环评_污染物排放控制执行标准复核QA(拆分版)</x:v>
      </x:c>
      <x:c r="V166" s="48" t="str">
        <x:v>大气污染物排放标准</x:v>
      </x:c>
      <x:c r="W166" s="48" t="str">
        <x:v>存在缺漏</x:v>
      </x:c>
      <x:c r="X166" s="48" t="str">
        <x:v>存在缺漏</x:v>
      </x:c>
      <x:c r="Y166" s="64"/>
      <x:c r="Z166" s="64" t="str">
        <x:v>未复核</x:v>
      </x:c>
      <x:c r="AA166" s="64" t="str">
        <x:v>部分充分</x:v>
      </x:c>
      <x:c r="AB166" s="64" t="str">
        <x:v>有效</x:v>
      </x:c>
      <x:c r="AC166" s="64" t="str">
        <x:v>部分核验</x:v>
      </x:c>
      <x:c r="AD166" s="64" t="str">
        <x:v>自动默认</x:v>
      </x:c>
      <x:c r="AE166" s="64" t="str">
        <x:v>候选池</x:v>
      </x:c>
      <x:c r="AF166" s="64" t="str">
        <x:v>A_仅待终审</x:v>
      </x:c>
      <x:c r="AG166" s="64"/>
      <x:c r="AH166" s="64"/>
      <x:c r="AI166" s="64"/>
      <x:c r="AJ166" s="64"/>
      <x:c r="AK166" s="64"/>
      <x:c r="AL166" s="64"/>
      <x:c r="AM166" s="64"/>
      <x:c r="AN166" s="48" t="str">
        <x:v>166</x:v>
      </x:c>
      <x:c r="AO166" s="48" t="str">
        <x:v>MAP_存在缺漏</x:v>
      </x:c>
      <x:c r="AP166" s="48" t="str">
        <x:v>存在报告证据，但尚未经人工逐项核验；已列依据来源，但未在本阶段逐条核验</x:v>
      </x:c>
      <x:c r="AQ166" s="64"/>
      <x:c r="AR166" s="48" t="str">
        <x:v>air_emission_standard</x:v>
      </x:c>
      <x:c r="AS166" s="48" t="str">
        <x:v>L3_analysis</x:v>
      </x:c>
      <x:c r="AT166" s="48" t="str">
        <x:v>multi_evidence_synthesis</x:v>
      </x:c>
      <x:c r="AU166" s="48" t="str">
        <x:v>basis_grounding</x:v>
      </x:c>
      <x:c r="AV166" s="48" t="str">
        <x:v>report_grounding；evidence_integration</x:v>
      </x:c>
      <x:c r="AW166" s="48" t="str">
        <x:v>high</x:v>
      </x:c>
      <x:c r="AX166" s="48" t="str">
        <x:v>high</x:v>
      </x:c>
      <x:c r="AY166" s="48" t="str">
        <x:v>report_plus_external</x:v>
      </x:c>
      <x:c r="AZ166" s="48" t="str">
        <x:v>True</x:v>
      </x:c>
      <x:c r="BA166" s="48"/>
      <x:c r="BB166" s="48" t="str">
        <x:v>auto_default</x:v>
      </x:c>
      <x:c r="BC166" s="48" t="str">
        <x:v>v1</x:v>
      </x:c>
      <x:c r="BD166" s="68"/>
    </x:row>
    <x:row r="167" ht="36" customHeight="1">
      <x:c r="A167" s="47" t="str">
        <x:v>2026-07-27</x:v>
      </x:c>
      <x:c r="B167" s="48" t="str">
        <x:v>PL030</x:v>
      </x:c>
      <x:c r="C167" s="48" t="str">
        <x:v>V01</x:v>
      </x:c>
      <x:c r="D167" s="48" t="str">
        <x:v>PL030_佛山市瑞易德塑料五金制品有限公司搬迁项目_01_受理公告或公示版.pdf</x:v>
      </x:c>
      <x:c r="E167" s="48" t="str">
        <x:v>佛山市瑞易德塑料五金制品有限公司搬迁项目</x:v>
      </x:c>
      <x:c r="F167" s="48" t="str">
        <x:v>PL030_Emission_噪声</x:v>
      </x:c>
      <x:c r="G167" s="48" t="str">
        <x:v>污染物排放标准-噪声排放标准</x:v>
      </x:c>
      <x:c r="H167" s="48" t="str">
        <x:v>请根据项目所属声环境功能区类别，判断噪声排放标准选取是否合理。要求总结声功能区类型、厂界执行标准（GB12348-2008）及昼夜限值，并与环评编制内容进行一致性分析。</x:v>
      </x:c>
      <x:c r="I167" s="48" t="str">
        <x:v>1、噪声排放标准中执行标准与排放限值内容：存在缺漏；
2、报告全文未提及GB12348-2008或任何噪声排放标准，存在缺漏。
4.</x:v>
      </x:c>
      <x:c r="J167" s="48" t="str">
        <x:v>噪声标准：报告全文未出现GB12348-2008或任何噪声排放标准的引用。
4.</x:v>
      </x:c>
      <x:c r="K167" s="48" t="str">
        <x:v>emission-standard-kb.jsonl; DB44/26-2001; DB44/2367-2022; GB31572-2015; GB14554-93; GB12348-2008; GB18597-2023; GB18599-2020</x:v>
      </x:c>
      <x:c r="L167" s="48" t="str">
        <x:v>2</x:v>
      </x:c>
      <x:c r="M167" s="48" t="str">
        <x:v>2</x:v>
      </x:c>
      <x:c r="N167" s="48" t="str">
        <x:v>False</x:v>
      </x:c>
      <x:c r="O167" s="48" t="str">
        <x:v>存在缺漏</x:v>
      </x:c>
      <x:c r="P167"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167" s="48"/>
      <x:c r="R167" s="48"/>
      <x:c r="S167" s="48" t="str">
        <x:v>是</x:v>
      </x:c>
      <x:c r="T167" s="48" t="str">
        <x:v>原综合排放标准问答对拆分而来</x:v>
      </x:c>
      <x:c r="U167" s="48" t="str">
        <x:v>30份环评_污染物排放控制执行标准复核QA(拆分版)</x:v>
      </x:c>
      <x:c r="V167" s="48" t="str">
        <x:v>噪声排放标准</x:v>
      </x:c>
      <x:c r="W167" s="48" t="str">
        <x:v>存在缺漏</x:v>
      </x:c>
      <x:c r="X167" s="48" t="str">
        <x:v>存在缺漏</x:v>
      </x:c>
      <x:c r="Y167" s="64"/>
      <x:c r="Z167" s="64" t="str">
        <x:v>未复核</x:v>
      </x:c>
      <x:c r="AA167" s="64" t="str">
        <x:v>部分充分</x:v>
      </x:c>
      <x:c r="AB167" s="64" t="str">
        <x:v>有效</x:v>
      </x:c>
      <x:c r="AC167" s="64" t="str">
        <x:v>部分核验</x:v>
      </x:c>
      <x:c r="AD167" s="64" t="str">
        <x:v>自动默认</x:v>
      </x:c>
      <x:c r="AE167" s="64" t="str">
        <x:v>候选池</x:v>
      </x:c>
      <x:c r="AF167" s="64" t="str">
        <x:v>A_仅待终审</x:v>
      </x:c>
      <x:c r="AG167" s="64"/>
      <x:c r="AH167" s="64"/>
      <x:c r="AI167" s="64"/>
      <x:c r="AJ167" s="64"/>
      <x:c r="AK167" s="64"/>
      <x:c r="AL167" s="64"/>
      <x:c r="AM167" s="64"/>
      <x:c r="AN167" s="48" t="str">
        <x:v>167</x:v>
      </x:c>
      <x:c r="AO167" s="48" t="str">
        <x:v>MAP_存在缺漏</x:v>
      </x:c>
      <x:c r="AP167" s="48" t="str">
        <x:v>存在报告证据，但尚未经人工逐项核验；已列依据来源，但未在本阶段逐条核验</x:v>
      </x:c>
      <x:c r="AQ167" s="64"/>
      <x:c r="AR167" s="48" t="str">
        <x:v>noise_emission_standard</x:v>
      </x:c>
      <x:c r="AS167" s="48" t="str">
        <x:v>L2_application</x:v>
      </x:c>
      <x:c r="AT167" s="48" t="str">
        <x:v>rule_applicability</x:v>
      </x:c>
      <x:c r="AU167" s="48" t="str">
        <x:v>basis_grounding</x:v>
      </x:c>
      <x:c r="AV167" s="48" t="str">
        <x:v>report_grounding</x:v>
      </x:c>
      <x:c r="AW167" s="48" t="str">
        <x:v>high</x:v>
      </x:c>
      <x:c r="AX167" s="48" t="str">
        <x:v>medium</x:v>
      </x:c>
      <x:c r="AY167" s="48" t="str">
        <x:v>report_plus_external</x:v>
      </x:c>
      <x:c r="AZ167" s="48" t="str">
        <x:v>True</x:v>
      </x:c>
      <x:c r="BA167" s="48"/>
      <x:c r="BB167" s="48" t="str">
        <x:v>auto_default</x:v>
      </x:c>
      <x:c r="BC167" s="48" t="str">
        <x:v>v1</x:v>
      </x:c>
      <x:c r="BD167" s="68"/>
    </x:row>
    <x:row r="168" ht="36" customHeight="1">
      <x:c r="A168" s="47" t="str">
        <x:v>2026-07-27</x:v>
      </x:c>
      <x:c r="B168" s="48" t="str">
        <x:v>PL030</x:v>
      </x:c>
      <x:c r="C168" s="48" t="str">
        <x:v>V01</x:v>
      </x:c>
      <x:c r="D168" s="48" t="str">
        <x:v>PL030_佛山市瑞易德塑料五金制品有限公司搬迁项目_01_受理公告或公示版.pdf</x:v>
      </x:c>
      <x:c r="E168" s="48" t="str">
        <x:v>佛山市瑞易德塑料五金制品有限公司搬迁项目</x:v>
      </x:c>
      <x:c r="F168" s="48" t="str">
        <x:v>PL030_Emission_固体</x:v>
      </x:c>
      <x:c r="G168" s="48" t="str">
        <x:v>污染物排放标准-固体废物控制标准</x:v>
      </x:c>
      <x:c r="H168" s="48" t="str">
        <x:v>请根据项目产生的固体废物和危险废物类型，判断固体废物控制标准选取是否合理。要求总结一般工业固体废物和危险废物执行标准的标准名称及编号，分析是否缺少必要标准条目。</x:v>
      </x:c>
      <x:c r="I168"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68" s="48" t="str">
        <x:v>固废标准：报告仅在工程分析中提及「设有危废间1 个，面积2.5m2，危险废物收集暂存于危废间并委托有资质的单位定期处理」「设有一般固体废物暂存间一个，面积约5m2」，未引用GB18597-2023、GB18599-2020等标准。</x:v>
      </x:c>
      <x:c r="K168" s="48" t="str">
        <x:v>emission-standard-kb.jsonl; DB44/26-2001; DB44/2367-2022; GB31572-2015; GB14554-93; GB12348-2008; GB18597-2023; GB18599-2020</x:v>
      </x:c>
      <x:c r="L168" s="48" t="str">
        <x:v>2</x:v>
      </x:c>
      <x:c r="M168" s="48" t="str">
        <x:v>2</x:v>
      </x:c>
      <x:c r="N168" s="48" t="str">
        <x:v>False</x:v>
      </x:c>
      <x:c r="O168" s="48" t="str">
        <x:v>无误</x:v>
      </x:c>
      <x:c r="P168"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168" s="48"/>
      <x:c r="R168" s="48"/>
      <x:c r="S168" s="48" t="str">
        <x:v>否</x:v>
      </x:c>
      <x:c r="T168" s="48" t="str">
        <x:v>修正：GB18599-2020不在知识库必须满足的标准清单中，原判定依据已更正。原综合排放标准问答对拆分而来</x:v>
      </x:c>
      <x:c r="U168" s="48" t="str">
        <x:v>30份环评_污染物排放控制执行标准复核QA(拆分版)</x:v>
      </x:c>
      <x:c r="V168" s="48" t="str">
        <x:v>固体废物控制标准</x:v>
      </x:c>
      <x:c r="W168" s="48" t="str">
        <x:v>无误</x:v>
      </x:c>
      <x:c r="X168" s="48" t="str">
        <x:v>无误</x:v>
      </x:c>
      <x:c r="Y168" s="64"/>
      <x:c r="Z168" s="64" t="str">
        <x:v>未复核</x:v>
      </x:c>
      <x:c r="AA168" s="64" t="str">
        <x:v>部分充分</x:v>
      </x:c>
      <x:c r="AB168" s="64" t="str">
        <x:v>有效</x:v>
      </x:c>
      <x:c r="AC168" s="64" t="str">
        <x:v>部分核验</x:v>
      </x:c>
      <x:c r="AD168" s="64" t="str">
        <x:v>自动默认</x:v>
      </x:c>
      <x:c r="AE168" s="64" t="str">
        <x:v>候选池</x:v>
      </x:c>
      <x:c r="AF168" s="64" t="str">
        <x:v>待分流</x:v>
      </x:c>
      <x:c r="AG168" s="64"/>
      <x:c r="AH168" s="64"/>
      <x:c r="AI168" s="64"/>
      <x:c r="AJ168" s="64"/>
      <x:c r="AK168" s="64"/>
      <x:c r="AL168" s="64"/>
      <x:c r="AM168" s="64"/>
      <x:c r="AN168" s="48" t="str">
        <x:v>168</x:v>
      </x:c>
      <x:c r="AO168" s="48" t="str">
        <x:v>MAP_无误</x:v>
      </x:c>
      <x:c r="AP168" s="48" t="str">
        <x:v>存在报告证据，但尚未经人工逐项核验；已列依据来源，但未在本阶段逐条核验</x:v>
      </x:c>
      <x:c r="AQ168" s="64"/>
      <x:c r="AR168" s="48" t="str">
        <x:v>solid_waste_standard</x:v>
      </x:c>
      <x:c r="AS168" s="48" t="str">
        <x:v>L2_application</x:v>
      </x:c>
      <x:c r="AT168" s="48" t="str">
        <x:v>rule_applicability</x:v>
      </x:c>
      <x:c r="AU168" s="48" t="str">
        <x:v>basis_grounding</x:v>
      </x:c>
      <x:c r="AV168" s="48" t="str">
        <x:v>report_grounding</x:v>
      </x:c>
      <x:c r="AW168" s="48" t="str">
        <x:v>high</x:v>
      </x:c>
      <x:c r="AX168" s="48" t="str">
        <x:v>medium</x:v>
      </x:c>
      <x:c r="AY168" s="48" t="str">
        <x:v>report_plus_external</x:v>
      </x:c>
      <x:c r="AZ168" s="48" t="str">
        <x:v>True</x:v>
      </x:c>
      <x:c r="BA168" s="48"/>
      <x:c r="BB168" s="48" t="str">
        <x:v>auto_default</x:v>
      </x:c>
      <x:c r="BC168" s="48" t="str">
        <x:v>v1</x:v>
      </x:c>
      <x:c r="BD168" s="68"/>
    </x:row>
    <x:row r="169" ht="36" customHeight="1">
      <x:c r="A169" s="47" t="str">
        <x:v>2026-06-25</x:v>
      </x:c>
      <x:c r="B169" s="48" t="str">
        <x:v>PL031</x:v>
      </x:c>
      <x:c r="C169" s="48" t="str">
        <x:v>V01</x:v>
      </x:c>
      <x:c r="D169" s="48" t="str">
        <x:v>年10月28日建设项目环境影响报告书（表）受理公告（佛山市生态环境局顺德分局）_3.pdf</x:v>
      </x:c>
      <x:c r="E169" s="48" t="str">
        <x:v>佛山市浩创时代包装制品有限公司新建项目</x:v>
      </x:c>
      <x:c r="F169" s="48" t="str">
        <x:v>PL031_V01_Q01</x:v>
      </x:c>
      <x:c r="G169" s="48" t="str">
        <x:v>1. 塑胶行业样本筛选与国民经济行业分类</x:v>
      </x:c>
      <x:c r="H169" s="48" t="str">
        <x:v>请结合项目产品、原辅材料和生产工艺，判断该报告行业类别是否基本合理。</x:v>
      </x:c>
      <x:c r="I169" s="48" t="str">
        <x:v>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x:v>
      </x:c>
      <x:c r="J169" s="48"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169" s="48" t="str">
        <x:v>《国民经济行业分类》(GB/T 4754—2017)；本任务C292筛选及C17/C18排除规则</x:v>
      </x:c>
      <x:c r="L169" s="48" t="str">
        <x:v>结合本项目行业代码、建设性质、工艺关键词及PDF证据生成，非脱离项目的通用题。</x:v>
      </x:c>
      <x:c r="M169" s="48" t="str">
        <x:v>可依据对应PDF原文、工程分析表格及所列法规标准逐项复核。</x:v>
      </x:c>
      <x:c r="N169" s="48" t="str">
        <x:v>True</x:v>
      </x:c>
      <x:c r="O169" s="48"/>
      <x:c r="P169" s="48"/>
      <x:c r="Q169" s="48"/>
      <x:c r="R169" s="48" t="str">
        <x:v>新增</x:v>
      </x:c>
      <x:c r="S169" s="48" t="str">
        <x:v>是</x:v>
      </x:c>
      <x:c r="T169" s="48" t="str">
        <x:v>自动生成；需人工复核项目参数、公式取值、标准适用范围及PDF文字提取完整性。</x:v>
      </x:c>
      <x:c r="U169" s="48" t="str">
        <x:v>seed_qa_塑胶行业筛选版_30个国民经济行业分类的人工标记</x:v>
      </x:c>
      <x:c r="V169" s="48" t="str">
        <x:v>国民经济行业分类</x:v>
      </x:c>
      <x:c r="W169" s="48"/>
      <x:c r="X169" s="48" t="str">
        <x:v>待判断</x:v>
      </x:c>
      <x:c r="Y169" s="64"/>
      <x:c r="Z169" s="64" t="str">
        <x:v>未复核</x:v>
      </x:c>
      <x:c r="AA169" s="64" t="str">
        <x:v>部分充分</x:v>
      </x:c>
      <x:c r="AB169" s="64" t="str">
        <x:v>待判断</x:v>
      </x:c>
      <x:c r="AC169" s="64" t="str">
        <x:v>部分核验</x:v>
      </x:c>
      <x:c r="AD169" s="64" t="str">
        <x:v>自动默认</x:v>
      </x:c>
      <x:c r="AE169" s="64" t="str">
        <x:v>候选池</x:v>
      </x:c>
      <x:c r="AF169" s="64" t="str">
        <x:v>C_题目或材料问题</x:v>
      </x:c>
      <x:c r="AG169" s="64"/>
      <x:c r="AH169" s="64"/>
      <x:c r="AI169" s="64"/>
      <x:c r="AJ169" s="64"/>
      <x:c r="AK169" s="64"/>
      <x:c r="AL169" s="64"/>
      <x:c r="AM169" s="64"/>
      <x:c r="AN169" s="48" t="str">
        <x:v>169</x:v>
      </x:c>
      <x:c r="AO169" s="48" t="str">
        <x:v>MAP_BLANK</x:v>
      </x:c>
      <x:c r="AP169" s="48" t="str">
        <x:v>人工判断为空：不得自动补填结论；人工判断为空；结构完整但原因需人工确认；存在报告证据，但尚未经人工逐项核验；已列依据来源，但未在本阶段逐条核验</x:v>
      </x:c>
      <x:c r="AQ169" s="64"/>
      <x:c r="AR169" s="48" t="str">
        <x:v>industry_classification</x:v>
      </x:c>
      <x:c r="AS169" s="48" t="str">
        <x:v>L3_analysis</x:v>
      </x:c>
      <x:c r="AT169" s="48" t="str">
        <x:v>multi_evidence_synthesis</x:v>
      </x:c>
      <x:c r="AU169" s="48" t="str">
        <x:v>evidence_integration</x:v>
      </x:c>
      <x:c r="AV169" s="48" t="str">
        <x:v>report_grounding；basis_grounding</x:v>
      </x:c>
      <x:c r="AW169" s="48" t="str">
        <x:v>high</x:v>
      </x:c>
      <x:c r="AX169" s="48" t="str">
        <x:v>high</x:v>
      </x:c>
      <x:c r="AY169" s="48" t="str">
        <x:v>cross_section</x:v>
      </x:c>
      <x:c r="AZ169" s="48" t="str">
        <x:v>True</x:v>
      </x:c>
      <x:c r="BA169" s="48"/>
      <x:c r="BB169" s="48" t="str">
        <x:v>auto_default</x:v>
      </x:c>
      <x:c r="BC169" s="48" t="str">
        <x:v>v1</x:v>
      </x:c>
      <x:c r="BD169" s="68"/>
    </x:row>
    <x:row r="170" ht="36" customHeight="1">
      <x:c r="A170" s="47" t="str">
        <x:v>2026-07-24</x:v>
      </x:c>
      <x:c r="B170" s="48" t="str">
        <x:v>PL031</x:v>
      </x:c>
      <x:c r="C170" s="48" t="str">
        <x:v>V01</x:v>
      </x:c>
      <x:c r="D170" s="48" t="str">
        <x:v>PL031_佛山市浩创时代包装制品有限公司新建项目</x:v>
      </x:c>
      <x:c r="E170" s="48" t="str">
        <x:v>佛山市浩创时代包装制品有限公司新建项目</x:v>
      </x:c>
      <x:c r="F170" s="48" t="str">
        <x:v>PL031_V01_Q03</x:v>
      </x:c>
      <x:c r="G170" s="48" t="str">
        <x:v>环评投资核算</x:v>
      </x:c>
      <x:c r="H170" s="48" t="str">
        <x:v>请根据报告中的总投资、环保投资和环保工程投资明细，判断环保投资核算是否前后一致、比例是否正确。</x:v>
      </x:c>
      <x:c r="I170" s="48" t="str">
        <x:v>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x:v>
      </x:c>
      <x:c r="J170" s="48" t="str">
        <x:v>一、建设项目基本情况；项目环保投资一览表：总投资250万元、环保投资25万元、占比10%；分项合计25万元。来源：解析文本拼接_02_021-040(3).md</x:v>
      </x:c>
      <x:c r="K170" s="48" t="str">
        <x:v>报告原文-环保投资明细表</x:v>
      </x:c>
      <x:c r="L170" s="48" t="str">
        <x:v>2</x:v>
      </x:c>
      <x:c r="M170" s="48" t="str">
        <x:v>2</x:v>
      </x:c>
      <x:c r="N170" s="48" t="str">
        <x:v>False</x:v>
      </x:c>
      <x:c r="O170" s="48" t="str">
        <x:v>正确</x:v>
      </x:c>
      <x:c r="P170" s="48"/>
      <x:c r="Q170" s="48"/>
      <x:c r="R170" s="48"/>
      <x:c r="S170" s="48" t="str">
        <x:v>否</x:v>
      </x:c>
      <x:c r="T170" s="48"/>
      <x:c r="U170" s="48" t="str">
        <x:v>30个PL_环评投资核算QA</x:v>
      </x:c>
      <x:c r="V170" s="48" t="str">
        <x:v>环评投资概算</x:v>
      </x:c>
      <x:c r="W170" s="48" t="str">
        <x:v>正确</x:v>
      </x:c>
      <x:c r="X170" s="48" t="str">
        <x:v>无误</x:v>
      </x:c>
      <x:c r="Y170" s="64"/>
      <x:c r="Z170" s="64" t="str">
        <x:v>未复核</x:v>
      </x:c>
      <x:c r="AA170" s="64" t="str">
        <x:v>部分充分</x:v>
      </x:c>
      <x:c r="AB170" s="64" t="str">
        <x:v>有效</x:v>
      </x:c>
      <x:c r="AC170" s="64" t="str">
        <x:v>不需要外部依据</x:v>
      </x:c>
      <x:c r="AD170" s="64" t="str">
        <x:v>自动默认</x:v>
      </x:c>
      <x:c r="AE170" s="64" t="str">
        <x:v>候选池</x:v>
      </x:c>
      <x:c r="AF170" s="64" t="str">
        <x:v>待分流</x:v>
      </x:c>
      <x:c r="AG170" s="64"/>
      <x:c r="AH170" s="64"/>
      <x:c r="AI170" s="64"/>
      <x:c r="AJ170" s="64"/>
      <x:c r="AK170" s="64"/>
      <x:c r="AL170" s="64"/>
      <x:c r="AM170" s="64"/>
      <x:c r="AN170" s="48" t="str">
        <x:v>170</x:v>
      </x:c>
      <x:c r="AO170" s="48" t="str">
        <x:v>MAP_正确</x:v>
      </x:c>
      <x:c r="AP170" s="48" t="str">
        <x:v>存在报告证据，但尚未经人工逐项核验；投资复核主要依据报告内金额与算式</x:v>
      </x:c>
      <x:c r="AQ170" s="64"/>
      <x:c r="AR170" s="48" t="str">
        <x:v>environmental_investment</x:v>
      </x:c>
      <x:c r="AS170" s="48" t="str">
        <x:v>L2_application</x:v>
      </x:c>
      <x:c r="AT170" s="48" t="str">
        <x:v>quantitative_verification</x:v>
      </x:c>
      <x:c r="AU170" s="48" t="str">
        <x:v>numerical_accuracy</x:v>
      </x:c>
      <x:c r="AV170" s="48" t="str">
        <x:v>report_grounding；procedural_reasoning</x:v>
      </x:c>
      <x:c r="AW170" s="48" t="str">
        <x:v>low</x:v>
      </x:c>
      <x:c r="AX170" s="48" t="str">
        <x:v>medium</x:v>
      </x:c>
      <x:c r="AY170" s="48" t="str">
        <x:v>cross_section</x:v>
      </x:c>
      <x:c r="AZ170" s="48" t="str">
        <x:v>True</x:v>
      </x:c>
      <x:c r="BA170" s="48"/>
      <x:c r="BB170" s="48" t="str">
        <x:v>auto_default</x:v>
      </x:c>
      <x:c r="BC170" s="48" t="str">
        <x:v>v1</x:v>
      </x:c>
      <x:c r="BD170" s="68"/>
    </x:row>
    <x:row r="171" ht="36" customHeight="1">
      <x:c r="A171" s="47" t="str">
        <x:v>2026-07-28</x:v>
      </x:c>
      <x:c r="B171" s="48" t="str">
        <x:v>PL031</x:v>
      </x:c>
      <x:c r="C171" s="48" t="str">
        <x:v>V01</x:v>
      </x:c>
      <x:c r="D171" s="48" t="str">
        <x:v>PL031_佛山市浩创时代包装制品有限公司新建项目_01_受理公告或公示版.pdf</x:v>
      </x:c>
      <x:c r="E171" s="48" t="str">
        <x:v>佛山市浩创时代包装制品有限公司新建项目</x:v>
      </x:c>
      <x:c r="F171" s="48" t="str">
        <x:v>PL031_EnvQuality_Q01</x:v>
      </x:c>
      <x:c r="G171" s="48" t="str">
        <x:v>大气及地表水环境质量现状数据引用</x:v>
      </x:c>
      <x:c r="H171" s="48" t="str">
        <x:v>请根据报告引用的环境质量公报及现状数据，判断大气和地表水环境质量现状数据引用是否准确。</x:v>
      </x:c>
      <x:c r="I171"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x:v>
      </x:c>
      <x:c r="J171" s="48" t="str">
        <x:v>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x:v>
      </x:c>
      <x:c r="K171" s="48" t="str">
        <x:v>生态环境状况公报知识库; 收纳水体地表水执行标准</x:v>
      </x:c>
      <x:c r="L171" s="48" t="str">
        <x:v>2</x:v>
      </x:c>
      <x:c r="M171" s="48" t="str">
        <x:v>2</x:v>
      </x:c>
      <x:c r="N171" s="48" t="str">
        <x:v>False</x:v>
      </x:c>
      <x:c r="O171" s="48" t="str">
        <x:v>正确</x:v>
      </x:c>
      <x:c r="P171" s="48" t="str">
        <x:v>大气:正确; 地表水:正确; 报告日期:2024-04</x:v>
      </x:c>
      <x:c r="Q171" s="48"/>
      <x:c r="R171" s="48"/>
      <x:c r="S171" s="48" t="str">
        <x:v>是</x:v>
      </x:c>
      <x:c r="T171" s="48" t="str">
        <x:v>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x:v>
      </x:c>
      <x:c r="U171" s="48" t="str">
        <x:v>30个环评_大气及地表水环境质量现状数据引用复核QA</x:v>
      </x:c>
      <x:c r="V171" s="48" t="str">
        <x:v>环境质量数据引用</x:v>
      </x:c>
      <x:c r="W171" s="48" t="str">
        <x:v>正确</x:v>
      </x:c>
      <x:c r="X171" s="48" t="str">
        <x:v>无误</x:v>
      </x:c>
      <x:c r="Y171" s="64"/>
      <x:c r="Z171" s="64" t="str">
        <x:v>未复核</x:v>
      </x:c>
      <x:c r="AA171" s="64" t="str">
        <x:v>部分充分</x:v>
      </x:c>
      <x:c r="AB171" s="64" t="str">
        <x:v>有效</x:v>
      </x:c>
      <x:c r="AC171" s="64" t="str">
        <x:v>部分核验</x:v>
      </x:c>
      <x:c r="AD171" s="64" t="str">
        <x:v>自动默认</x:v>
      </x:c>
      <x:c r="AE171" s="64" t="str">
        <x:v>候选池</x:v>
      </x:c>
      <x:c r="AF171" s="64" t="str">
        <x:v>A_仅待终审</x:v>
      </x:c>
      <x:c r="AG171" s="64"/>
      <x:c r="AH171" s="64"/>
      <x:c r="AI171" s="64"/>
      <x:c r="AJ171" s="64"/>
      <x:c r="AK171" s="64"/>
      <x:c r="AL171" s="64"/>
      <x:c r="AM171" s="64"/>
      <x:c r="AN171" s="48" t="str">
        <x:v>171</x:v>
      </x:c>
      <x:c r="AO171" s="48" t="str">
        <x:v>MAP_正确</x:v>
      </x:c>
      <x:c r="AP171" s="48" t="str">
        <x:v>存在报告证据，但尚未经人工逐项核验；已列依据来源，但未在本阶段逐条核验</x:v>
      </x:c>
      <x:c r="AQ171" s="64"/>
      <x:c r="AR171" s="48" t="str">
        <x:v>environmental_quality_data</x:v>
      </x:c>
      <x:c r="AS171" s="48" t="str">
        <x:v>L3_analysis</x:v>
      </x:c>
      <x:c r="AT171" s="48" t="str">
        <x:v>consistency_comparison</x:v>
      </x:c>
      <x:c r="AU171" s="48" t="str">
        <x:v>evidence_integration</x:v>
      </x:c>
      <x:c r="AV171" s="48" t="str">
        <x:v>report_grounding；basis_grounding</x:v>
      </x:c>
      <x:c r="AW171" s="48" t="str">
        <x:v>high</x:v>
      </x:c>
      <x:c r="AX171" s="48" t="str">
        <x:v>high</x:v>
      </x:c>
      <x:c r="AY171" s="48" t="str">
        <x:v>report_plus_external</x:v>
      </x:c>
      <x:c r="AZ171" s="48" t="str">
        <x:v>True</x:v>
      </x:c>
      <x:c r="BA171" s="48"/>
      <x:c r="BB171" s="48" t="str">
        <x:v>auto_default</x:v>
      </x:c>
      <x:c r="BC171" s="48" t="str">
        <x:v>v1</x:v>
      </x:c>
      <x:c r="BD171" s="68"/>
    </x:row>
    <x:row r="172" ht="36" customHeight="1">
      <x:c r="A172" s="47" t="str">
        <x:v>2026-07-27</x:v>
      </x:c>
      <x:c r="B172" s="48" t="str">
        <x:v>PL031</x:v>
      </x:c>
      <x:c r="C172" s="48" t="str">
        <x:v>V01</x:v>
      </x:c>
      <x:c r="D172" s="48" t="str">
        <x:v>PL031_佛山市浩创时代包装制品有限公司新建项目_01_受理公告或公示版.pdf</x:v>
      </x:c>
      <x:c r="E172" s="48" t="str">
        <x:v>佛山市浩创时代包装制品有限公司新建项目</x:v>
      </x:c>
      <x:c r="F172" s="48" t="str">
        <x:v>PL031_Emission_水污</x:v>
      </x:c>
      <x:c r="G172" s="48" t="str">
        <x:v>污染物排放标准-水污染物排放标准</x:v>
      </x:c>
      <x:c r="H17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72" s="48" t="str">
        <x:v>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x:v>
      </x:c>
      <x:c r="J172" s="48" t="str">
        <x:v>水标准片段：「本项目位于伦教污水处理厂处理范围，尾水执行《城镇污水处理厂污染物排放标准》（GB18918-2002）一级A 标准及《广东省水污染物排放限值》（DB44/26-2001）的较严值。」
2.</x:v>
      </x:c>
      <x:c r="K172" s="48" t="str">
        <x:v>emission-standard-kb.jsonl; DB44/26-2001; DB44/2367-2022; GB31572-2015; GB14554-93; GB12348-2008; GB18597-2023; GB18599-2020</x:v>
      </x:c>
      <x:c r="L172" s="48" t="str">
        <x:v>2</x:v>
      </x:c>
      <x:c r="M172" s="48" t="str">
        <x:v>2</x:v>
      </x:c>
      <x:c r="N172" s="48" t="str">
        <x:v>False</x:v>
      </x:c>
      <x:c r="O172" s="48" t="str">
        <x:v>存在缺漏</x:v>
      </x:c>
      <x:c r="P172"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172" s="48"/>
      <x:c r="R172" s="48"/>
      <x:c r="S172" s="48" t="str">
        <x:v>是</x:v>
      </x:c>
      <x:c r="T172" s="48" t="str">
        <x:v>原综合排放标准问答对拆分而来</x:v>
      </x:c>
      <x:c r="U172" s="48" t="str">
        <x:v>30份环评_污染物排放控制执行标准复核QA(拆分版)</x:v>
      </x:c>
      <x:c r="V172" s="48" t="str">
        <x:v>水污染物排放标准</x:v>
      </x:c>
      <x:c r="W172" s="48" t="str">
        <x:v>存在缺漏</x:v>
      </x:c>
      <x:c r="X172" s="48" t="str">
        <x:v>存在缺漏</x:v>
      </x:c>
      <x:c r="Y172" s="64"/>
      <x:c r="Z172" s="64" t="str">
        <x:v>未复核</x:v>
      </x:c>
      <x:c r="AA172" s="64" t="str">
        <x:v>部分充分</x:v>
      </x:c>
      <x:c r="AB172" s="64" t="str">
        <x:v>有效</x:v>
      </x:c>
      <x:c r="AC172" s="64" t="str">
        <x:v>部分核验</x:v>
      </x:c>
      <x:c r="AD172" s="64" t="str">
        <x:v>自动默认</x:v>
      </x:c>
      <x:c r="AE172" s="64" t="str">
        <x:v>候选池</x:v>
      </x:c>
      <x:c r="AF172" s="64" t="str">
        <x:v>A_仅待终审</x:v>
      </x:c>
      <x:c r="AG172" s="64"/>
      <x:c r="AH172" s="64"/>
      <x:c r="AI172" s="64"/>
      <x:c r="AJ172" s="64"/>
      <x:c r="AK172" s="64"/>
      <x:c r="AL172" s="64"/>
      <x:c r="AM172" s="64"/>
      <x:c r="AN172" s="48" t="str">
        <x:v>172</x:v>
      </x:c>
      <x:c r="AO172" s="48" t="str">
        <x:v>MAP_存在缺漏</x:v>
      </x:c>
      <x:c r="AP172" s="48" t="str">
        <x:v>存在报告证据，但尚未经人工逐项核验；已列依据来源，但未在本阶段逐条核验</x:v>
      </x:c>
      <x:c r="AQ172" s="64"/>
      <x:c r="AR172" s="48" t="str">
        <x:v>water_emission_standard</x:v>
      </x:c>
      <x:c r="AS172" s="48" t="str">
        <x:v>L3_analysis</x:v>
      </x:c>
      <x:c r="AT172" s="48" t="str">
        <x:v>rule_applicability</x:v>
      </x:c>
      <x:c r="AU172" s="48" t="str">
        <x:v>basis_grounding</x:v>
      </x:c>
      <x:c r="AV172" s="48" t="str">
        <x:v>report_grounding；procedural_reasoning</x:v>
      </x:c>
      <x:c r="AW172" s="48" t="str">
        <x:v>high</x:v>
      </x:c>
      <x:c r="AX172" s="48" t="str">
        <x:v>high</x:v>
      </x:c>
      <x:c r="AY172" s="48" t="str">
        <x:v>report_plus_external</x:v>
      </x:c>
      <x:c r="AZ172" s="48" t="str">
        <x:v>True</x:v>
      </x:c>
      <x:c r="BA172" s="48"/>
      <x:c r="BB172" s="48" t="str">
        <x:v>auto_default</x:v>
      </x:c>
      <x:c r="BC172" s="48" t="str">
        <x:v>v1</x:v>
      </x:c>
      <x:c r="BD172" s="68"/>
    </x:row>
    <x:row r="173" ht="36" customHeight="1">
      <x:c r="A173" s="47" t="str">
        <x:v>2026-07-27</x:v>
      </x:c>
      <x:c r="B173" s="48" t="str">
        <x:v>PL031</x:v>
      </x:c>
      <x:c r="C173" s="48" t="str">
        <x:v>V01</x:v>
      </x:c>
      <x:c r="D173" s="48" t="str">
        <x:v>PL031_佛山市浩创时代包装制品有限公司新建项目_01_受理公告或公示版.pdf</x:v>
      </x:c>
      <x:c r="E173" s="48" t="str">
        <x:v>佛山市浩创时代包装制品有限公司新建项目</x:v>
      </x:c>
      <x:c r="F173" s="48" t="str">
        <x:v>PL031_Emission_大气</x:v>
      </x:c>
      <x:c r="G173" s="48" t="str">
        <x:v>污染物排放标准-大气污染物排放标准</x:v>
      </x:c>
      <x:c r="H173" s="48" t="str">
        <x:v>请根据项目行业类别、生产工艺和污染因子，判断大气污染物排放标准选取是否合理。要求分析：污染源覆盖是否完整（列出所有大气污染源及对应标准），是否存在缺漏的污染源或标准。</x:v>
      </x:c>
      <x:c r="I173" s="48" t="str">
        <x:v>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x:v>
      </x:c>
      <x:c r="J173" s="48" t="str">
        <x:v>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x:v>
      </x:c>
      <x:c r="K173" s="48" t="str">
        <x:v>emission-standard-kb.jsonl; DB44/26-2001; DB44/2367-2022; GB31572-2015; GB14554-93; GB12348-2008; GB18597-2023; GB18599-2020</x:v>
      </x:c>
      <x:c r="L173" s="48" t="str">
        <x:v>2</x:v>
      </x:c>
      <x:c r="M173" s="48" t="str">
        <x:v>2</x:v>
      </x:c>
      <x:c r="N173" s="48" t="str">
        <x:v>False</x:v>
      </x:c>
      <x:c r="O173" s="48" t="str">
        <x:v>存在缺漏</x:v>
      </x:c>
      <x:c r="P173"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173" s="48"/>
      <x:c r="R173" s="48"/>
      <x:c r="S173" s="48" t="str">
        <x:v>是</x:v>
      </x:c>
      <x:c r="T173" s="48" t="str">
        <x:v>原综合排放标准问答对拆分而来</x:v>
      </x:c>
      <x:c r="U173" s="48" t="str">
        <x:v>30份环评_污染物排放控制执行标准复核QA(拆分版)</x:v>
      </x:c>
      <x:c r="V173" s="48" t="str">
        <x:v>大气污染物排放标准</x:v>
      </x:c>
      <x:c r="W173" s="48" t="str">
        <x:v>存在缺漏</x:v>
      </x:c>
      <x:c r="X173" s="48" t="str">
        <x:v>存在缺漏</x:v>
      </x:c>
      <x:c r="Y173" s="64"/>
      <x:c r="Z173" s="64" t="str">
        <x:v>未复核</x:v>
      </x:c>
      <x:c r="AA173" s="64" t="str">
        <x:v>部分充分</x:v>
      </x:c>
      <x:c r="AB173" s="64" t="str">
        <x:v>有效</x:v>
      </x:c>
      <x:c r="AC173" s="64" t="str">
        <x:v>部分核验</x:v>
      </x:c>
      <x:c r="AD173" s="64" t="str">
        <x:v>自动默认</x:v>
      </x:c>
      <x:c r="AE173" s="64" t="str">
        <x:v>候选池</x:v>
      </x:c>
      <x:c r="AF173" s="64" t="str">
        <x:v>A_仅待终审</x:v>
      </x:c>
      <x:c r="AG173" s="64"/>
      <x:c r="AH173" s="64"/>
      <x:c r="AI173" s="64"/>
      <x:c r="AJ173" s="64"/>
      <x:c r="AK173" s="64"/>
      <x:c r="AL173" s="64"/>
      <x:c r="AM173" s="64"/>
      <x:c r="AN173" s="48" t="str">
        <x:v>173</x:v>
      </x:c>
      <x:c r="AO173" s="48" t="str">
        <x:v>MAP_存在缺漏</x:v>
      </x:c>
      <x:c r="AP173" s="48" t="str">
        <x:v>存在报告证据，但尚未经人工逐项核验；已列依据来源，但未在本阶段逐条核验</x:v>
      </x:c>
      <x:c r="AQ173" s="64"/>
      <x:c r="AR173" s="48" t="str">
        <x:v>air_emission_standard</x:v>
      </x:c>
      <x:c r="AS173" s="48" t="str">
        <x:v>L3_analysis</x:v>
      </x:c>
      <x:c r="AT173" s="48" t="str">
        <x:v>multi_evidence_synthesis</x:v>
      </x:c>
      <x:c r="AU173" s="48" t="str">
        <x:v>basis_grounding</x:v>
      </x:c>
      <x:c r="AV173" s="48" t="str">
        <x:v>report_grounding；evidence_integration</x:v>
      </x:c>
      <x:c r="AW173" s="48" t="str">
        <x:v>high</x:v>
      </x:c>
      <x:c r="AX173" s="48" t="str">
        <x:v>high</x:v>
      </x:c>
      <x:c r="AY173" s="48" t="str">
        <x:v>report_plus_external</x:v>
      </x:c>
      <x:c r="AZ173" s="48" t="str">
        <x:v>True</x:v>
      </x:c>
      <x:c r="BA173" s="48"/>
      <x:c r="BB173" s="48" t="str">
        <x:v>auto_default</x:v>
      </x:c>
      <x:c r="BC173" s="48" t="str">
        <x:v>v1</x:v>
      </x:c>
      <x:c r="BD173" s="68"/>
    </x:row>
    <x:row r="174" ht="36" customHeight="1">
      <x:c r="A174" s="47" t="str">
        <x:v>2026-07-27</x:v>
      </x:c>
      <x:c r="B174" s="48" t="str">
        <x:v>PL031</x:v>
      </x:c>
      <x:c r="C174" s="48" t="str">
        <x:v>V01</x:v>
      </x:c>
      <x:c r="D174" s="48" t="str">
        <x:v>PL031_佛山市浩创时代包装制品有限公司新建项目_01_受理公告或公示版.pdf</x:v>
      </x:c>
      <x:c r="E174" s="48" t="str">
        <x:v>佛山市浩创时代包装制品有限公司新建项目</x:v>
      </x:c>
      <x:c r="F174" s="48" t="str">
        <x:v>PL031_Emission_噪声</x:v>
      </x:c>
      <x:c r="G174" s="48" t="str">
        <x:v>污染物排放标准-噪声排放标准</x:v>
      </x:c>
      <x:c r="H174" s="48" t="str">
        <x:v>请根据项目所属声环境功能区类别，判断噪声排放标准选取是否合理。要求总结声功能区类型、厂界执行标准（GB12348-2008）及昼夜限值，并与环评编制内容进行一致性分析。</x:v>
      </x:c>
      <x:c r="I174" s="48" t="str">
        <x:v>1、噪声排放标准中执行标准与排放限值内容：存在缺漏；
2、报告全文未提及GB12348-2008或任何噪声排放标准，存在缺漏。
4.</x:v>
      </x:c>
      <x:c r="J174" s="48" t="str">
        <x:v>噪声标准：报告全文未出现GB12348-2008或任何噪声排放标准的引用。
4.</x:v>
      </x:c>
      <x:c r="K174" s="48" t="str">
        <x:v>emission-standard-kb.jsonl; DB44/26-2001; DB44/2367-2022; GB31572-2015; GB14554-93; GB12348-2008; GB18597-2023; GB18599-2020</x:v>
      </x:c>
      <x:c r="L174" s="48" t="str">
        <x:v>2</x:v>
      </x:c>
      <x:c r="M174" s="48" t="str">
        <x:v>2</x:v>
      </x:c>
      <x:c r="N174" s="48" t="str">
        <x:v>False</x:v>
      </x:c>
      <x:c r="O174" s="48" t="str">
        <x:v>存在缺漏</x:v>
      </x:c>
      <x:c r="P174"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174" s="48"/>
      <x:c r="R174" s="48"/>
      <x:c r="S174" s="48" t="str">
        <x:v>是</x:v>
      </x:c>
      <x:c r="T174" s="48" t="str">
        <x:v>原综合排放标准问答对拆分而来</x:v>
      </x:c>
      <x:c r="U174" s="48" t="str">
        <x:v>30份环评_污染物排放控制执行标准复核QA(拆分版)</x:v>
      </x:c>
      <x:c r="V174" s="48" t="str">
        <x:v>噪声排放标准</x:v>
      </x:c>
      <x:c r="W174" s="48" t="str">
        <x:v>存在缺漏</x:v>
      </x:c>
      <x:c r="X174" s="48" t="str">
        <x:v>存在缺漏</x:v>
      </x:c>
      <x:c r="Y174" s="64"/>
      <x:c r="Z174" s="64" t="str">
        <x:v>未复核</x:v>
      </x:c>
      <x:c r="AA174" s="64" t="str">
        <x:v>部分充分</x:v>
      </x:c>
      <x:c r="AB174" s="64" t="str">
        <x:v>有效</x:v>
      </x:c>
      <x:c r="AC174" s="64" t="str">
        <x:v>部分核验</x:v>
      </x:c>
      <x:c r="AD174" s="64" t="str">
        <x:v>自动默认</x:v>
      </x:c>
      <x:c r="AE174" s="64" t="str">
        <x:v>候选池</x:v>
      </x:c>
      <x:c r="AF174" s="64" t="str">
        <x:v>A_仅待终审</x:v>
      </x:c>
      <x:c r="AG174" s="64"/>
      <x:c r="AH174" s="64"/>
      <x:c r="AI174" s="64"/>
      <x:c r="AJ174" s="64"/>
      <x:c r="AK174" s="64"/>
      <x:c r="AL174" s="64"/>
      <x:c r="AM174" s="64"/>
      <x:c r="AN174" s="48" t="str">
        <x:v>174</x:v>
      </x:c>
      <x:c r="AO174" s="48" t="str">
        <x:v>MAP_存在缺漏</x:v>
      </x:c>
      <x:c r="AP174" s="48" t="str">
        <x:v>存在报告证据，但尚未经人工逐项核验；已列依据来源，但未在本阶段逐条核验</x:v>
      </x:c>
      <x:c r="AQ174" s="64"/>
      <x:c r="AR174" s="48" t="str">
        <x:v>noise_emission_standard</x:v>
      </x:c>
      <x:c r="AS174" s="48" t="str">
        <x:v>L2_application</x:v>
      </x:c>
      <x:c r="AT174" s="48" t="str">
        <x:v>rule_applicability</x:v>
      </x:c>
      <x:c r="AU174" s="48" t="str">
        <x:v>basis_grounding</x:v>
      </x:c>
      <x:c r="AV174" s="48" t="str">
        <x:v>report_grounding</x:v>
      </x:c>
      <x:c r="AW174" s="48" t="str">
        <x:v>high</x:v>
      </x:c>
      <x:c r="AX174" s="48" t="str">
        <x:v>medium</x:v>
      </x:c>
      <x:c r="AY174" s="48" t="str">
        <x:v>report_plus_external</x:v>
      </x:c>
      <x:c r="AZ174" s="48" t="str">
        <x:v>True</x:v>
      </x:c>
      <x:c r="BA174" s="48"/>
      <x:c r="BB174" s="48" t="str">
        <x:v>auto_default</x:v>
      </x:c>
      <x:c r="BC174" s="48" t="str">
        <x:v>v1</x:v>
      </x:c>
      <x:c r="BD174" s="68"/>
    </x:row>
    <x:row r="175" ht="36" customHeight="1">
      <x:c r="A175" s="47" t="str">
        <x:v>2026-07-27</x:v>
      </x:c>
      <x:c r="B175" s="48" t="str">
        <x:v>PL031</x:v>
      </x:c>
      <x:c r="C175" s="48" t="str">
        <x:v>V01</x:v>
      </x:c>
      <x:c r="D175" s="48" t="str">
        <x:v>PL031_佛山市浩创时代包装制品有限公司新建项目_01_受理公告或公示版.pdf</x:v>
      </x:c>
      <x:c r="E175" s="48" t="str">
        <x:v>佛山市浩创时代包装制品有限公司新建项目</x:v>
      </x:c>
      <x:c r="F175" s="48" t="str">
        <x:v>PL031_Emission_固体</x:v>
      </x:c>
      <x:c r="G175" s="48" t="str">
        <x:v>污染物排放标准-固体废物控制标准</x:v>
      </x:c>
      <x:c r="H175" s="48" t="str">
        <x:v>请根据项目产生的固体废物和危险废物类型，判断固体废物控制标准选取是否合理。要求总结一般工业固体废物和危险废物执行标准的标准名称及编号，分析是否缺少必要标准条目。</x:v>
      </x:c>
      <x:c r="I175"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75" s="48" t="str">
        <x:v>固废标准：报告全文未引用GB18597-2023、GB18599-2020等标准。
5. 丝印工序：「本项目使用的油墨为油性油墨，油性油墨较水性油墨有着成膜时间短、附着性强等优点」</x:v>
      </x:c>
      <x:c r="K175" s="48" t="str">
        <x:v>emission-standard-kb.jsonl; DB44/26-2001; DB44/2367-2022; GB31572-2015; GB14554-93; GB12348-2008; GB18597-2023; GB18599-2020</x:v>
      </x:c>
      <x:c r="L175" s="48" t="str">
        <x:v>2</x:v>
      </x:c>
      <x:c r="M175" s="48" t="str">
        <x:v>2</x:v>
      </x:c>
      <x:c r="N175" s="48" t="str">
        <x:v>False</x:v>
      </x:c>
      <x:c r="O175" s="48" t="str">
        <x:v>无误</x:v>
      </x:c>
      <x:c r="P175"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175" s="48"/>
      <x:c r="R175" s="48"/>
      <x:c r="S175" s="48" t="str">
        <x:v>否</x:v>
      </x:c>
      <x:c r="T175" s="48" t="str">
        <x:v>修正：GB18599-2020不在知识库必须满足的标准清单中，原判定依据已更正。原综合排放标准问答对拆分而来</x:v>
      </x:c>
      <x:c r="U175" s="48" t="str">
        <x:v>30份环评_污染物排放控制执行标准复核QA(拆分版)</x:v>
      </x:c>
      <x:c r="V175" s="48" t="str">
        <x:v>固体废物控制标准</x:v>
      </x:c>
      <x:c r="W175" s="48" t="str">
        <x:v>无误</x:v>
      </x:c>
      <x:c r="X175" s="48" t="str">
        <x:v>无误</x:v>
      </x:c>
      <x:c r="Y175" s="64"/>
      <x:c r="Z175" s="64" t="str">
        <x:v>未复核</x:v>
      </x:c>
      <x:c r="AA175" s="64" t="str">
        <x:v>部分充分</x:v>
      </x:c>
      <x:c r="AB175" s="64" t="str">
        <x:v>有效</x:v>
      </x:c>
      <x:c r="AC175" s="64" t="str">
        <x:v>部分核验</x:v>
      </x:c>
      <x:c r="AD175" s="64" t="str">
        <x:v>自动默认</x:v>
      </x:c>
      <x:c r="AE175" s="64" t="str">
        <x:v>候选池</x:v>
      </x:c>
      <x:c r="AF175" s="64" t="str">
        <x:v>待分流</x:v>
      </x:c>
      <x:c r="AG175" s="64"/>
      <x:c r="AH175" s="64"/>
      <x:c r="AI175" s="64"/>
      <x:c r="AJ175" s="64"/>
      <x:c r="AK175" s="64"/>
      <x:c r="AL175" s="64"/>
      <x:c r="AM175" s="64"/>
      <x:c r="AN175" s="48" t="str">
        <x:v>175</x:v>
      </x:c>
      <x:c r="AO175" s="48" t="str">
        <x:v>MAP_无误</x:v>
      </x:c>
      <x:c r="AP175" s="48" t="str">
        <x:v>存在报告证据，但尚未经人工逐项核验；已列依据来源，但未在本阶段逐条核验</x:v>
      </x:c>
      <x:c r="AQ175" s="64"/>
      <x:c r="AR175" s="48" t="str">
        <x:v>solid_waste_standard</x:v>
      </x:c>
      <x:c r="AS175" s="48" t="str">
        <x:v>L2_application</x:v>
      </x:c>
      <x:c r="AT175" s="48" t="str">
        <x:v>rule_applicability</x:v>
      </x:c>
      <x:c r="AU175" s="48" t="str">
        <x:v>basis_grounding</x:v>
      </x:c>
      <x:c r="AV175" s="48" t="str">
        <x:v>report_grounding</x:v>
      </x:c>
      <x:c r="AW175" s="48" t="str">
        <x:v>high</x:v>
      </x:c>
      <x:c r="AX175" s="48" t="str">
        <x:v>medium</x:v>
      </x:c>
      <x:c r="AY175" s="48" t="str">
        <x:v>report_plus_external</x:v>
      </x:c>
      <x:c r="AZ175" s="48" t="str">
        <x:v>True</x:v>
      </x:c>
      <x:c r="BA175" s="48"/>
      <x:c r="BB175" s="48" t="str">
        <x:v>auto_default</x:v>
      </x:c>
      <x:c r="BC175" s="48" t="str">
        <x:v>v1</x:v>
      </x:c>
      <x:c r="BD175" s="68"/>
    </x:row>
    <x:row r="176" ht="36" customHeight="1">
      <x:c r="A176" s="47" t="str">
        <x:v>2026-06-25</x:v>
      </x:c>
      <x:c r="B176" s="48" t="str">
        <x:v>PL032</x:v>
      </x:c>
      <x:c r="C176" s="48" t="str">
        <x:v>V01</x:v>
      </x:c>
      <x:c r="D176" s="48" t="str">
        <x:v>年10月28日建设项目环境影响报告书（表）受理公告（佛山市生态环境局顺德分局）_4.pdf</x:v>
      </x:c>
      <x:c r="E176" s="48" t="str">
        <x:v>德旺众新材料科技（佛山）有限公司新建建设项目</x:v>
      </x:c>
      <x:c r="F176" s="48" t="str">
        <x:v>PL032_V01_Q01</x:v>
      </x:c>
      <x:c r="G176" s="48" t="str">
        <x:v>1. 塑胶行业样本筛选与国民经济行业分类</x:v>
      </x:c>
      <x:c r="H176" s="48" t="str">
        <x:v>请结合项目产品、原辅材料和生产工艺，判断该报告行业类别是否基本合理。</x:v>
      </x:c>
      <x:c r="I176" s="48" t="str">
        <x:v>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x:v>
      </x:c>
      <x:c r="J176" s="48"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176" s="48" t="str">
        <x:v>《国民经济行业分类》(GB/T 4754—2017)；本任务C292筛选及C17/C18排除规则</x:v>
      </x:c>
      <x:c r="L176" s="48" t="str">
        <x:v>结合本项目行业代码、建设性质、工艺关键词及PDF证据生成，非脱离项目的通用题。</x:v>
      </x:c>
      <x:c r="M176" s="48" t="str">
        <x:v>可依据对应PDF原文、工程分析表格及所列法规标准逐项复核。</x:v>
      </x:c>
      <x:c r="N176" s="48" t="str">
        <x:v>True</x:v>
      </x:c>
      <x:c r="O176" s="48"/>
      <x:c r="P176" s="48"/>
      <x:c r="Q176" s="48"/>
      <x:c r="R176" s="48" t="str">
        <x:v>新增</x:v>
      </x:c>
      <x:c r="S176" s="48" t="str">
        <x:v>是</x:v>
      </x:c>
      <x:c r="T176" s="48" t="str">
        <x:v>自动生成；需人工复核项目参数、公式取值、标准适用范围及PDF文字提取完整性。</x:v>
      </x:c>
      <x:c r="U176" s="48" t="str">
        <x:v>seed_qa_塑胶行业筛选版_30个国民经济行业分类的人工标记</x:v>
      </x:c>
      <x:c r="V176" s="48" t="str">
        <x:v>国民经济行业分类</x:v>
      </x:c>
      <x:c r="W176" s="48"/>
      <x:c r="X176" s="48" t="str">
        <x:v>待判断</x:v>
      </x:c>
      <x:c r="Y176" s="64"/>
      <x:c r="Z176" s="64" t="str">
        <x:v>未复核</x:v>
      </x:c>
      <x:c r="AA176" s="64" t="str">
        <x:v>部分充分</x:v>
      </x:c>
      <x:c r="AB176" s="64" t="str">
        <x:v>待判断</x:v>
      </x:c>
      <x:c r="AC176" s="64" t="str">
        <x:v>部分核验</x:v>
      </x:c>
      <x:c r="AD176" s="64" t="str">
        <x:v>自动默认</x:v>
      </x:c>
      <x:c r="AE176" s="64" t="str">
        <x:v>候选池</x:v>
      </x:c>
      <x:c r="AF176" s="64" t="str">
        <x:v>C_题目或材料问题</x:v>
      </x:c>
      <x:c r="AG176" s="64"/>
      <x:c r="AH176" s="64"/>
      <x:c r="AI176" s="64"/>
      <x:c r="AJ176" s="64"/>
      <x:c r="AK176" s="64"/>
      <x:c r="AL176" s="64"/>
      <x:c r="AM176" s="64"/>
      <x:c r="AN176" s="48" t="str">
        <x:v>176</x:v>
      </x:c>
      <x:c r="AO176" s="48" t="str">
        <x:v>MAP_BLANK</x:v>
      </x:c>
      <x:c r="AP176" s="48" t="str">
        <x:v>人工判断为空：不得自动补填结论；人工判断为空；结构完整但原因需人工确认；存在报告证据，但尚未经人工逐项核验；已列依据来源，但未在本阶段逐条核验</x:v>
      </x:c>
      <x:c r="AQ176" s="64"/>
      <x:c r="AR176" s="48" t="str">
        <x:v>industry_classification</x:v>
      </x:c>
      <x:c r="AS176" s="48" t="str">
        <x:v>L3_analysis</x:v>
      </x:c>
      <x:c r="AT176" s="48" t="str">
        <x:v>multi_evidence_synthesis</x:v>
      </x:c>
      <x:c r="AU176" s="48" t="str">
        <x:v>evidence_integration</x:v>
      </x:c>
      <x:c r="AV176" s="48" t="str">
        <x:v>report_grounding；basis_grounding</x:v>
      </x:c>
      <x:c r="AW176" s="48" t="str">
        <x:v>high</x:v>
      </x:c>
      <x:c r="AX176" s="48" t="str">
        <x:v>high</x:v>
      </x:c>
      <x:c r="AY176" s="48" t="str">
        <x:v>cross_section</x:v>
      </x:c>
      <x:c r="AZ176" s="48" t="str">
        <x:v>True</x:v>
      </x:c>
      <x:c r="BA176" s="48"/>
      <x:c r="BB176" s="48" t="str">
        <x:v>auto_default</x:v>
      </x:c>
      <x:c r="BC176" s="48" t="str">
        <x:v>v1</x:v>
      </x:c>
      <x:c r="BD176" s="68"/>
    </x:row>
    <x:row r="177" ht="36" customHeight="1">
      <x:c r="A177" s="47" t="str">
        <x:v>2026-07-24</x:v>
      </x:c>
      <x:c r="B177" s="48" t="str">
        <x:v>PL032</x:v>
      </x:c>
      <x:c r="C177" s="48" t="str">
        <x:v>V01</x:v>
      </x:c>
      <x:c r="D177" s="48" t="str">
        <x:v>PL032_德旺众新材料科技（佛山）有限公司新建建设项目</x:v>
      </x:c>
      <x:c r="E177" s="48" t="str">
        <x:v>德旺众新材料科技（佛山）有限公司新建建设项目</x:v>
      </x:c>
      <x:c r="F177" s="48" t="str">
        <x:v>PL032_V01_Q03</x:v>
      </x:c>
      <x:c r="G177" s="48" t="str">
        <x:v>环评投资核算</x:v>
      </x:c>
      <x:c r="H177" s="48" t="str">
        <x:v>请根据报告中的总投资、环保投资和环保工程投资明细，判断环保投资核算是否前后一致、比例是否正确。</x:v>
      </x:c>
      <x:c r="I177" s="48" t="str">
        <x:v>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x:v>
      </x:c>
      <x:c r="J177" s="48" t="str">
        <x:v>一、建设项目基本情况：占比15%。来源：解析文本拼接_02_021-040(3).md</x:v>
      </x:c>
      <x:c r="K177" s="48" t="str">
        <x:v>报告原文-环保投资明细表</x:v>
      </x:c>
      <x:c r="L177" s="48" t="str">
        <x:v>2</x:v>
      </x:c>
      <x:c r="M177" s="48" t="str">
        <x:v>2</x:v>
      </x:c>
      <x:c r="N177" s="48" t="str">
        <x:v>False</x:v>
      </x:c>
      <x:c r="O177" s="48" t="str">
        <x:v>需复核</x:v>
      </x:c>
      <x:c r="P177" s="48"/>
      <x:c r="Q177" s="48"/>
      <x:c r="R177" s="48"/>
      <x:c r="S177" s="48" t="str">
        <x:v>是</x:v>
      </x:c>
      <x:c r="T177" s="48"/>
      <x:c r="U177" s="48" t="str">
        <x:v>30个PL_环评投资核算QA</x:v>
      </x:c>
      <x:c r="V177" s="48" t="str">
        <x:v>环评投资概算</x:v>
      </x:c>
      <x:c r="W177" s="48" t="str">
        <x:v>需复核</x:v>
      </x:c>
      <x:c r="X177" s="48" t="str">
        <x:v>证据不足</x:v>
      </x:c>
      <x:c r="Y177" s="64"/>
      <x:c r="Z177" s="64" t="str">
        <x:v>未复核</x:v>
      </x:c>
      <x:c r="AA177" s="64" t="str">
        <x:v>不足</x:v>
      </x:c>
      <x:c r="AB177" s="64" t="str">
        <x:v>有效</x:v>
      </x:c>
      <x:c r="AC177" s="64" t="str">
        <x:v>不需要外部依据</x:v>
      </x:c>
      <x:c r="AD177" s="64" t="str">
        <x:v>自动默认</x:v>
      </x:c>
      <x:c r="AE177" s="64" t="str">
        <x:v>候选池</x:v>
      </x:c>
      <x:c r="AF177" s="64" t="str">
        <x:v>B_证据不足</x:v>
      </x:c>
      <x:c r="AG177" s="64"/>
      <x:c r="AH177" s="64"/>
      <x:c r="AI177" s="64"/>
      <x:c r="AJ177" s="64"/>
      <x:c r="AK177" s="64"/>
      <x:c r="AL177" s="64"/>
      <x:c r="AM177" s="64"/>
      <x:c r="AN177" s="48" t="str">
        <x:v>177</x:v>
      </x:c>
      <x:c r="AO177" s="48" t="str">
        <x:v>MAP_需复核+EVIDENCE_INSUFFICIENCY_SIGNAL</x:v>
      </x:c>
      <x:c r="AP177" s="48" t="str">
        <x:v>原结论明确要求人工复核；命中证据不足候选词：未检索到；投资复核主要依据报告内金额与算式</x:v>
      </x:c>
      <x:c r="AQ177" s="64"/>
      <x:c r="AR177" s="48" t="str">
        <x:v>environmental_investment</x:v>
      </x:c>
      <x:c r="AS177" s="48" t="str">
        <x:v>L2_application</x:v>
      </x:c>
      <x:c r="AT177" s="48" t="str">
        <x:v>quantitative_verification</x:v>
      </x:c>
      <x:c r="AU177" s="48" t="str">
        <x:v>numerical_accuracy</x:v>
      </x:c>
      <x:c r="AV177" s="48" t="str">
        <x:v>report_grounding；procedural_reasoning</x:v>
      </x:c>
      <x:c r="AW177" s="48" t="str">
        <x:v>low</x:v>
      </x:c>
      <x:c r="AX177" s="48" t="str">
        <x:v>medium</x:v>
      </x:c>
      <x:c r="AY177" s="48" t="str">
        <x:v>cross_section</x:v>
      </x:c>
      <x:c r="AZ177" s="48" t="str">
        <x:v>True</x:v>
      </x:c>
      <x:c r="BA177" s="48"/>
      <x:c r="BB177" s="48" t="str">
        <x:v>auto_default</x:v>
      </x:c>
      <x:c r="BC177" s="48" t="str">
        <x:v>v1</x:v>
      </x:c>
      <x:c r="BD177" s="68"/>
    </x:row>
    <x:row r="178" ht="36" customHeight="1">
      <x:c r="A178" s="47" t="str">
        <x:v>2026-07-28</x:v>
      </x:c>
      <x:c r="B178" s="48" t="str">
        <x:v>PL032</x:v>
      </x:c>
      <x:c r="C178" s="48" t="str">
        <x:v>V01</x:v>
      </x:c>
      <x:c r="D178" s="48" t="str">
        <x:v>PL032_德旺众新材料科技(佛山)有限公司新建建设项目_01_受理公告或公示版.pdf</x:v>
      </x:c>
      <x:c r="E178" s="48" t="str">
        <x:v>德旺众新材料科技(佛山)有限公司新建建设项目</x:v>
      </x:c>
      <x:c r="F178" s="48" t="str">
        <x:v>PL032_EnvQuality_Q01</x:v>
      </x:c>
      <x:c r="G178" s="48" t="str">
        <x:v>大气及地表水环境质量现状数据引用</x:v>
      </x:c>
      <x:c r="H178" s="48" t="str">
        <x:v>请根据报告引用的环境质量公报及现状数据，判断大气和地表水环境质量现状数据引用是否准确。</x:v>
      </x:c>
      <x:c r="I178" s="48" t="str">
        <x:v>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x:v>
      </x:c>
      <x:c r="J178" s="48" t="str">
        <x:v>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x:v>
      </x:c>
      <x:c r="K178" s="48" t="str">
        <x:v>生态环境状况公报知识库; 收纳水体地表水执行标准</x:v>
      </x:c>
      <x:c r="L178" s="48" t="str">
        <x:v>2</x:v>
      </x:c>
      <x:c r="M178" s="48" t="str">
        <x:v>2</x:v>
      </x:c>
      <x:c r="N178" s="48" t="str">
        <x:v>False</x:v>
      </x:c>
      <x:c r="O178" s="48" t="str">
        <x:v>无法判断</x:v>
      </x:c>
      <x:c r="P178" s="48" t="str">
        <x:v>大气:无法判断; 地表水:正确; 报告日期:2024-04</x:v>
      </x:c>
      <x:c r="Q178" s="48"/>
      <x:c r="R178" s="48"/>
      <x:c r="S178" s="48" t="str">
        <x:v>是</x:v>
      </x:c>
      <x:c r="T178" s="48" t="str">
        <x:v>大气环境质量分析内容不完整，暂无法核验。地表水引用数据和污水处理厂受纳水体（海洲水道）与官方登记一致。报告公报标题使用环境质量状况公报而非官方名称生态环境状况公报，但可通过文号追溯。</x:v>
      </x:c>
      <x:c r="U178" s="48" t="str">
        <x:v>30个环评_大气及地表水环境质量现状数据引用复核QA</x:v>
      </x:c>
      <x:c r="V178" s="48" t="str">
        <x:v>环境质量数据引用</x:v>
      </x:c>
      <x:c r="W178" s="48" t="str">
        <x:v>无法判断</x:v>
      </x:c>
      <x:c r="X178" s="48" t="str">
        <x:v>证据不足</x:v>
      </x:c>
      <x:c r="Y178" s="64"/>
      <x:c r="Z178" s="64" t="str">
        <x:v>未复核</x:v>
      </x:c>
      <x:c r="AA178" s="64" t="str">
        <x:v>不足</x:v>
      </x:c>
      <x:c r="AB178" s="64" t="str">
        <x:v>有效</x:v>
      </x:c>
      <x:c r="AC178" s="64" t="str">
        <x:v>部分核验</x:v>
      </x:c>
      <x:c r="AD178" s="64" t="str">
        <x:v>自动默认</x:v>
      </x:c>
      <x:c r="AE178" s="64" t="str">
        <x:v>候选池</x:v>
      </x:c>
      <x:c r="AF178" s="64" t="str">
        <x:v>B_证据不足</x:v>
      </x:c>
      <x:c r="AG178" s="64"/>
      <x:c r="AH178" s="64"/>
      <x:c r="AI178" s="64"/>
      <x:c r="AJ178" s="64"/>
      <x:c r="AK178" s="64"/>
      <x:c r="AL178" s="64"/>
      <x:c r="AM178" s="64"/>
      <x:c r="AN178" s="48" t="str">
        <x:v>178</x:v>
      </x:c>
      <x:c r="AO178" s="48" t="str">
        <x:v>MAP_无法判断+EVIDENCE_INSUFFICIENCY_SIGNAL</x:v>
      </x:c>
      <x:c r="AP178" s="48" t="str">
        <x:v>需人工区分证据不足、材料缺失或尚未审核；命中证据不足候选词：无法判断；已列依据来源，但未在本阶段逐条核验</x:v>
      </x:c>
      <x:c r="AQ178" s="64"/>
      <x:c r="AR178" s="48" t="str">
        <x:v>environmental_quality_data</x:v>
      </x:c>
      <x:c r="AS178" s="48" t="str">
        <x:v>L3_analysis</x:v>
      </x:c>
      <x:c r="AT178" s="48" t="str">
        <x:v>consistency_comparison</x:v>
      </x:c>
      <x:c r="AU178" s="48" t="str">
        <x:v>evidence_integration</x:v>
      </x:c>
      <x:c r="AV178" s="48" t="str">
        <x:v>report_grounding；basis_grounding</x:v>
      </x:c>
      <x:c r="AW178" s="48" t="str">
        <x:v>high</x:v>
      </x:c>
      <x:c r="AX178" s="48" t="str">
        <x:v>high</x:v>
      </x:c>
      <x:c r="AY178" s="48" t="str">
        <x:v>report_plus_external</x:v>
      </x:c>
      <x:c r="AZ178" s="48" t="str">
        <x:v>True</x:v>
      </x:c>
      <x:c r="BA178" s="48"/>
      <x:c r="BB178" s="48" t="str">
        <x:v>auto_default</x:v>
      </x:c>
      <x:c r="BC178" s="48" t="str">
        <x:v>v1</x:v>
      </x:c>
      <x:c r="BD178" s="68"/>
    </x:row>
    <x:row r="179" ht="36" customHeight="1">
      <x:c r="A179" s="47" t="str">
        <x:v>2026-07-27</x:v>
      </x:c>
      <x:c r="B179" s="48" t="str">
        <x:v>PL032</x:v>
      </x:c>
      <x:c r="C179" s="48" t="str">
        <x:v>V01</x:v>
      </x:c>
      <x:c r="D179" s="48" t="str">
        <x:v>PL032_德旺众新材料科技(佛山)有限公司新建建设项目_01_受理公告或公示版.pdf</x:v>
      </x:c>
      <x:c r="E179" s="48" t="str">
        <x:v>德旺众新材料科技(佛山)有限公司新建建设项目</x:v>
      </x:c>
      <x:c r="F179" s="48" t="str">
        <x:v>PL032_Emission_水污</x:v>
      </x:c>
      <x:c r="G179" s="48" t="str">
        <x:v>污染物排放标准-水污染物排放标准</x:v>
      </x:c>
      <x:c r="H17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79" s="48" t="str">
        <x:v>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x:v>
      </x:c>
      <x:c r="J179" s="48" t="str">
        <x:v>水标准片段：「生活污水经三级化粪池预处理后排至均安污水处理厂处理」（工程组成表），未列出预处理执行标准及限值。
2.</x:v>
      </x:c>
      <x:c r="K179" s="48" t="str">
        <x:v>emission-standard-kb.jsonl; DB44/26-2001; DB44/2367-2022; GB31572-2015; GB14554-93; GB12348-2008; GB18597-2023; GB18599-2020</x:v>
      </x:c>
      <x:c r="L179" s="48" t="str">
        <x:v>2</x:v>
      </x:c>
      <x:c r="M179" s="48" t="str">
        <x:v>2</x:v>
      </x:c>
      <x:c r="N179" s="48" t="str">
        <x:v>False</x:v>
      </x:c>
      <x:c r="O179" s="48" t="str">
        <x:v>存在缺漏</x:v>
      </x:c>
      <x:c r="P179"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179" s="48"/>
      <x:c r="R179" s="48"/>
      <x:c r="S179" s="48" t="str">
        <x:v>是</x:v>
      </x:c>
      <x:c r="T179" s="48" t="str">
        <x:v>原综合排放标准问答对拆分而来</x:v>
      </x:c>
      <x:c r="U179" s="48" t="str">
        <x:v>30份环评_污染物排放控制执行标准复核QA(拆分版)</x:v>
      </x:c>
      <x:c r="V179" s="48" t="str">
        <x:v>水污染物排放标准</x:v>
      </x:c>
      <x:c r="W179" s="48" t="str">
        <x:v>存在缺漏</x:v>
      </x:c>
      <x:c r="X179" s="48" t="str">
        <x:v>存在缺漏</x:v>
      </x:c>
      <x:c r="Y179" s="64"/>
      <x:c r="Z179" s="64" t="str">
        <x:v>未复核</x:v>
      </x:c>
      <x:c r="AA179" s="64" t="str">
        <x:v>部分充分</x:v>
      </x:c>
      <x:c r="AB179" s="64" t="str">
        <x:v>有效</x:v>
      </x:c>
      <x:c r="AC179" s="64" t="str">
        <x:v>部分核验</x:v>
      </x:c>
      <x:c r="AD179" s="64" t="str">
        <x:v>自动默认</x:v>
      </x:c>
      <x:c r="AE179" s="64" t="str">
        <x:v>候选池</x:v>
      </x:c>
      <x:c r="AF179" s="64" t="str">
        <x:v>A_仅待终审</x:v>
      </x:c>
      <x:c r="AG179" s="64"/>
      <x:c r="AH179" s="64"/>
      <x:c r="AI179" s="64"/>
      <x:c r="AJ179" s="64"/>
      <x:c r="AK179" s="64"/>
      <x:c r="AL179" s="64"/>
      <x:c r="AM179" s="64"/>
      <x:c r="AN179" s="48" t="str">
        <x:v>179</x:v>
      </x:c>
      <x:c r="AO179" s="48" t="str">
        <x:v>MAP_存在缺漏</x:v>
      </x:c>
      <x:c r="AP179" s="48" t="str">
        <x:v>存在报告证据，但尚未经人工逐项核验；已列依据来源，但未在本阶段逐条核验</x:v>
      </x:c>
      <x:c r="AQ179" s="64"/>
      <x:c r="AR179" s="48" t="str">
        <x:v>water_emission_standard</x:v>
      </x:c>
      <x:c r="AS179" s="48" t="str">
        <x:v>L3_analysis</x:v>
      </x:c>
      <x:c r="AT179" s="48" t="str">
        <x:v>rule_applicability</x:v>
      </x:c>
      <x:c r="AU179" s="48" t="str">
        <x:v>basis_grounding</x:v>
      </x:c>
      <x:c r="AV179" s="48" t="str">
        <x:v>report_grounding；procedural_reasoning</x:v>
      </x:c>
      <x:c r="AW179" s="48" t="str">
        <x:v>high</x:v>
      </x:c>
      <x:c r="AX179" s="48" t="str">
        <x:v>high</x:v>
      </x:c>
      <x:c r="AY179" s="48" t="str">
        <x:v>report_plus_external</x:v>
      </x:c>
      <x:c r="AZ179" s="48" t="str">
        <x:v>True</x:v>
      </x:c>
      <x:c r="BA179" s="48"/>
      <x:c r="BB179" s="48" t="str">
        <x:v>auto_default</x:v>
      </x:c>
      <x:c r="BC179" s="48" t="str">
        <x:v>v1</x:v>
      </x:c>
      <x:c r="BD179" s="68"/>
    </x:row>
    <x:row r="180" ht="36" customHeight="1">
      <x:c r="A180" s="47" t="str">
        <x:v>2026-07-27</x:v>
      </x:c>
      <x:c r="B180" s="48" t="str">
        <x:v>PL032</x:v>
      </x:c>
      <x:c r="C180" s="48" t="str">
        <x:v>V01</x:v>
      </x:c>
      <x:c r="D180" s="48" t="str">
        <x:v>PL032_德旺众新材料科技(佛山)有限公司新建建设项目_01_受理公告或公示版.pdf</x:v>
      </x:c>
      <x:c r="E180" s="48" t="str">
        <x:v>德旺众新材料科技(佛山)有限公司新建建设项目</x:v>
      </x:c>
      <x:c r="F180" s="48" t="str">
        <x:v>PL032_Emission_大气</x:v>
      </x:c>
      <x:c r="G180" s="48" t="str">
        <x:v>污染物排放标准-大气污染物排放标准</x:v>
      </x:c>
      <x:c r="H180" s="48" t="str">
        <x:v>请根据项目行业类别、生产工艺和污染因子，判断大气污染物排放标准选取是否合理。要求分析：污染源覆盖是否完整（列出所有大气污染源及对应标准），是否存在缺漏的污染源或标准。</x:v>
      </x:c>
      <x:c r="I180" s="48" t="str">
        <x:v>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x:v>
      </x:c>
      <x:c r="J180" s="48" t="str">
        <x:v>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x:v>
      </x:c>
      <x:c r="K180" s="48" t="str">
        <x:v>emission-standard-kb.jsonl; DB44/26-2001; DB44/2367-2022; GB31572-2015; GB14554-93; GB12348-2008; GB18597-2023; GB18599-2020</x:v>
      </x:c>
      <x:c r="L180" s="48" t="str">
        <x:v>2</x:v>
      </x:c>
      <x:c r="M180" s="48" t="str">
        <x:v>2</x:v>
      </x:c>
      <x:c r="N180" s="48" t="str">
        <x:v>False</x:v>
      </x:c>
      <x:c r="O180" s="48" t="str">
        <x:v>存在缺漏</x:v>
      </x:c>
      <x:c r="P180"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180" s="48"/>
      <x:c r="R180" s="48"/>
      <x:c r="S180" s="48" t="str">
        <x:v>是</x:v>
      </x:c>
      <x:c r="T180" s="48" t="str">
        <x:v>原综合排放标准问答对拆分而来</x:v>
      </x:c>
      <x:c r="U180" s="48" t="str">
        <x:v>30份环评_污染物排放控制执行标准复核QA(拆分版)</x:v>
      </x:c>
      <x:c r="V180" s="48" t="str">
        <x:v>大气污染物排放标准</x:v>
      </x:c>
      <x:c r="W180" s="48" t="str">
        <x:v>存在缺漏</x:v>
      </x:c>
      <x:c r="X180" s="48" t="str">
        <x:v>存在缺漏</x:v>
      </x:c>
      <x:c r="Y180" s="64"/>
      <x:c r="Z180" s="64" t="str">
        <x:v>未复核</x:v>
      </x:c>
      <x:c r="AA180" s="64" t="str">
        <x:v>部分充分</x:v>
      </x:c>
      <x:c r="AB180" s="64" t="str">
        <x:v>有效</x:v>
      </x:c>
      <x:c r="AC180" s="64" t="str">
        <x:v>部分核验</x:v>
      </x:c>
      <x:c r="AD180" s="64" t="str">
        <x:v>自动默认</x:v>
      </x:c>
      <x:c r="AE180" s="64" t="str">
        <x:v>候选池</x:v>
      </x:c>
      <x:c r="AF180" s="64" t="str">
        <x:v>A_仅待终审</x:v>
      </x:c>
      <x:c r="AG180" s="64"/>
      <x:c r="AH180" s="64"/>
      <x:c r="AI180" s="64"/>
      <x:c r="AJ180" s="64"/>
      <x:c r="AK180" s="64"/>
      <x:c r="AL180" s="64"/>
      <x:c r="AM180" s="64"/>
      <x:c r="AN180" s="48" t="str">
        <x:v>180</x:v>
      </x:c>
      <x:c r="AO180" s="48" t="str">
        <x:v>MAP_存在缺漏</x:v>
      </x:c>
      <x:c r="AP180" s="48" t="str">
        <x:v>存在报告证据，但尚未经人工逐项核验；已列依据来源，但未在本阶段逐条核验</x:v>
      </x:c>
      <x:c r="AQ180" s="64"/>
      <x:c r="AR180" s="48" t="str">
        <x:v>air_emission_standard</x:v>
      </x:c>
      <x:c r="AS180" s="48" t="str">
        <x:v>L3_analysis</x:v>
      </x:c>
      <x:c r="AT180" s="48" t="str">
        <x:v>multi_evidence_synthesis</x:v>
      </x:c>
      <x:c r="AU180" s="48" t="str">
        <x:v>basis_grounding</x:v>
      </x:c>
      <x:c r="AV180" s="48" t="str">
        <x:v>report_grounding；evidence_integration</x:v>
      </x:c>
      <x:c r="AW180" s="48" t="str">
        <x:v>high</x:v>
      </x:c>
      <x:c r="AX180" s="48" t="str">
        <x:v>high</x:v>
      </x:c>
      <x:c r="AY180" s="48" t="str">
        <x:v>report_plus_external</x:v>
      </x:c>
      <x:c r="AZ180" s="48" t="str">
        <x:v>True</x:v>
      </x:c>
      <x:c r="BA180" s="48"/>
      <x:c r="BB180" s="48" t="str">
        <x:v>auto_default</x:v>
      </x:c>
      <x:c r="BC180" s="48" t="str">
        <x:v>v1</x:v>
      </x:c>
      <x:c r="BD180" s="68"/>
    </x:row>
    <x:row r="181" ht="36" customHeight="1">
      <x:c r="A181" s="47" t="str">
        <x:v>2026-07-27</x:v>
      </x:c>
      <x:c r="B181" s="48" t="str">
        <x:v>PL032</x:v>
      </x:c>
      <x:c r="C181" s="48" t="str">
        <x:v>V01</x:v>
      </x:c>
      <x:c r="D181" s="48" t="str">
        <x:v>PL032_德旺众新材料科技(佛山)有限公司新建建设项目_01_受理公告或公示版.pdf</x:v>
      </x:c>
      <x:c r="E181" s="48" t="str">
        <x:v>德旺众新材料科技(佛山)有限公司新建建设项目</x:v>
      </x:c>
      <x:c r="F181" s="48" t="str">
        <x:v>PL032_Emission_噪声</x:v>
      </x:c>
      <x:c r="G181" s="48" t="str">
        <x:v>污染物排放标准-噪声排放标准</x:v>
      </x:c>
      <x:c r="H181" s="48" t="str">
        <x:v>请根据项目所属声环境功能区类别，判断噪声排放标准选取是否合理。要求总结声功能区类型、厂界执行标准（GB12348-2008）及昼夜限值，并与环评编制内容进行一致性分析。</x:v>
      </x:c>
      <x:c r="I181" s="48" t="str">
        <x:v>1、噪声排放标准中执行标准与排放限值内容：存在缺漏；
2、报告全文未提及GB12348-2008或任何噪声排放标准，存在缺漏。
4.</x:v>
      </x:c>
      <x:c r="J181" s="48" t="str">
        <x:v>噪声标准：报告全文未出现GB12348-2008或任何噪声排放标准的引用。
4.</x:v>
      </x:c>
      <x:c r="K181" s="48" t="str">
        <x:v>emission-standard-kb.jsonl; DB44/26-2001; DB44/2367-2022; GB31572-2015; GB14554-93; GB12348-2008; GB18597-2023; GB18599-2020</x:v>
      </x:c>
      <x:c r="L181" s="48" t="str">
        <x:v>2</x:v>
      </x:c>
      <x:c r="M181" s="48" t="str">
        <x:v>2</x:v>
      </x:c>
      <x:c r="N181" s="48" t="str">
        <x:v>False</x:v>
      </x:c>
      <x:c r="O181" s="48" t="str">
        <x:v>存在缺漏</x:v>
      </x:c>
      <x:c r="P181"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181" s="48"/>
      <x:c r="R181" s="48"/>
      <x:c r="S181" s="48" t="str">
        <x:v>是</x:v>
      </x:c>
      <x:c r="T181" s="48" t="str">
        <x:v>原综合排放标准问答对拆分而来</x:v>
      </x:c>
      <x:c r="U181" s="48" t="str">
        <x:v>30份环评_污染物排放控制执行标准复核QA(拆分版)</x:v>
      </x:c>
      <x:c r="V181" s="48" t="str">
        <x:v>噪声排放标准</x:v>
      </x:c>
      <x:c r="W181" s="48" t="str">
        <x:v>存在缺漏</x:v>
      </x:c>
      <x:c r="X181" s="48" t="str">
        <x:v>存在缺漏</x:v>
      </x:c>
      <x:c r="Y181" s="64"/>
      <x:c r="Z181" s="64" t="str">
        <x:v>未复核</x:v>
      </x:c>
      <x:c r="AA181" s="64" t="str">
        <x:v>部分充分</x:v>
      </x:c>
      <x:c r="AB181" s="64" t="str">
        <x:v>有效</x:v>
      </x:c>
      <x:c r="AC181" s="64" t="str">
        <x:v>部分核验</x:v>
      </x:c>
      <x:c r="AD181" s="64" t="str">
        <x:v>自动默认</x:v>
      </x:c>
      <x:c r="AE181" s="64" t="str">
        <x:v>候选池</x:v>
      </x:c>
      <x:c r="AF181" s="64" t="str">
        <x:v>A_仅待终审</x:v>
      </x:c>
      <x:c r="AG181" s="64"/>
      <x:c r="AH181" s="64"/>
      <x:c r="AI181" s="64"/>
      <x:c r="AJ181" s="64"/>
      <x:c r="AK181" s="64"/>
      <x:c r="AL181" s="64"/>
      <x:c r="AM181" s="64"/>
      <x:c r="AN181" s="48" t="str">
        <x:v>181</x:v>
      </x:c>
      <x:c r="AO181" s="48" t="str">
        <x:v>MAP_存在缺漏</x:v>
      </x:c>
      <x:c r="AP181" s="48" t="str">
        <x:v>存在报告证据，但尚未经人工逐项核验；已列依据来源，但未在本阶段逐条核验</x:v>
      </x:c>
      <x:c r="AQ181" s="64"/>
      <x:c r="AR181" s="48" t="str">
        <x:v>noise_emission_standard</x:v>
      </x:c>
      <x:c r="AS181" s="48" t="str">
        <x:v>L2_application</x:v>
      </x:c>
      <x:c r="AT181" s="48" t="str">
        <x:v>rule_applicability</x:v>
      </x:c>
      <x:c r="AU181" s="48" t="str">
        <x:v>basis_grounding</x:v>
      </x:c>
      <x:c r="AV181" s="48" t="str">
        <x:v>report_grounding</x:v>
      </x:c>
      <x:c r="AW181" s="48" t="str">
        <x:v>high</x:v>
      </x:c>
      <x:c r="AX181" s="48" t="str">
        <x:v>medium</x:v>
      </x:c>
      <x:c r="AY181" s="48" t="str">
        <x:v>report_plus_external</x:v>
      </x:c>
      <x:c r="AZ181" s="48" t="str">
        <x:v>True</x:v>
      </x:c>
      <x:c r="BA181" s="48"/>
      <x:c r="BB181" s="48" t="str">
        <x:v>auto_default</x:v>
      </x:c>
      <x:c r="BC181" s="48" t="str">
        <x:v>v1</x:v>
      </x:c>
      <x:c r="BD181" s="68"/>
    </x:row>
    <x:row r="182" ht="36" customHeight="1">
      <x:c r="A182" s="47" t="str">
        <x:v>2026-07-27</x:v>
      </x:c>
      <x:c r="B182" s="48" t="str">
        <x:v>PL032</x:v>
      </x:c>
      <x:c r="C182" s="48" t="str">
        <x:v>V01</x:v>
      </x:c>
      <x:c r="D182" s="48" t="str">
        <x:v>PL032_德旺众新材料科技(佛山)有限公司新建建设项目_01_受理公告或公示版.pdf</x:v>
      </x:c>
      <x:c r="E182" s="48" t="str">
        <x:v>德旺众新材料科技(佛山)有限公司新建建设项目</x:v>
      </x:c>
      <x:c r="F182" s="48" t="str">
        <x:v>PL032_Emission_固体</x:v>
      </x:c>
      <x:c r="G182" s="48" t="str">
        <x:v>污染物排放标准-固体废物控制标准</x:v>
      </x:c>
      <x:c r="H182" s="48" t="str">
        <x:v>请根据项目产生的固体废物和危险废物类型，判断固体废物控制标准选取是否合理。要求总结一般工业固体废物和危险废物执行标准的标准名称及编号，分析是否缺少必要标准条目。</x:v>
      </x:c>
      <x:c r="I182"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82" s="48" t="str">
        <x:v>固废标准：报告在工程分析中提及「危废暂存间建筑面积为5m2，主要用于暂存危险废物」「一般固废暂存区建筑面积为10m2，主要用于暂存一般固体废物」，未引用GB18597-2023、GB18599-2020等标准。</x:v>
      </x:c>
      <x:c r="K182" s="48" t="str">
        <x:v>emission-standard-kb.jsonl; DB44/26-2001; DB44/2367-2022; GB31572-2015; GB14554-93; GB12348-2008; GB18597-2023; GB18599-2020</x:v>
      </x:c>
      <x:c r="L182" s="48" t="str">
        <x:v>2</x:v>
      </x:c>
      <x:c r="M182" s="48" t="str">
        <x:v>2</x:v>
      </x:c>
      <x:c r="N182" s="48" t="str">
        <x:v>False</x:v>
      </x:c>
      <x:c r="O182" s="48" t="str">
        <x:v>无误</x:v>
      </x:c>
      <x:c r="P182"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182" s="48"/>
      <x:c r="R182" s="48"/>
      <x:c r="S182" s="48" t="str">
        <x:v>否</x:v>
      </x:c>
      <x:c r="T182" s="48" t="str">
        <x:v>修正：GB18599-2020不在知识库必须满足的标准清单中，原判定依据已更正。原综合排放标准问答对拆分而来</x:v>
      </x:c>
      <x:c r="U182" s="48" t="str">
        <x:v>30份环评_污染物排放控制执行标准复核QA(拆分版)</x:v>
      </x:c>
      <x:c r="V182" s="48" t="str">
        <x:v>固体废物控制标准</x:v>
      </x:c>
      <x:c r="W182" s="48" t="str">
        <x:v>无误</x:v>
      </x:c>
      <x:c r="X182" s="48" t="str">
        <x:v>无误</x:v>
      </x:c>
      <x:c r="Y182" s="64"/>
      <x:c r="Z182" s="64" t="str">
        <x:v>未复核</x:v>
      </x:c>
      <x:c r="AA182" s="64" t="str">
        <x:v>部分充分</x:v>
      </x:c>
      <x:c r="AB182" s="64" t="str">
        <x:v>有效</x:v>
      </x:c>
      <x:c r="AC182" s="64" t="str">
        <x:v>部分核验</x:v>
      </x:c>
      <x:c r="AD182" s="64" t="str">
        <x:v>自动默认</x:v>
      </x:c>
      <x:c r="AE182" s="64" t="str">
        <x:v>候选池</x:v>
      </x:c>
      <x:c r="AF182" s="64" t="str">
        <x:v>待分流</x:v>
      </x:c>
      <x:c r="AG182" s="64"/>
      <x:c r="AH182" s="64"/>
      <x:c r="AI182" s="64"/>
      <x:c r="AJ182" s="64"/>
      <x:c r="AK182" s="64"/>
      <x:c r="AL182" s="64"/>
      <x:c r="AM182" s="64"/>
      <x:c r="AN182" s="48" t="str">
        <x:v>182</x:v>
      </x:c>
      <x:c r="AO182" s="48" t="str">
        <x:v>MAP_无误</x:v>
      </x:c>
      <x:c r="AP182" s="48" t="str">
        <x:v>存在报告证据，但尚未经人工逐项核验；已列依据来源，但未在本阶段逐条核验</x:v>
      </x:c>
      <x:c r="AQ182" s="64"/>
      <x:c r="AR182" s="48" t="str">
        <x:v>solid_waste_standard</x:v>
      </x:c>
      <x:c r="AS182" s="48" t="str">
        <x:v>L2_application</x:v>
      </x:c>
      <x:c r="AT182" s="48" t="str">
        <x:v>rule_applicability</x:v>
      </x:c>
      <x:c r="AU182" s="48" t="str">
        <x:v>basis_grounding</x:v>
      </x:c>
      <x:c r="AV182" s="48" t="str">
        <x:v>report_grounding</x:v>
      </x:c>
      <x:c r="AW182" s="48" t="str">
        <x:v>high</x:v>
      </x:c>
      <x:c r="AX182" s="48" t="str">
        <x:v>medium</x:v>
      </x:c>
      <x:c r="AY182" s="48" t="str">
        <x:v>report_plus_external</x:v>
      </x:c>
      <x:c r="AZ182" s="48" t="str">
        <x:v>True</x:v>
      </x:c>
      <x:c r="BA182" s="48"/>
      <x:c r="BB182" s="48" t="str">
        <x:v>auto_default</x:v>
      </x:c>
      <x:c r="BC182" s="48" t="str">
        <x:v>v1</x:v>
      </x:c>
      <x:c r="BD182" s="68"/>
    </x:row>
    <x:row r="183" ht="36" customHeight="1">
      <x:c r="A183" s="47" t="str">
        <x:v>2026-06-25</x:v>
      </x:c>
      <x:c r="B183" s="48" t="str">
        <x:v>PL033</x:v>
      </x:c>
      <x:c r="C183" s="48" t="str">
        <x:v>V01</x:v>
      </x:c>
      <x:c r="D183" s="48" t="str">
        <x:v>年10月29日建设项目环境影响报告书（表）受理公告（佛山市生态环境局顺德分局）_1.pdf</x:v>
      </x:c>
      <x:c r="E183" s="48" t="str">
        <x:v>广东施格纳电气有限公司新建项目</x:v>
      </x:c>
      <x:c r="F183" s="48" t="str">
        <x:v>PL033_V01_Q01</x:v>
      </x:c>
      <x:c r="G183" s="48" t="str">
        <x:v>1. 塑胶行业样本筛选与国民经济行业分类</x:v>
      </x:c>
      <x:c r="H183" s="48" t="str">
        <x:v>请结合项目产品、原辅材料和生产工艺，判断该报告行业类别是否基本合理。</x:v>
      </x:c>
      <x:c r="I183" s="48" t="str">
        <x:v>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x:v>
      </x:c>
      <x:c r="J183" s="48" t="str">
        <x:v>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v>
      </x:c>
      <x:c r="K183" s="48" t="str">
        <x:v>《国民经济行业分类》(GB/T 4754—2017)；本任务C292筛选及C17/C18排除规则</x:v>
      </x:c>
      <x:c r="L183" s="48" t="str">
        <x:v>结合本项目行业代码、建设性质、工艺关键词及PDF证据生成，非脱离项目的通用题。</x:v>
      </x:c>
      <x:c r="M183" s="48" t="str">
        <x:v>可依据对应PDF原文、工程分析表格及所列法规标准逐项复核。</x:v>
      </x:c>
      <x:c r="N183" s="48" t="str">
        <x:v>True</x:v>
      </x:c>
      <x:c r="O183" s="48"/>
      <x:c r="P183" s="48"/>
      <x:c r="Q183" s="48"/>
      <x:c r="R183" s="48" t="str">
        <x:v>新增</x:v>
      </x:c>
      <x:c r="S183" s="48" t="str">
        <x:v>是</x:v>
      </x:c>
      <x:c r="T183" s="48" t="str">
        <x:v>自动生成；需人工复核项目参数、公式取值、标准适用范围及PDF文字提取完整性。</x:v>
      </x:c>
      <x:c r="U183" s="48" t="str">
        <x:v>seed_qa_塑胶行业筛选版_30个国民经济行业分类的人工标记</x:v>
      </x:c>
      <x:c r="V183" s="48" t="str">
        <x:v>国民经济行业分类</x:v>
      </x:c>
      <x:c r="W183" s="48"/>
      <x:c r="X183" s="48" t="str">
        <x:v>待判断</x:v>
      </x:c>
      <x:c r="Y183" s="64"/>
      <x:c r="Z183" s="64" t="str">
        <x:v>未复核</x:v>
      </x:c>
      <x:c r="AA183" s="64" t="str">
        <x:v>部分充分</x:v>
      </x:c>
      <x:c r="AB183" s="64" t="str">
        <x:v>待判断</x:v>
      </x:c>
      <x:c r="AC183" s="64" t="str">
        <x:v>部分核验</x:v>
      </x:c>
      <x:c r="AD183" s="64" t="str">
        <x:v>自动默认</x:v>
      </x:c>
      <x:c r="AE183" s="64" t="str">
        <x:v>候选池</x:v>
      </x:c>
      <x:c r="AF183" s="64" t="str">
        <x:v>C_题目或材料问题</x:v>
      </x:c>
      <x:c r="AG183" s="64"/>
      <x:c r="AH183" s="64"/>
      <x:c r="AI183" s="64"/>
      <x:c r="AJ183" s="64"/>
      <x:c r="AK183" s="64"/>
      <x:c r="AL183" s="64"/>
      <x:c r="AM183" s="64"/>
      <x:c r="AN183" s="48" t="str">
        <x:v>183</x:v>
      </x:c>
      <x:c r="AO183" s="48" t="str">
        <x:v>MAP_BLANK</x:v>
      </x:c>
      <x:c r="AP183" s="48" t="str">
        <x:v>人工判断为空：不得自动补填结论；人工判断为空；结构完整但原因需人工确认；存在报告证据，但尚未经人工逐项核验；已列依据来源，但未在本阶段逐条核验</x:v>
      </x:c>
      <x:c r="AQ183" s="64"/>
      <x:c r="AR183" s="48" t="str">
        <x:v>industry_classification</x:v>
      </x:c>
      <x:c r="AS183" s="48" t="str">
        <x:v>L3_analysis</x:v>
      </x:c>
      <x:c r="AT183" s="48" t="str">
        <x:v>multi_evidence_synthesis</x:v>
      </x:c>
      <x:c r="AU183" s="48" t="str">
        <x:v>evidence_integration</x:v>
      </x:c>
      <x:c r="AV183" s="48" t="str">
        <x:v>report_grounding；basis_grounding</x:v>
      </x:c>
      <x:c r="AW183" s="48" t="str">
        <x:v>high</x:v>
      </x:c>
      <x:c r="AX183" s="48" t="str">
        <x:v>high</x:v>
      </x:c>
      <x:c r="AY183" s="48" t="str">
        <x:v>cross_section</x:v>
      </x:c>
      <x:c r="AZ183" s="48" t="str">
        <x:v>True</x:v>
      </x:c>
      <x:c r="BA183" s="48"/>
      <x:c r="BB183" s="48" t="str">
        <x:v>auto_default</x:v>
      </x:c>
      <x:c r="BC183" s="48" t="str">
        <x:v>v1</x:v>
      </x:c>
      <x:c r="BD183" s="68"/>
    </x:row>
    <x:row r="184" ht="36" customHeight="1">
      <x:c r="A184" s="47" t="str">
        <x:v>2026-07-24</x:v>
      </x:c>
      <x:c r="B184" s="48" t="str">
        <x:v>PL033</x:v>
      </x:c>
      <x:c r="C184" s="48" t="str">
        <x:v>V01</x:v>
      </x:c>
      <x:c r="D184" s="48" t="str">
        <x:v>PL033_广东施格纳电气有限公司新建项目</x:v>
      </x:c>
      <x:c r="E184" s="48" t="str">
        <x:v>广东施格纳电气有限公司新建项目</x:v>
      </x:c>
      <x:c r="F184" s="48" t="str">
        <x:v>PL033_V01_Q03</x:v>
      </x:c>
      <x:c r="G184" s="48" t="str">
        <x:v>环评投资核算</x:v>
      </x:c>
      <x:c r="H184" s="48" t="str">
        <x:v>请根据报告中的总投资、环保投资和环保工程投资明细，判断环保投资核算是否前后一致、比例是否正确。</x:v>
      </x:c>
      <x:c r="I184" s="48" t="str">
        <x:v>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x:v>
      </x:c>
      <x:c r="J184" s="48" t="str">
        <x:v>一、建设项目基本情况：总投资1000万元、环保投资15万元、占比1.5%。来源：解析文本拼接_02_021-040(3).md</x:v>
      </x:c>
      <x:c r="K184" s="48" t="str">
        <x:v>报告原文-环保投资明细表</x:v>
      </x:c>
      <x:c r="L184" s="48" t="str">
        <x:v>2</x:v>
      </x:c>
      <x:c r="M184" s="48" t="str">
        <x:v>2</x:v>
      </x:c>
      <x:c r="N184" s="48" t="str">
        <x:v>False</x:v>
      </x:c>
      <x:c r="O184" s="48" t="str">
        <x:v>需复核</x:v>
      </x:c>
      <x:c r="P184" s="48"/>
      <x:c r="Q184" s="48"/>
      <x:c r="R184" s="48"/>
      <x:c r="S184" s="48" t="str">
        <x:v>是</x:v>
      </x:c>
      <x:c r="T184" s="48"/>
      <x:c r="U184" s="48" t="str">
        <x:v>30个PL_环评投资核算QA</x:v>
      </x:c>
      <x:c r="V184" s="48" t="str">
        <x:v>环评投资概算</x:v>
      </x:c>
      <x:c r="W184" s="48" t="str">
        <x:v>需复核</x:v>
      </x:c>
      <x:c r="X184" s="48" t="str">
        <x:v>证据不足</x:v>
      </x:c>
      <x:c r="Y184" s="64"/>
      <x:c r="Z184" s="64" t="str">
        <x:v>未复核</x:v>
      </x:c>
      <x:c r="AA184" s="64" t="str">
        <x:v>不足</x:v>
      </x:c>
      <x:c r="AB184" s="64" t="str">
        <x:v>有效</x:v>
      </x:c>
      <x:c r="AC184" s="64" t="str">
        <x:v>不需要外部依据</x:v>
      </x:c>
      <x:c r="AD184" s="64" t="str">
        <x:v>自动默认</x:v>
      </x:c>
      <x:c r="AE184" s="64" t="str">
        <x:v>候选池</x:v>
      </x:c>
      <x:c r="AF184" s="64" t="str">
        <x:v>B_证据不足</x:v>
      </x:c>
      <x:c r="AG184" s="64"/>
      <x:c r="AH184" s="64"/>
      <x:c r="AI184" s="64"/>
      <x:c r="AJ184" s="64"/>
      <x:c r="AK184" s="64"/>
      <x:c r="AL184" s="64"/>
      <x:c r="AM184" s="64"/>
      <x:c r="AN184" s="48" t="str">
        <x:v>184</x:v>
      </x:c>
      <x:c r="AO184" s="48" t="str">
        <x:v>MAP_需复核+EVIDENCE_INSUFFICIENCY_SIGNAL</x:v>
      </x:c>
      <x:c r="AP184" s="48" t="str">
        <x:v>原结论明确要求人工复核；命中证据不足候选词：未检索到、无法核对；投资复核主要依据报告内金额与算式</x:v>
      </x:c>
      <x:c r="AQ184" s="64"/>
      <x:c r="AR184" s="48" t="str">
        <x:v>environmental_investment</x:v>
      </x:c>
      <x:c r="AS184" s="48" t="str">
        <x:v>L2_application</x:v>
      </x:c>
      <x:c r="AT184" s="48" t="str">
        <x:v>quantitative_verification</x:v>
      </x:c>
      <x:c r="AU184" s="48" t="str">
        <x:v>numerical_accuracy</x:v>
      </x:c>
      <x:c r="AV184" s="48" t="str">
        <x:v>report_grounding；procedural_reasoning</x:v>
      </x:c>
      <x:c r="AW184" s="48" t="str">
        <x:v>low</x:v>
      </x:c>
      <x:c r="AX184" s="48" t="str">
        <x:v>medium</x:v>
      </x:c>
      <x:c r="AY184" s="48" t="str">
        <x:v>cross_section</x:v>
      </x:c>
      <x:c r="AZ184" s="48" t="str">
        <x:v>True</x:v>
      </x:c>
      <x:c r="BA184" s="48"/>
      <x:c r="BB184" s="48" t="str">
        <x:v>auto_default</x:v>
      </x:c>
      <x:c r="BC184" s="48" t="str">
        <x:v>v1</x:v>
      </x:c>
      <x:c r="BD184" s="68"/>
    </x:row>
    <x:row r="185" ht="36" customHeight="1">
      <x:c r="A185" s="47" t="str">
        <x:v>2026-07-28</x:v>
      </x:c>
      <x:c r="B185" s="48" t="str">
        <x:v>PL033</x:v>
      </x:c>
      <x:c r="C185" s="48" t="str">
        <x:v>V01</x:v>
      </x:c>
      <x:c r="D185" s="48" t="str">
        <x:v>PL033_广东施格纳电气有限公司新建项目_01_受理公告或公示版.pdf</x:v>
      </x:c>
      <x:c r="E185" s="48" t="str">
        <x:v>广东施格纳电气有限公司新建项目</x:v>
      </x:c>
      <x:c r="F185" s="48" t="str">
        <x:v>PL033_EnvQuality_Q01</x:v>
      </x:c>
      <x:c r="G185" s="48" t="str">
        <x:v>大气及地表水环境质量现状数据引用</x:v>
      </x:c>
      <x:c r="H185" s="48" t="str">
        <x:v>请根据报告引用的环境质量公报及现状数据，判断大气和地表水环境质量现状数据引用是否准确。</x:v>
      </x:c>
      <x:c r="I185"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x:v>
      </x:c>
      <x:c r="J185" s="48" t="str">
        <x:v>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x:v>
      </x:c>
      <x:c r="K185" s="48" t="str">
        <x:v>生态环境状况公报知识库; 收纳水体地表水执行标准</x:v>
      </x:c>
      <x:c r="L185" s="48" t="str">
        <x:v>2</x:v>
      </x:c>
      <x:c r="M185" s="48" t="str">
        <x:v>2</x:v>
      </x:c>
      <x:c r="N185" s="48" t="str">
        <x:v>False</x:v>
      </x:c>
      <x:c r="O185" s="48" t="str">
        <x:v>正确</x:v>
      </x:c>
      <x:c r="P185" s="48" t="str">
        <x:v>大气:正确; 地表水:正确; 报告日期:2024-04</x:v>
      </x:c>
      <x:c r="Q185" s="48"/>
      <x:c r="R185" s="48"/>
      <x:c r="S185" s="48" t="str">
        <x:v>是</x:v>
      </x:c>
      <x:c r="T185" s="48" t="str">
        <x:v>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x:v>
      </x:c>
      <x:c r="U185" s="48" t="str">
        <x:v>30个环评_大气及地表水环境质量现状数据引用复核QA</x:v>
      </x:c>
      <x:c r="V185" s="48" t="str">
        <x:v>环境质量数据引用</x:v>
      </x:c>
      <x:c r="W185" s="48" t="str">
        <x:v>正确</x:v>
      </x:c>
      <x:c r="X185" s="48" t="str">
        <x:v>无误</x:v>
      </x:c>
      <x:c r="Y185" s="64"/>
      <x:c r="Z185" s="64" t="str">
        <x:v>未复核</x:v>
      </x:c>
      <x:c r="AA185" s="64" t="str">
        <x:v>部分充分</x:v>
      </x:c>
      <x:c r="AB185" s="64" t="str">
        <x:v>有效</x:v>
      </x:c>
      <x:c r="AC185" s="64" t="str">
        <x:v>部分核验</x:v>
      </x:c>
      <x:c r="AD185" s="64" t="str">
        <x:v>自动默认</x:v>
      </x:c>
      <x:c r="AE185" s="64" t="str">
        <x:v>候选池</x:v>
      </x:c>
      <x:c r="AF185" s="64" t="str">
        <x:v>A_仅待终审</x:v>
      </x:c>
      <x:c r="AG185" s="64"/>
      <x:c r="AH185" s="64"/>
      <x:c r="AI185" s="64"/>
      <x:c r="AJ185" s="64"/>
      <x:c r="AK185" s="64"/>
      <x:c r="AL185" s="64"/>
      <x:c r="AM185" s="64"/>
      <x:c r="AN185" s="48" t="str">
        <x:v>185</x:v>
      </x:c>
      <x:c r="AO185" s="48" t="str">
        <x:v>MAP_正确</x:v>
      </x:c>
      <x:c r="AP185" s="48" t="str">
        <x:v>存在报告证据，但尚未经人工逐项核验；已列依据来源，但未在本阶段逐条核验</x:v>
      </x:c>
      <x:c r="AQ185" s="64"/>
      <x:c r="AR185" s="48" t="str">
        <x:v>environmental_quality_data</x:v>
      </x:c>
      <x:c r="AS185" s="48" t="str">
        <x:v>L3_analysis</x:v>
      </x:c>
      <x:c r="AT185" s="48" t="str">
        <x:v>consistency_comparison</x:v>
      </x:c>
      <x:c r="AU185" s="48" t="str">
        <x:v>evidence_integration</x:v>
      </x:c>
      <x:c r="AV185" s="48" t="str">
        <x:v>report_grounding；basis_grounding</x:v>
      </x:c>
      <x:c r="AW185" s="48" t="str">
        <x:v>high</x:v>
      </x:c>
      <x:c r="AX185" s="48" t="str">
        <x:v>high</x:v>
      </x:c>
      <x:c r="AY185" s="48" t="str">
        <x:v>report_plus_external</x:v>
      </x:c>
      <x:c r="AZ185" s="48" t="str">
        <x:v>True</x:v>
      </x:c>
      <x:c r="BA185" s="48"/>
      <x:c r="BB185" s="48" t="str">
        <x:v>auto_default</x:v>
      </x:c>
      <x:c r="BC185" s="48" t="str">
        <x:v>v1</x:v>
      </x:c>
      <x:c r="BD185" s="68"/>
    </x:row>
    <x:row r="186" ht="36" customHeight="1">
      <x:c r="A186" s="47" t="str">
        <x:v>2026-07-27</x:v>
      </x:c>
      <x:c r="B186" s="48" t="str">
        <x:v>PL033</x:v>
      </x:c>
      <x:c r="C186" s="48" t="str">
        <x:v>V01</x:v>
      </x:c>
      <x:c r="D186" s="48" t="str">
        <x:v>PL033_广东施格纳电气有限公司新建项目_01_受理公告或公示版.pdf</x:v>
      </x:c>
      <x:c r="E186" s="48" t="str">
        <x:v>广东施格纳电气有限公司新建项目</x:v>
      </x:c>
      <x:c r="F186" s="48" t="str">
        <x:v>PL033_Emission_水污</x:v>
      </x:c>
      <x:c r="G186" s="48" t="str">
        <x:v>污染物排放标准-水污染物排放标准</x:v>
      </x:c>
      <x:c r="H18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86" s="48" t="str">
        <x:v>1、水污染物排放标准中生活污水排放执行标准：无法判断；
2、报告排放标准章节未明确编制水污染物排放标准相关内容，无法完成判定。</x:v>
      </x:c>
      <x:c r="J186" s="48" t="str">
        <x:v>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186" s="48" t="str">
        <x:v>emission-standard-kb.jsonl; DB44/26-2001; DB44/2367-2022; GB31572-2015; GB14554-93; GB12348-2008; GB18597-2023; GB18599-2020</x:v>
      </x:c>
      <x:c r="L186" s="48" t="str">
        <x:v>2</x:v>
      </x:c>
      <x:c r="M186" s="48" t="str">
        <x:v>2</x:v>
      </x:c>
      <x:c r="N186" s="48" t="str">
        <x:v>False</x:v>
      </x:c>
      <x:c r="O186" s="48" t="str">
        <x:v>无法判断</x:v>
      </x:c>
      <x:c r="P186"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186" s="48"/>
      <x:c r="R186" s="48"/>
      <x:c r="S186" s="48" t="str">
        <x:v>是</x:v>
      </x:c>
      <x:c r="T186" s="48" t="str">
        <x:v>原综合排放标准问答对拆分而来</x:v>
      </x:c>
      <x:c r="U186" s="48" t="str">
        <x:v>30份环评_污染物排放控制执行标准复核QA(拆分版)</x:v>
      </x:c>
      <x:c r="V186" s="48" t="str">
        <x:v>水污染物排放标准</x:v>
      </x:c>
      <x:c r="W186" s="48" t="str">
        <x:v>无法判断</x:v>
      </x:c>
      <x:c r="X186" s="48" t="str">
        <x:v>证据不足</x:v>
      </x:c>
      <x:c r="Y186" s="64"/>
      <x:c r="Z186" s="64" t="str">
        <x:v>未复核</x:v>
      </x:c>
      <x:c r="AA186" s="64" t="str">
        <x:v>不足</x:v>
      </x:c>
      <x:c r="AB186" s="64" t="str">
        <x:v>有效</x:v>
      </x:c>
      <x:c r="AC186" s="64" t="str">
        <x:v>部分核验</x:v>
      </x:c>
      <x:c r="AD186" s="64" t="str">
        <x:v>自动默认</x:v>
      </x:c>
      <x:c r="AE186" s="64" t="str">
        <x:v>候选池</x:v>
      </x:c>
      <x:c r="AF186" s="64" t="str">
        <x:v>B_证据不足</x:v>
      </x:c>
      <x:c r="AG186" s="64"/>
      <x:c r="AH186" s="64"/>
      <x:c r="AI186" s="64"/>
      <x:c r="AJ186" s="64"/>
      <x:c r="AK186" s="64"/>
      <x:c r="AL186" s="64"/>
      <x:c r="AM186" s="64"/>
      <x:c r="AN186" s="48" t="str">
        <x:v>186</x:v>
      </x:c>
      <x:c r="AO186" s="48" t="str">
        <x:v>MAP_无法判断+EVIDENCE_INSUFFICIENCY_SIGNAL</x:v>
      </x:c>
      <x:c r="AP186" s="48" t="str">
        <x:v>需人工区分证据不足、材料缺失或尚未审核；命中证据不足候选词：无法判断；已列依据来源，但未在本阶段逐条核验</x:v>
      </x:c>
      <x:c r="AQ186" s="64"/>
      <x:c r="AR186" s="48" t="str">
        <x:v>water_emission_standard</x:v>
      </x:c>
      <x:c r="AS186" s="48" t="str">
        <x:v>L3_analysis</x:v>
      </x:c>
      <x:c r="AT186" s="48" t="str">
        <x:v>rule_applicability</x:v>
      </x:c>
      <x:c r="AU186" s="48" t="str">
        <x:v>basis_grounding</x:v>
      </x:c>
      <x:c r="AV186" s="48" t="str">
        <x:v>report_grounding；procedural_reasoning</x:v>
      </x:c>
      <x:c r="AW186" s="48" t="str">
        <x:v>high</x:v>
      </x:c>
      <x:c r="AX186" s="48" t="str">
        <x:v>high</x:v>
      </x:c>
      <x:c r="AY186" s="48" t="str">
        <x:v>report_plus_external</x:v>
      </x:c>
      <x:c r="AZ186" s="48" t="str">
        <x:v>True</x:v>
      </x:c>
      <x:c r="BA186" s="48"/>
      <x:c r="BB186" s="48" t="str">
        <x:v>auto_default</x:v>
      </x:c>
      <x:c r="BC186" s="48" t="str">
        <x:v>v1</x:v>
      </x:c>
      <x:c r="BD186" s="68"/>
    </x:row>
    <x:row r="187" ht="36" customHeight="1">
      <x:c r="A187" s="47" t="str">
        <x:v>2026-07-27</x:v>
      </x:c>
      <x:c r="B187" s="48" t="str">
        <x:v>PL033</x:v>
      </x:c>
      <x:c r="C187" s="48" t="str">
        <x:v>V01</x:v>
      </x:c>
      <x:c r="D187" s="48" t="str">
        <x:v>PL033_广东施格纳电气有限公司新建项目_01_受理公告或公示版.pdf</x:v>
      </x:c>
      <x:c r="E187" s="48" t="str">
        <x:v>广东施格纳电气有限公司新建项目</x:v>
      </x:c>
      <x:c r="F187" s="48" t="str">
        <x:v>PL033_Emission_大气</x:v>
      </x:c>
      <x:c r="G187" s="48" t="str">
        <x:v>污染物排放标准-大气污染物排放标准</x:v>
      </x:c>
      <x:c r="H187" s="48" t="str">
        <x:v>请根据项目行业类别、生产工艺和污染因子，判断大气污染物排放标准选取是否合理。要求分析：污染源覆盖是否完整（列出所有大气污染源及对应标准），是否存在缺漏的污染源或标准。</x:v>
      </x:c>
      <x:c r="I187" s="48" t="str">
        <x:v>1、污染排放标准分析污染源内容：不完整；
2、报告排放标准章节未明确编制大气污染物排放标准相关内容，无法完成判定。</x:v>
      </x:c>
      <x:c r="J187" s="48" t="str">
        <x:v>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187" s="48" t="str">
        <x:v>emission-standard-kb.jsonl; DB44/26-2001; DB44/2367-2022; GB31572-2015; GB14554-93; GB12348-2008; GB18597-2023; GB18599-2020</x:v>
      </x:c>
      <x:c r="L187" s="48" t="str">
        <x:v>2</x:v>
      </x:c>
      <x:c r="M187" s="48" t="str">
        <x:v>2</x:v>
      </x:c>
      <x:c r="N187" s="48" t="str">
        <x:v>False</x:v>
      </x:c>
      <x:c r="O187" s="48" t="str">
        <x:v>无法判断</x:v>
      </x:c>
      <x:c r="P187"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187" s="48"/>
      <x:c r="R187" s="48"/>
      <x:c r="S187" s="48" t="str">
        <x:v>是</x:v>
      </x:c>
      <x:c r="T187" s="48" t="str">
        <x:v>原综合排放标准问答对拆分而来</x:v>
      </x:c>
      <x:c r="U187" s="48" t="str">
        <x:v>30份环评_污染物排放控制执行标准复核QA(拆分版)</x:v>
      </x:c>
      <x:c r="V187" s="48" t="str">
        <x:v>大气污染物排放标准</x:v>
      </x:c>
      <x:c r="W187" s="48" t="str">
        <x:v>无法判断</x:v>
      </x:c>
      <x:c r="X187" s="48" t="str">
        <x:v>待判断</x:v>
      </x:c>
      <x:c r="Y187" s="64"/>
      <x:c r="Z187" s="64" t="str">
        <x:v>未复核</x:v>
      </x:c>
      <x:c r="AA187" s="64" t="str">
        <x:v>部分充分</x:v>
      </x:c>
      <x:c r="AB187" s="64" t="str">
        <x:v>有效</x:v>
      </x:c>
      <x:c r="AC187" s="64" t="str">
        <x:v>部分核验</x:v>
      </x:c>
      <x:c r="AD187" s="64" t="str">
        <x:v>自动默认</x:v>
      </x:c>
      <x:c r="AE187" s="64" t="str">
        <x:v>候选池</x:v>
      </x:c>
      <x:c r="AF187" s="64" t="str">
        <x:v>B_证据不足</x:v>
      </x:c>
      <x:c r="AG187" s="64"/>
      <x:c r="AH187" s="64"/>
      <x:c r="AI187" s="64"/>
      <x:c r="AJ187" s="64"/>
      <x:c r="AK187" s="64"/>
      <x:c r="AL187" s="64"/>
      <x:c r="AM187" s="64"/>
      <x:c r="AN187" s="48" t="str">
        <x:v>187</x:v>
      </x:c>
      <x:c r="AO187" s="48" t="str">
        <x:v>MAP_无法判断</x:v>
      </x:c>
      <x:c r="AP187" s="48" t="str">
        <x:v>需人工区分证据不足、材料缺失或尚未审核；存在报告证据，但尚未经人工逐项核验；已列依据来源，但未在本阶段逐条核验</x:v>
      </x:c>
      <x:c r="AQ187" s="64"/>
      <x:c r="AR187" s="48" t="str">
        <x:v>air_emission_standard</x:v>
      </x:c>
      <x:c r="AS187" s="48" t="str">
        <x:v>L3_analysis</x:v>
      </x:c>
      <x:c r="AT187" s="48" t="str">
        <x:v>multi_evidence_synthesis</x:v>
      </x:c>
      <x:c r="AU187" s="48" t="str">
        <x:v>basis_grounding</x:v>
      </x:c>
      <x:c r="AV187" s="48" t="str">
        <x:v>report_grounding；evidence_integration</x:v>
      </x:c>
      <x:c r="AW187" s="48" t="str">
        <x:v>high</x:v>
      </x:c>
      <x:c r="AX187" s="48" t="str">
        <x:v>high</x:v>
      </x:c>
      <x:c r="AY187" s="48" t="str">
        <x:v>report_plus_external</x:v>
      </x:c>
      <x:c r="AZ187" s="48" t="str">
        <x:v>True</x:v>
      </x:c>
      <x:c r="BA187" s="48"/>
      <x:c r="BB187" s="48" t="str">
        <x:v>auto_default</x:v>
      </x:c>
      <x:c r="BC187" s="48" t="str">
        <x:v>v1</x:v>
      </x:c>
      <x:c r="BD187" s="68"/>
    </x:row>
    <x:row r="188" ht="36" customHeight="1">
      <x:c r="A188" s="47" t="str">
        <x:v>2026-07-27</x:v>
      </x:c>
      <x:c r="B188" s="48" t="str">
        <x:v>PL033</x:v>
      </x:c>
      <x:c r="C188" s="48" t="str">
        <x:v>V01</x:v>
      </x:c>
      <x:c r="D188" s="48" t="str">
        <x:v>PL033_广东施格纳电气有限公司新建项目_01_受理公告或公示版.pdf</x:v>
      </x:c>
      <x:c r="E188" s="48" t="str">
        <x:v>广东施格纳电气有限公司新建项目</x:v>
      </x:c>
      <x:c r="F188" s="48" t="str">
        <x:v>PL033_Emission_噪声</x:v>
      </x:c>
      <x:c r="G188" s="48" t="str">
        <x:v>污染物排放标准-噪声排放标准</x:v>
      </x:c>
      <x:c r="H188" s="48" t="str">
        <x:v>请根据项目所属声环境功能区类别，判断噪声排放标准选取是否合理。要求总结声功能区类型、厂界执行标准（GB12348-2008）及昼夜限值，并与环评编制内容进行一致性分析。</x:v>
      </x:c>
      <x:c r="I188" s="48" t="str">
        <x:v>1、噪声排放标准中执行标准与排放限值内容：无法判断；
2、报告排放标准章节未明确编制噪声排放标准相关内容，无法完成判定。</x:v>
      </x:c>
      <x:c r="J188" s="48" t="str">
        <x:v>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188" s="48" t="str">
        <x:v>emission-standard-kb.jsonl; DB44/26-2001; DB44/2367-2022; GB31572-2015; GB14554-93; GB12348-2008; GB18597-2023; GB18599-2020</x:v>
      </x:c>
      <x:c r="L188" s="48" t="str">
        <x:v>2</x:v>
      </x:c>
      <x:c r="M188" s="48" t="str">
        <x:v>2</x:v>
      </x:c>
      <x:c r="N188" s="48" t="str">
        <x:v>False</x:v>
      </x:c>
      <x:c r="O188" s="48" t="str">
        <x:v>无法判断</x:v>
      </x:c>
      <x:c r="P188"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188" s="48"/>
      <x:c r="R188" s="48"/>
      <x:c r="S188" s="48" t="str">
        <x:v>是</x:v>
      </x:c>
      <x:c r="T188" s="48" t="str">
        <x:v>原综合排放标准问答对拆分而来</x:v>
      </x:c>
      <x:c r="U188" s="48" t="str">
        <x:v>30份环评_污染物排放控制执行标准复核QA(拆分版)</x:v>
      </x:c>
      <x:c r="V188" s="48" t="str">
        <x:v>噪声排放标准</x:v>
      </x:c>
      <x:c r="W188" s="48" t="str">
        <x:v>无法判断</x:v>
      </x:c>
      <x:c r="X188" s="48" t="str">
        <x:v>证据不足</x:v>
      </x:c>
      <x:c r="Y188" s="64"/>
      <x:c r="Z188" s="64" t="str">
        <x:v>未复核</x:v>
      </x:c>
      <x:c r="AA188" s="64" t="str">
        <x:v>不足</x:v>
      </x:c>
      <x:c r="AB188" s="64" t="str">
        <x:v>有效</x:v>
      </x:c>
      <x:c r="AC188" s="64" t="str">
        <x:v>部分核验</x:v>
      </x:c>
      <x:c r="AD188" s="64" t="str">
        <x:v>自动默认</x:v>
      </x:c>
      <x:c r="AE188" s="64" t="str">
        <x:v>候选池</x:v>
      </x:c>
      <x:c r="AF188" s="64" t="str">
        <x:v>B_证据不足</x:v>
      </x:c>
      <x:c r="AG188" s="64"/>
      <x:c r="AH188" s="64"/>
      <x:c r="AI188" s="64"/>
      <x:c r="AJ188" s="64"/>
      <x:c r="AK188" s="64"/>
      <x:c r="AL188" s="64"/>
      <x:c r="AM188" s="64"/>
      <x:c r="AN188" s="48" t="str">
        <x:v>188</x:v>
      </x:c>
      <x:c r="AO188" s="48" t="str">
        <x:v>MAP_无法判断+EVIDENCE_INSUFFICIENCY_SIGNAL</x:v>
      </x:c>
      <x:c r="AP188" s="48" t="str">
        <x:v>需人工区分证据不足、材料缺失或尚未审核；命中证据不足候选词：无法判断；已列依据来源，但未在本阶段逐条核验</x:v>
      </x:c>
      <x:c r="AQ188" s="64"/>
      <x:c r="AR188" s="48" t="str">
        <x:v>noise_emission_standard</x:v>
      </x:c>
      <x:c r="AS188" s="48" t="str">
        <x:v>L2_application</x:v>
      </x:c>
      <x:c r="AT188" s="48" t="str">
        <x:v>rule_applicability</x:v>
      </x:c>
      <x:c r="AU188" s="48" t="str">
        <x:v>basis_grounding</x:v>
      </x:c>
      <x:c r="AV188" s="48" t="str">
        <x:v>report_grounding</x:v>
      </x:c>
      <x:c r="AW188" s="48" t="str">
        <x:v>high</x:v>
      </x:c>
      <x:c r="AX188" s="48" t="str">
        <x:v>medium</x:v>
      </x:c>
      <x:c r="AY188" s="48" t="str">
        <x:v>report_plus_external</x:v>
      </x:c>
      <x:c r="AZ188" s="48" t="str">
        <x:v>True</x:v>
      </x:c>
      <x:c r="BA188" s="48"/>
      <x:c r="BB188" s="48" t="str">
        <x:v>auto_default</x:v>
      </x:c>
      <x:c r="BC188" s="48" t="str">
        <x:v>v1</x:v>
      </x:c>
      <x:c r="BD188" s="68"/>
    </x:row>
    <x:row r="189" ht="36" customHeight="1">
      <x:c r="A189" s="47" t="str">
        <x:v>2026-07-27</x:v>
      </x:c>
      <x:c r="B189" s="48" t="str">
        <x:v>PL033</x:v>
      </x:c>
      <x:c r="C189" s="48" t="str">
        <x:v>V01</x:v>
      </x:c>
      <x:c r="D189" s="48" t="str">
        <x:v>PL033_广东施格纳电气有限公司新建项目_01_受理公告或公示版.pdf</x:v>
      </x:c>
      <x:c r="E189" s="48" t="str">
        <x:v>广东施格纳电气有限公司新建项目</x:v>
      </x:c>
      <x:c r="F189" s="48" t="str">
        <x:v>PL033_Emission_固体</x:v>
      </x:c>
      <x:c r="G189" s="48" t="str">
        <x:v>污染物排放标准-固体废物控制标准</x:v>
      </x:c>
      <x:c r="H189" s="48" t="str">
        <x:v>请根据项目产生的固体废物和危险废物类型，判断固体废物控制标准选取是否合理。要求总结一般工业固体废物和危险废物执行标准的标准名称及编号，分析是否缺少必要标准条目。</x:v>
      </x:c>
      <x:c r="I189"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189" s="48" t="str">
        <x:v>固体废物处置："危险废物 面积为10m2，一个危废间，交由有相应危废资质的单位回收处置；一般工业固废 面积为20m2，一个一般固废间，交由回收公司回收利用；生活垃圾 统一收集后交由环卫部门回收处理"</x:v>
      </x:c>
      <x:c r="K189" s="48" t="str">
        <x:v>emission-standard-kb.jsonl; DB44/26-2001; DB44/2367-2022; GB31572-2015; GB14554-93; GB12348-2008; GB18597-2023; GB18599-2020</x:v>
      </x:c>
      <x:c r="L189" s="48" t="str">
        <x:v>2</x:v>
      </x:c>
      <x:c r="M189" s="48" t="str">
        <x:v>2</x:v>
      </x:c>
      <x:c r="N189" s="48" t="str">
        <x:v>False</x:v>
      </x:c>
      <x:c r="O189" s="48" t="str">
        <x:v>无误</x:v>
      </x:c>
      <x:c r="P189"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189" s="48"/>
      <x:c r="R189" s="48"/>
      <x:c r="S189" s="48" t="str">
        <x:v>否</x:v>
      </x:c>
      <x:c r="T189" s="48" t="str">
        <x:v>修正：GB18599-2020不在知识库必须满足的标准清单中，原判定依据已更正。原综合排放标准问答对拆分而来</x:v>
      </x:c>
      <x:c r="U189" s="48" t="str">
        <x:v>30份环评_污染物排放控制执行标准复核QA(拆分版)</x:v>
      </x:c>
      <x:c r="V189" s="48" t="str">
        <x:v>固体废物控制标准</x:v>
      </x:c>
      <x:c r="W189" s="48" t="str">
        <x:v>无误</x:v>
      </x:c>
      <x:c r="X189" s="48" t="str">
        <x:v>无误</x:v>
      </x:c>
      <x:c r="Y189" s="64"/>
      <x:c r="Z189" s="64" t="str">
        <x:v>未复核</x:v>
      </x:c>
      <x:c r="AA189" s="64" t="str">
        <x:v>部分充分</x:v>
      </x:c>
      <x:c r="AB189" s="64" t="str">
        <x:v>有效</x:v>
      </x:c>
      <x:c r="AC189" s="64" t="str">
        <x:v>部分核验</x:v>
      </x:c>
      <x:c r="AD189" s="64" t="str">
        <x:v>自动默认</x:v>
      </x:c>
      <x:c r="AE189" s="64" t="str">
        <x:v>候选池</x:v>
      </x:c>
      <x:c r="AF189" s="64" t="str">
        <x:v>待分流</x:v>
      </x:c>
      <x:c r="AG189" s="64"/>
      <x:c r="AH189" s="64"/>
      <x:c r="AI189" s="64"/>
      <x:c r="AJ189" s="64"/>
      <x:c r="AK189" s="64"/>
      <x:c r="AL189" s="64"/>
      <x:c r="AM189" s="64"/>
      <x:c r="AN189" s="48" t="str">
        <x:v>189</x:v>
      </x:c>
      <x:c r="AO189" s="48" t="str">
        <x:v>MAP_无误</x:v>
      </x:c>
      <x:c r="AP189" s="48" t="str">
        <x:v>存在报告证据，但尚未经人工逐项核验；已列依据来源，但未在本阶段逐条核验</x:v>
      </x:c>
      <x:c r="AQ189" s="64"/>
      <x:c r="AR189" s="48" t="str">
        <x:v>solid_waste_standard</x:v>
      </x:c>
      <x:c r="AS189" s="48" t="str">
        <x:v>L2_application</x:v>
      </x:c>
      <x:c r="AT189" s="48" t="str">
        <x:v>rule_applicability</x:v>
      </x:c>
      <x:c r="AU189" s="48" t="str">
        <x:v>basis_grounding</x:v>
      </x:c>
      <x:c r="AV189" s="48" t="str">
        <x:v>report_grounding</x:v>
      </x:c>
      <x:c r="AW189" s="48" t="str">
        <x:v>high</x:v>
      </x:c>
      <x:c r="AX189" s="48" t="str">
        <x:v>medium</x:v>
      </x:c>
      <x:c r="AY189" s="48" t="str">
        <x:v>report_plus_external</x:v>
      </x:c>
      <x:c r="AZ189" s="48" t="str">
        <x:v>True</x:v>
      </x:c>
      <x:c r="BA189" s="48"/>
      <x:c r="BB189" s="48" t="str">
        <x:v>auto_default</x:v>
      </x:c>
      <x:c r="BC189" s="48" t="str">
        <x:v>v1</x:v>
      </x:c>
      <x:c r="BD189" s="68"/>
    </x:row>
    <x:row r="190" ht="36" customHeight="1">
      <x:c r="A190" s="47" t="str">
        <x:v>2026-06-25</x:v>
      </x:c>
      <x:c r="B190" s="48" t="str">
        <x:v>PL034</x:v>
      </x:c>
      <x:c r="C190" s="48" t="str">
        <x:v>V01</x:v>
      </x:c>
      <x:c r="D190" s="48" t="str">
        <x:v>年10月29日建设项目环境影响报告书（表）受理公告（佛山市生态环境局顺德分局）_3.pdf</x:v>
      </x:c>
      <x:c r="E190" s="48" t="str">
        <x:v>佛山市沃丰德电器有限公司扩建项目</x:v>
      </x:c>
      <x:c r="F190" s="48" t="str">
        <x:v>PL034_V01_Q01</x:v>
      </x:c>
      <x:c r="G190" s="48" t="str">
        <x:v>1. 塑胶行业样本筛选与国民经济行业分类</x:v>
      </x:c>
      <x:c r="H190" s="48" t="str">
        <x:v>请结合项目产品、原辅材料和生产工艺，判断该报告行业类别是否基本合理。</x:v>
      </x:c>
      <x:c r="I190" s="48" t="str">
        <x:v>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x:v>
      </x:c>
      <x:c r="J190" s="48" t="str">
        <x:v>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v>
      </x:c>
      <x:c r="K190" s="48" t="str">
        <x:v>《国民经济行业分类》(GB/T 4754—2017)；本任务C292筛选及C17/C18排除规则</x:v>
      </x:c>
      <x:c r="L190" s="48" t="str">
        <x:v>结合本项目行业代码、建设性质、工艺关键词及PDF证据生成，非脱离项目的通用题。</x:v>
      </x:c>
      <x:c r="M190" s="48" t="str">
        <x:v>可依据对应PDF原文、工程分析表格及所列法规标准逐项复核。</x:v>
      </x:c>
      <x:c r="N190" s="48" t="str">
        <x:v>True</x:v>
      </x:c>
      <x:c r="O190" s="48"/>
      <x:c r="P190" s="48"/>
      <x:c r="Q190" s="48"/>
      <x:c r="R190" s="48" t="str">
        <x:v>新增</x:v>
      </x:c>
      <x:c r="S190" s="48" t="str">
        <x:v>是</x:v>
      </x:c>
      <x:c r="T190" s="48" t="str">
        <x:v>自动生成；需人工复核项目参数、公式取值、标准适用范围及PDF文字提取完整性。</x:v>
      </x:c>
      <x:c r="U190" s="48" t="str">
        <x:v>seed_qa_塑胶行业筛选版_30个国民经济行业分类的人工标记</x:v>
      </x:c>
      <x:c r="V190" s="48" t="str">
        <x:v>国民经济行业分类</x:v>
      </x:c>
      <x:c r="W190" s="48"/>
      <x:c r="X190" s="48" t="str">
        <x:v>待判断</x:v>
      </x:c>
      <x:c r="Y190" s="64"/>
      <x:c r="Z190" s="64" t="str">
        <x:v>未复核</x:v>
      </x:c>
      <x:c r="AA190" s="64" t="str">
        <x:v>部分充分</x:v>
      </x:c>
      <x:c r="AB190" s="64" t="str">
        <x:v>待判断</x:v>
      </x:c>
      <x:c r="AC190" s="64" t="str">
        <x:v>部分核验</x:v>
      </x:c>
      <x:c r="AD190" s="64" t="str">
        <x:v>自动默认</x:v>
      </x:c>
      <x:c r="AE190" s="64" t="str">
        <x:v>候选池</x:v>
      </x:c>
      <x:c r="AF190" s="64" t="str">
        <x:v>C_题目或材料问题</x:v>
      </x:c>
      <x:c r="AG190" s="64"/>
      <x:c r="AH190" s="64"/>
      <x:c r="AI190" s="64"/>
      <x:c r="AJ190" s="64"/>
      <x:c r="AK190" s="64"/>
      <x:c r="AL190" s="64"/>
      <x:c r="AM190" s="64"/>
      <x:c r="AN190" s="48" t="str">
        <x:v>190</x:v>
      </x:c>
      <x:c r="AO190" s="48" t="str">
        <x:v>MAP_BLANK</x:v>
      </x:c>
      <x:c r="AP190" s="48" t="str">
        <x:v>人工判断为空：不得自动补填结论；人工判断为空；结构完整但原因需人工确认；存在报告证据，但尚未经人工逐项核验；已列依据来源，但未在本阶段逐条核验</x:v>
      </x:c>
      <x:c r="AQ190" s="64"/>
      <x:c r="AR190" s="48" t="str">
        <x:v>industry_classification</x:v>
      </x:c>
      <x:c r="AS190" s="48" t="str">
        <x:v>L3_analysis</x:v>
      </x:c>
      <x:c r="AT190" s="48" t="str">
        <x:v>multi_evidence_synthesis</x:v>
      </x:c>
      <x:c r="AU190" s="48" t="str">
        <x:v>evidence_integration</x:v>
      </x:c>
      <x:c r="AV190" s="48" t="str">
        <x:v>report_grounding；basis_grounding</x:v>
      </x:c>
      <x:c r="AW190" s="48" t="str">
        <x:v>high</x:v>
      </x:c>
      <x:c r="AX190" s="48" t="str">
        <x:v>high</x:v>
      </x:c>
      <x:c r="AY190" s="48" t="str">
        <x:v>cross_section</x:v>
      </x:c>
      <x:c r="AZ190" s="48" t="str">
        <x:v>True</x:v>
      </x:c>
      <x:c r="BA190" s="48"/>
      <x:c r="BB190" s="48" t="str">
        <x:v>auto_default</x:v>
      </x:c>
      <x:c r="BC190" s="48" t="str">
        <x:v>v1</x:v>
      </x:c>
      <x:c r="BD190" s="68"/>
    </x:row>
    <x:row r="191" ht="36" customHeight="1">
      <x:c r="A191" s="47" t="str">
        <x:v>2026-07-24</x:v>
      </x:c>
      <x:c r="B191" s="48" t="str">
        <x:v>PL034</x:v>
      </x:c>
      <x:c r="C191" s="48" t="str">
        <x:v>V01</x:v>
      </x:c>
      <x:c r="D191" s="48" t="str">
        <x:v>PL034_佛山市沃丰德电器有限公司扩建项目</x:v>
      </x:c>
      <x:c r="E191" s="48" t="str">
        <x:v>佛山市沃丰德电器有限公司扩建项目</x:v>
      </x:c>
      <x:c r="F191" s="48" t="str">
        <x:v>PL034_V01_Q03</x:v>
      </x:c>
      <x:c r="G191" s="48" t="str">
        <x:v>环评投资核算</x:v>
      </x:c>
      <x:c r="H191" s="48" t="str">
        <x:v>请根据报告中的总投资、环保投资和环保工程投资明细，判断环保投资核算是否前后一致、比例是否正确。</x:v>
      </x:c>
      <x:c r="I191" s="48" t="str">
        <x:v>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x:v>
      </x:c>
      <x:c r="J191" s="48" t="str">
        <x:v>一、建设项目基本情况：总投资20万元、环保投资10万元、占比50%。来源：解析文本拼接_02_021-040(3).md</x:v>
      </x:c>
      <x:c r="K191" s="48" t="str">
        <x:v>报告原文-环保投资明细表</x:v>
      </x:c>
      <x:c r="L191" s="48" t="str">
        <x:v>2</x:v>
      </x:c>
      <x:c r="M191" s="48" t="str">
        <x:v>2</x:v>
      </x:c>
      <x:c r="N191" s="48" t="str">
        <x:v>False</x:v>
      </x:c>
      <x:c r="O191" s="48" t="str">
        <x:v>需复核</x:v>
      </x:c>
      <x:c r="P191" s="48"/>
      <x:c r="Q191" s="48"/>
      <x:c r="R191" s="48"/>
      <x:c r="S191" s="48" t="str">
        <x:v>是</x:v>
      </x:c>
      <x:c r="T191" s="48"/>
      <x:c r="U191" s="48" t="str">
        <x:v>30个PL_环评投资核算QA</x:v>
      </x:c>
      <x:c r="V191" s="48" t="str">
        <x:v>环评投资概算</x:v>
      </x:c>
      <x:c r="W191" s="48" t="str">
        <x:v>需复核</x:v>
      </x:c>
      <x:c r="X191" s="48" t="str">
        <x:v>证据不足</x:v>
      </x:c>
      <x:c r="Y191" s="64"/>
      <x:c r="Z191" s="64" t="str">
        <x:v>未复核</x:v>
      </x:c>
      <x:c r="AA191" s="64" t="str">
        <x:v>不足</x:v>
      </x:c>
      <x:c r="AB191" s="64" t="str">
        <x:v>有效</x:v>
      </x:c>
      <x:c r="AC191" s="64" t="str">
        <x:v>不需要外部依据</x:v>
      </x:c>
      <x:c r="AD191" s="64" t="str">
        <x:v>自动默认</x:v>
      </x:c>
      <x:c r="AE191" s="64" t="str">
        <x:v>候选池</x:v>
      </x:c>
      <x:c r="AF191" s="64" t="str">
        <x:v>B_证据不足</x:v>
      </x:c>
      <x:c r="AG191" s="64"/>
      <x:c r="AH191" s="64"/>
      <x:c r="AI191" s="64"/>
      <x:c r="AJ191" s="64"/>
      <x:c r="AK191" s="64"/>
      <x:c r="AL191" s="64"/>
      <x:c r="AM191" s="64"/>
      <x:c r="AN191" s="48" t="str">
        <x:v>191</x:v>
      </x:c>
      <x:c r="AO191" s="48" t="str">
        <x:v>MAP_需复核+EVIDENCE_INSUFFICIENCY_SIGNAL</x:v>
      </x:c>
      <x:c r="AP191" s="48" t="str">
        <x:v>原结论明确要求人工复核；命中证据不足候选词：未检索到、无法核对；投资复核主要依据报告内金额与算式</x:v>
      </x:c>
      <x:c r="AQ191" s="64"/>
      <x:c r="AR191" s="48" t="str">
        <x:v>environmental_investment</x:v>
      </x:c>
      <x:c r="AS191" s="48" t="str">
        <x:v>L2_application</x:v>
      </x:c>
      <x:c r="AT191" s="48" t="str">
        <x:v>quantitative_verification</x:v>
      </x:c>
      <x:c r="AU191" s="48" t="str">
        <x:v>numerical_accuracy</x:v>
      </x:c>
      <x:c r="AV191" s="48" t="str">
        <x:v>report_grounding；procedural_reasoning</x:v>
      </x:c>
      <x:c r="AW191" s="48" t="str">
        <x:v>low</x:v>
      </x:c>
      <x:c r="AX191" s="48" t="str">
        <x:v>medium</x:v>
      </x:c>
      <x:c r="AY191" s="48" t="str">
        <x:v>cross_section</x:v>
      </x:c>
      <x:c r="AZ191" s="48" t="str">
        <x:v>True</x:v>
      </x:c>
      <x:c r="BA191" s="48"/>
      <x:c r="BB191" s="48" t="str">
        <x:v>auto_default</x:v>
      </x:c>
      <x:c r="BC191" s="48" t="str">
        <x:v>v1</x:v>
      </x:c>
      <x:c r="BD191" s="68"/>
    </x:row>
    <x:row r="192" ht="36" customHeight="1">
      <x:c r="A192" s="47" t="str">
        <x:v>2026-06-25</x:v>
      </x:c>
      <x:c r="B192" s="48" t="str">
        <x:v>PL035</x:v>
      </x:c>
      <x:c r="C192" s="48" t="str">
        <x:v>V01</x:v>
      </x:c>
      <x:c r="D192" s="48" t="str">
        <x:v>年10月29日建设项目环境影响报告书（表）受理公告（佛山市生态环境局顺德分局）_4.pdf</x:v>
      </x:c>
      <x:c r="E192" s="48" t="str">
        <x:v>佛山市顺德区钧锐塑料厂迁建项目</x:v>
      </x:c>
      <x:c r="F192" s="48" t="str">
        <x:v>PL035_V01_Q01</x:v>
      </x:c>
      <x:c r="G192" s="48" t="str">
        <x:v>1. 塑胶行业样本筛选与国民经济行业分类</x:v>
      </x:c>
      <x:c r="H192" s="48" t="str">
        <x:v>请结合项目产品、原辅材料和生产工艺，判断该报告行业类别是否基本合理。</x:v>
      </x:c>
      <x:c r="I192" s="48" t="str">
        <x:v>"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x:v>
      </x:c>
      <x:c r="J192" s="48"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192" s="48" t="str">
        <x:v>《国民经济行业分类》(GB/T 4754—2017)；本任务C292筛选及C17/C18排除规则</x:v>
      </x:c>
      <x:c r="L192" s="48" t="str">
        <x:v>结合本项目行业代码、建设性质、工艺关键词及PDF证据生成，非脱离项目的通用题。</x:v>
      </x:c>
      <x:c r="M192" s="48" t="str">
        <x:v>可依据对应PDF原文、工程分析表格及所列法规标准逐项复核。</x:v>
      </x:c>
      <x:c r="N192" s="48" t="str">
        <x:v>True</x:v>
      </x:c>
      <x:c r="O192" s="48"/>
      <x:c r="P192" s="48"/>
      <x:c r="Q192" s="48"/>
      <x:c r="R192" s="48" t="str">
        <x:v>新增</x:v>
      </x:c>
      <x:c r="S192" s="48" t="str">
        <x:v>是</x:v>
      </x:c>
      <x:c r="T192" s="48" t="str">
        <x:v>自动生成；需人工复核项目参数、公式取值、标准适用范围及PDF文字提取完整性。</x:v>
      </x:c>
      <x:c r="U192" s="48" t="str">
        <x:v>seed_qa_塑胶行业筛选版_30个国民经济行业分类的人工标记</x:v>
      </x:c>
      <x:c r="V192" s="48" t="str">
        <x:v>国民经济行业分类</x:v>
      </x:c>
      <x:c r="W192" s="48"/>
      <x:c r="X192" s="48" t="str">
        <x:v>待判断</x:v>
      </x:c>
      <x:c r="Y192" s="64"/>
      <x:c r="Z192" s="64" t="str">
        <x:v>未复核</x:v>
      </x:c>
      <x:c r="AA192" s="64" t="str">
        <x:v>部分充分</x:v>
      </x:c>
      <x:c r="AB192" s="64" t="str">
        <x:v>待判断</x:v>
      </x:c>
      <x:c r="AC192" s="64" t="str">
        <x:v>部分核验</x:v>
      </x:c>
      <x:c r="AD192" s="64" t="str">
        <x:v>自动默认</x:v>
      </x:c>
      <x:c r="AE192" s="64" t="str">
        <x:v>候选池</x:v>
      </x:c>
      <x:c r="AF192" s="64" t="str">
        <x:v>C_题目或材料问题</x:v>
      </x:c>
      <x:c r="AG192" s="64"/>
      <x:c r="AH192" s="64"/>
      <x:c r="AI192" s="64"/>
      <x:c r="AJ192" s="64"/>
      <x:c r="AK192" s="64"/>
      <x:c r="AL192" s="64"/>
      <x:c r="AM192" s="64"/>
      <x:c r="AN192" s="48" t="str">
        <x:v>192</x:v>
      </x:c>
      <x:c r="AO192" s="48" t="str">
        <x:v>MAP_BLANK</x:v>
      </x:c>
      <x:c r="AP192" s="48" t="str">
        <x:v>人工判断为空：不得自动补填结论；人工判断为空；结构完整但原因需人工确认；存在报告证据，但尚未经人工逐项核验；已列依据来源，但未在本阶段逐条核验</x:v>
      </x:c>
      <x:c r="AQ192" s="64"/>
      <x:c r="AR192" s="48" t="str">
        <x:v>industry_classification</x:v>
      </x:c>
      <x:c r="AS192" s="48" t="str">
        <x:v>L3_analysis</x:v>
      </x:c>
      <x:c r="AT192" s="48" t="str">
        <x:v>multi_evidence_synthesis</x:v>
      </x:c>
      <x:c r="AU192" s="48" t="str">
        <x:v>evidence_integration</x:v>
      </x:c>
      <x:c r="AV192" s="48" t="str">
        <x:v>report_grounding；basis_grounding</x:v>
      </x:c>
      <x:c r="AW192" s="48" t="str">
        <x:v>high</x:v>
      </x:c>
      <x:c r="AX192" s="48" t="str">
        <x:v>high</x:v>
      </x:c>
      <x:c r="AY192" s="48" t="str">
        <x:v>cross_section</x:v>
      </x:c>
      <x:c r="AZ192" s="48" t="str">
        <x:v>True</x:v>
      </x:c>
      <x:c r="BA192" s="48"/>
      <x:c r="BB192" s="48" t="str">
        <x:v>auto_default</x:v>
      </x:c>
      <x:c r="BC192" s="48" t="str">
        <x:v>v1</x:v>
      </x:c>
      <x:c r="BD192" s="68"/>
    </x:row>
    <x:row r="193" ht="36" customHeight="1">
      <x:c r="A193" s="47" t="str">
        <x:v>2026-07-24</x:v>
      </x:c>
      <x:c r="B193" s="48" t="str">
        <x:v>PL035</x:v>
      </x:c>
      <x:c r="C193" s="48" t="str">
        <x:v>V01</x:v>
      </x:c>
      <x:c r="D193" s="48" t="str">
        <x:v>PL035_佛山市顺德区钧锐塑料厂迁建项目</x:v>
      </x:c>
      <x:c r="E193" s="48" t="str">
        <x:v>佛山市顺德区钧锐塑料厂迁建项目</x:v>
      </x:c>
      <x:c r="F193" s="48" t="str">
        <x:v>PL035_V01_Q03</x:v>
      </x:c>
      <x:c r="G193" s="48" t="str">
        <x:v>环评投资核算</x:v>
      </x:c>
      <x:c r="H193" s="48" t="str">
        <x:v>请根据报告中的总投资、环保投资和环保工程投资明细，判断环保投资核算是否前后一致、比例是否正确。</x:v>
      </x:c>
      <x:c r="I193" s="48" t="str">
        <x:v>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x:v>
      </x:c>
      <x:c r="J193" s="48" t="str">
        <x:v>一、建设项目基本情况：总投资100万元、环保投资20万元、占比20%。来源：解析文本拼接_02_021-040(3).md</x:v>
      </x:c>
      <x:c r="K193" s="48" t="str">
        <x:v>报告原文-环保投资明细表</x:v>
      </x:c>
      <x:c r="L193" s="48" t="str">
        <x:v>2</x:v>
      </x:c>
      <x:c r="M193" s="48" t="str">
        <x:v>2</x:v>
      </x:c>
      <x:c r="N193" s="48" t="str">
        <x:v>False</x:v>
      </x:c>
      <x:c r="O193" s="48" t="str">
        <x:v>需复核</x:v>
      </x:c>
      <x:c r="P193" s="48"/>
      <x:c r="Q193" s="48"/>
      <x:c r="R193" s="48"/>
      <x:c r="S193" s="48" t="str">
        <x:v>是</x:v>
      </x:c>
      <x:c r="T193" s="48"/>
      <x:c r="U193" s="48" t="str">
        <x:v>30个PL_环评投资核算QA</x:v>
      </x:c>
      <x:c r="V193" s="48" t="str">
        <x:v>环评投资概算</x:v>
      </x:c>
      <x:c r="W193" s="48" t="str">
        <x:v>需复核</x:v>
      </x:c>
      <x:c r="X193" s="48" t="str">
        <x:v>证据不足</x:v>
      </x:c>
      <x:c r="Y193" s="64"/>
      <x:c r="Z193" s="64" t="str">
        <x:v>未复核</x:v>
      </x:c>
      <x:c r="AA193" s="64" t="str">
        <x:v>不足</x:v>
      </x:c>
      <x:c r="AB193" s="64" t="str">
        <x:v>有效</x:v>
      </x:c>
      <x:c r="AC193" s="64" t="str">
        <x:v>不需要外部依据</x:v>
      </x:c>
      <x:c r="AD193" s="64" t="str">
        <x:v>自动默认</x:v>
      </x:c>
      <x:c r="AE193" s="64" t="str">
        <x:v>候选池</x:v>
      </x:c>
      <x:c r="AF193" s="64" t="str">
        <x:v>B_证据不足</x:v>
      </x:c>
      <x:c r="AG193" s="64"/>
      <x:c r="AH193" s="64"/>
      <x:c r="AI193" s="64"/>
      <x:c r="AJ193" s="64"/>
      <x:c r="AK193" s="64"/>
      <x:c r="AL193" s="64"/>
      <x:c r="AM193" s="64"/>
      <x:c r="AN193" s="48" t="str">
        <x:v>193</x:v>
      </x:c>
      <x:c r="AO193" s="48" t="str">
        <x:v>MAP_需复核+EVIDENCE_INSUFFICIENCY_SIGNAL</x:v>
      </x:c>
      <x:c r="AP193" s="48" t="str">
        <x:v>原结论明确要求人工复核；命中证据不足候选词：未检索到、无法核对；投资复核主要依据报告内金额与算式</x:v>
      </x:c>
      <x:c r="AQ193" s="64"/>
      <x:c r="AR193" s="48" t="str">
        <x:v>environmental_investment</x:v>
      </x:c>
      <x:c r="AS193" s="48" t="str">
        <x:v>L2_application</x:v>
      </x:c>
      <x:c r="AT193" s="48" t="str">
        <x:v>quantitative_verification</x:v>
      </x:c>
      <x:c r="AU193" s="48" t="str">
        <x:v>numerical_accuracy</x:v>
      </x:c>
      <x:c r="AV193" s="48" t="str">
        <x:v>report_grounding；procedural_reasoning</x:v>
      </x:c>
      <x:c r="AW193" s="48" t="str">
        <x:v>low</x:v>
      </x:c>
      <x:c r="AX193" s="48" t="str">
        <x:v>medium</x:v>
      </x:c>
      <x:c r="AY193" s="48" t="str">
        <x:v>cross_section</x:v>
      </x:c>
      <x:c r="AZ193" s="48" t="str">
        <x:v>True</x:v>
      </x:c>
      <x:c r="BA193" s="48"/>
      <x:c r="BB193" s="48" t="str">
        <x:v>auto_default</x:v>
      </x:c>
      <x:c r="BC193" s="48" t="str">
        <x:v>v1</x:v>
      </x:c>
      <x:c r="BD193" s="68"/>
    </x:row>
    <x:row r="194" ht="36" customHeight="1">
      <x:c r="A194" s="47" t="str">
        <x:v>2026-06-25</x:v>
      </x:c>
      <x:c r="B194" s="48" t="str">
        <x:v>PL036</x:v>
      </x:c>
      <x:c r="C194" s="48" t="str">
        <x:v>V01</x:v>
      </x:c>
      <x:c r="D194" s="48" t="str">
        <x:v>年10月29日建设项目环境影响报告书（表）受理公告（均安）.pdf</x:v>
      </x:c>
      <x:c r="E194" s="48" t="str">
        <x:v>广东梅州磁性材料有限公司顺德分公司迁扩建项目</x:v>
      </x:c>
      <x:c r="F194" s="48" t="str">
        <x:v>PL036_V01_Q01</x:v>
      </x:c>
      <x:c r="G194" s="48" t="str">
        <x:v>1. 塑胶行业样本筛选与国民经济行业分类</x:v>
      </x:c>
      <x:c r="H194" s="48" t="str">
        <x:v>请结合项目产品、原辅材料和生产工艺，判断该报告行业类别是否基本合理。</x:v>
      </x:c>
      <x:c r="I194" s="48" t="str">
        <x:v>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x:v>
      </x:c>
      <x:c r="J194" s="48"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194" s="48" t="str">
        <x:v>《国民经济行业分类》(GB/T 4754—2017)；本任务C292筛选及C17/C18排除规则</x:v>
      </x:c>
      <x:c r="L194" s="48" t="str">
        <x:v>结合本项目行业代码、建设性质、工艺关键词及PDF证据生成，非脱离项目的通用题。</x:v>
      </x:c>
      <x:c r="M194" s="48" t="str">
        <x:v>可依据对应PDF原文、工程分析表格及所列法规标准逐项复核。</x:v>
      </x:c>
      <x:c r="N194" s="48" t="str">
        <x:v>True</x:v>
      </x:c>
      <x:c r="O194" s="48"/>
      <x:c r="P194" s="48"/>
      <x:c r="Q194" s="48"/>
      <x:c r="R194" s="48" t="str">
        <x:v>新增</x:v>
      </x:c>
      <x:c r="S194" s="48" t="str">
        <x:v>是</x:v>
      </x:c>
      <x:c r="T194" s="48" t="str">
        <x:v>自动生成；需人工复核项目参数、公式取值、标准适用范围及PDF文字提取完整性。</x:v>
      </x:c>
      <x:c r="U194" s="48" t="str">
        <x:v>seed_qa_塑胶行业筛选版_30个国民经济行业分类的人工标记</x:v>
      </x:c>
      <x:c r="V194" s="48" t="str">
        <x:v>国民经济行业分类</x:v>
      </x:c>
      <x:c r="W194" s="48"/>
      <x:c r="X194" s="48" t="str">
        <x:v>待判断</x:v>
      </x:c>
      <x:c r="Y194" s="64"/>
      <x:c r="Z194" s="64" t="str">
        <x:v>未复核</x:v>
      </x:c>
      <x:c r="AA194" s="64" t="str">
        <x:v>部分充分</x:v>
      </x:c>
      <x:c r="AB194" s="64" t="str">
        <x:v>待判断</x:v>
      </x:c>
      <x:c r="AC194" s="64" t="str">
        <x:v>部分核验</x:v>
      </x:c>
      <x:c r="AD194" s="64" t="str">
        <x:v>自动默认</x:v>
      </x:c>
      <x:c r="AE194" s="64" t="str">
        <x:v>候选池</x:v>
      </x:c>
      <x:c r="AF194" s="64" t="str">
        <x:v>C_题目或材料问题</x:v>
      </x:c>
      <x:c r="AG194" s="64"/>
      <x:c r="AH194" s="64"/>
      <x:c r="AI194" s="64"/>
      <x:c r="AJ194" s="64"/>
      <x:c r="AK194" s="64"/>
      <x:c r="AL194" s="64"/>
      <x:c r="AM194" s="64"/>
      <x:c r="AN194" s="48" t="str">
        <x:v>194</x:v>
      </x:c>
      <x:c r="AO194" s="48" t="str">
        <x:v>MAP_BLANK</x:v>
      </x:c>
      <x:c r="AP194" s="48" t="str">
        <x:v>人工判断为空：不得自动补填结论；人工判断为空；结构完整但原因需人工确认；存在报告证据，但尚未经人工逐项核验；已列依据来源，但未在本阶段逐条核验</x:v>
      </x:c>
      <x:c r="AQ194" s="64"/>
      <x:c r="AR194" s="48" t="str">
        <x:v>industry_classification</x:v>
      </x:c>
      <x:c r="AS194" s="48" t="str">
        <x:v>L3_analysis</x:v>
      </x:c>
      <x:c r="AT194" s="48" t="str">
        <x:v>multi_evidence_synthesis</x:v>
      </x:c>
      <x:c r="AU194" s="48" t="str">
        <x:v>evidence_integration</x:v>
      </x:c>
      <x:c r="AV194" s="48" t="str">
        <x:v>report_grounding；basis_grounding</x:v>
      </x:c>
      <x:c r="AW194" s="48" t="str">
        <x:v>high</x:v>
      </x:c>
      <x:c r="AX194" s="48" t="str">
        <x:v>high</x:v>
      </x:c>
      <x:c r="AY194" s="48" t="str">
        <x:v>cross_section</x:v>
      </x:c>
      <x:c r="AZ194" s="48" t="str">
        <x:v>True</x:v>
      </x:c>
      <x:c r="BA194" s="48"/>
      <x:c r="BB194" s="48" t="str">
        <x:v>auto_default</x:v>
      </x:c>
      <x:c r="BC194" s="48" t="str">
        <x:v>v1</x:v>
      </x:c>
      <x:c r="BD194" s="68"/>
    </x:row>
    <x:row r="195" ht="36" customHeight="1">
      <x:c r="A195" s="47" t="str">
        <x:v>2026-07-24</x:v>
      </x:c>
      <x:c r="B195" s="48" t="str">
        <x:v>PL036</x:v>
      </x:c>
      <x:c r="C195" s="48" t="str">
        <x:v>V01</x:v>
      </x:c>
      <x:c r="D195" s="48" t="str">
        <x:v>PL036_广东梅州磁性材料有限公司顺德分公司迁扩建项目</x:v>
      </x:c>
      <x:c r="E195" s="48" t="str">
        <x:v>广东梅州磁性材料有限公司顺德分公司迁扩建项目</x:v>
      </x:c>
      <x:c r="F195" s="48" t="str">
        <x:v>PL036_V01_Q03</x:v>
      </x:c>
      <x:c r="G195" s="48" t="str">
        <x:v>环评投资核算</x:v>
      </x:c>
      <x:c r="H195" s="48" t="str">
        <x:v>请根据报告中的总投资、环保投资和环保工程投资明细，判断环保投资核算是否前后一致、比例是否正确。</x:v>
      </x:c>
      <x:c r="I195" s="48" t="str">
        <x:v>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x:v>
      </x:c>
      <x:c r="J195" s="48" t="str">
        <x:v>二、建设项目工程分析投资说明；表2-10：总投资300万元、环保投资18万元、占比6%；分项合计18万元。来源：解析文本拼接_02_021-040(3).md</x:v>
      </x:c>
      <x:c r="K195" s="48" t="str">
        <x:v>报告原文-环保投资明细表</x:v>
      </x:c>
      <x:c r="L195" s="48" t="str">
        <x:v>2</x:v>
      </x:c>
      <x:c r="M195" s="48" t="str">
        <x:v>2</x:v>
      </x:c>
      <x:c r="N195" s="48" t="str">
        <x:v>False</x:v>
      </x:c>
      <x:c r="O195" s="48" t="str">
        <x:v>需复核</x:v>
      </x:c>
      <x:c r="P195" s="48"/>
      <x:c r="Q195" s="48"/>
      <x:c r="R195" s="48"/>
      <x:c r="S195" s="48" t="str">
        <x:v>是</x:v>
      </x:c>
      <x:c r="T195" s="48"/>
      <x:c r="U195" s="48" t="str">
        <x:v>30个PL_环评投资核算QA</x:v>
      </x:c>
      <x:c r="V195" s="48" t="str">
        <x:v>环评投资概算</x:v>
      </x:c>
      <x:c r="W195" s="48" t="str">
        <x:v>需复核</x:v>
      </x:c>
      <x:c r="X195" s="48" t="str">
        <x:v>证据不足</x:v>
      </x:c>
      <x:c r="Y195" s="64"/>
      <x:c r="Z195" s="64" t="str">
        <x:v>未复核</x:v>
      </x:c>
      <x:c r="AA195" s="64" t="str">
        <x:v>不足</x:v>
      </x:c>
      <x:c r="AB195" s="64" t="str">
        <x:v>有效</x:v>
      </x:c>
      <x:c r="AC195" s="64" t="str">
        <x:v>不需要外部依据</x:v>
      </x:c>
      <x:c r="AD195" s="64" t="str">
        <x:v>自动默认</x:v>
      </x:c>
      <x:c r="AE195" s="64" t="str">
        <x:v>候选池</x:v>
      </x:c>
      <x:c r="AF195" s="64" t="str">
        <x:v>B_证据不足</x:v>
      </x:c>
      <x:c r="AG195" s="64"/>
      <x:c r="AH195" s="64"/>
      <x:c r="AI195" s="64"/>
      <x:c r="AJ195" s="64"/>
      <x:c r="AK195" s="64"/>
      <x:c r="AL195" s="64"/>
      <x:c r="AM195" s="64"/>
      <x:c r="AN195" s="48" t="str">
        <x:v>195</x:v>
      </x:c>
      <x:c r="AO195" s="48" t="str">
        <x:v>MAP_需复核+EVIDENCE_INSUFFICIENCY_SIGNAL</x:v>
      </x:c>
      <x:c r="AP195" s="48" t="str">
        <x:v>原结论明确要求人工复核；命中证据不足候选词：无法核对；投资复核主要依据报告内金额与算式</x:v>
      </x:c>
      <x:c r="AQ195" s="64"/>
      <x:c r="AR195" s="48" t="str">
        <x:v>environmental_investment</x:v>
      </x:c>
      <x:c r="AS195" s="48" t="str">
        <x:v>L2_application</x:v>
      </x:c>
      <x:c r="AT195" s="48" t="str">
        <x:v>quantitative_verification</x:v>
      </x:c>
      <x:c r="AU195" s="48" t="str">
        <x:v>numerical_accuracy</x:v>
      </x:c>
      <x:c r="AV195" s="48" t="str">
        <x:v>report_grounding；procedural_reasoning</x:v>
      </x:c>
      <x:c r="AW195" s="48" t="str">
        <x:v>low</x:v>
      </x:c>
      <x:c r="AX195" s="48" t="str">
        <x:v>medium</x:v>
      </x:c>
      <x:c r="AY195" s="48" t="str">
        <x:v>cross_section</x:v>
      </x:c>
      <x:c r="AZ195" s="48" t="str">
        <x:v>True</x:v>
      </x:c>
      <x:c r="BA195" s="48"/>
      <x:c r="BB195" s="48" t="str">
        <x:v>auto_default</x:v>
      </x:c>
      <x:c r="BC195" s="48" t="str">
        <x:v>v1</x:v>
      </x:c>
      <x:c r="BD195" s="68"/>
    </x:row>
    <x:row r="196" ht="36" customHeight="1">
      <x:c r="A196" s="47" t="str">
        <x:v>2026-06-25</x:v>
      </x:c>
      <x:c r="B196" s="48" t="str">
        <x:v>PL037</x:v>
      </x:c>
      <x:c r="C196" s="48" t="str">
        <x:v>V01</x:v>
      </x:c>
      <x:c r="D196" s="48" t="str">
        <x:v>年11月13日建设项目环境影响报告受理公告（大良）.pdf</x:v>
      </x:c>
      <x:c r="E196" s="48" t="str">
        <x:v>佛山麦琪科技有限公司建设项目</x:v>
      </x:c>
      <x:c r="F196" s="48" t="str">
        <x:v>PL037_V01_Q01</x:v>
      </x:c>
      <x:c r="G196" s="48" t="str">
        <x:v>1. 塑胶行业样本筛选与国民经济行业分类</x:v>
      </x:c>
      <x:c r="H196" s="48" t="str">
        <x:v>请结合项目产品、原辅材料和生产工艺，判断该报告行业类别是否基本合理。</x:v>
      </x:c>
      <x:c r="I196" s="48" t="str">
        <x:v>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x:v>
      </x:c>
      <x:c r="J196" s="48"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196" s="48" t="str">
        <x:v>《国民经济行业分类》(GB/T 4754—2017)；本任务C292筛选及C17/C18排除规则</x:v>
      </x:c>
      <x:c r="L196" s="48" t="str">
        <x:v>结合本项目行业代码、建设性质、工艺关键词及PDF证据生成，非脱离项目的通用题。</x:v>
      </x:c>
      <x:c r="M196" s="48" t="str">
        <x:v>可依据对应PDF原文、工程分析表格及所列法规标准逐项复核。</x:v>
      </x:c>
      <x:c r="N196" s="48" t="str">
        <x:v>True</x:v>
      </x:c>
      <x:c r="O196" s="48"/>
      <x:c r="P196" s="48"/>
      <x:c r="Q196" s="48"/>
      <x:c r="R196" s="48" t="str">
        <x:v>新增</x:v>
      </x:c>
      <x:c r="S196" s="48" t="str">
        <x:v>是</x:v>
      </x:c>
      <x:c r="T196" s="48" t="str">
        <x:v>自动生成；需人工复核项目参数、公式取值、标准适用范围及PDF文字提取完整性。</x:v>
      </x:c>
      <x:c r="U196" s="48" t="str">
        <x:v>seed_qa_塑胶行业筛选版_30个国民经济行业分类的人工标记</x:v>
      </x:c>
      <x:c r="V196" s="48" t="str">
        <x:v>国民经济行业分类</x:v>
      </x:c>
      <x:c r="W196" s="48"/>
      <x:c r="X196" s="48" t="str">
        <x:v>待判断</x:v>
      </x:c>
      <x:c r="Y196" s="64"/>
      <x:c r="Z196" s="64" t="str">
        <x:v>未复核</x:v>
      </x:c>
      <x:c r="AA196" s="64" t="str">
        <x:v>部分充分</x:v>
      </x:c>
      <x:c r="AB196" s="64" t="str">
        <x:v>待判断</x:v>
      </x:c>
      <x:c r="AC196" s="64" t="str">
        <x:v>部分核验</x:v>
      </x:c>
      <x:c r="AD196" s="64" t="str">
        <x:v>自动默认</x:v>
      </x:c>
      <x:c r="AE196" s="64" t="str">
        <x:v>候选池</x:v>
      </x:c>
      <x:c r="AF196" s="64" t="str">
        <x:v>C_题目或材料问题</x:v>
      </x:c>
      <x:c r="AG196" s="64"/>
      <x:c r="AH196" s="64"/>
      <x:c r="AI196" s="64"/>
      <x:c r="AJ196" s="64"/>
      <x:c r="AK196" s="64"/>
      <x:c r="AL196" s="64"/>
      <x:c r="AM196" s="64"/>
      <x:c r="AN196" s="48" t="str">
        <x:v>196</x:v>
      </x:c>
      <x:c r="AO196" s="48" t="str">
        <x:v>MAP_BLANK</x:v>
      </x:c>
      <x:c r="AP196" s="48" t="str">
        <x:v>人工判断为空：不得自动补填结论；人工判断为空；结构完整但原因需人工确认；存在报告证据，但尚未经人工逐项核验；已列依据来源，但未在本阶段逐条核验</x:v>
      </x:c>
      <x:c r="AQ196" s="64"/>
      <x:c r="AR196" s="48" t="str">
        <x:v>industry_classification</x:v>
      </x:c>
      <x:c r="AS196" s="48" t="str">
        <x:v>L3_analysis</x:v>
      </x:c>
      <x:c r="AT196" s="48" t="str">
        <x:v>multi_evidence_synthesis</x:v>
      </x:c>
      <x:c r="AU196" s="48" t="str">
        <x:v>evidence_integration</x:v>
      </x:c>
      <x:c r="AV196" s="48" t="str">
        <x:v>report_grounding；basis_grounding</x:v>
      </x:c>
      <x:c r="AW196" s="48" t="str">
        <x:v>high</x:v>
      </x:c>
      <x:c r="AX196" s="48" t="str">
        <x:v>high</x:v>
      </x:c>
      <x:c r="AY196" s="48" t="str">
        <x:v>cross_section</x:v>
      </x:c>
      <x:c r="AZ196" s="48" t="str">
        <x:v>True</x:v>
      </x:c>
      <x:c r="BA196" s="48"/>
      <x:c r="BB196" s="48" t="str">
        <x:v>auto_default</x:v>
      </x:c>
      <x:c r="BC196" s="48" t="str">
        <x:v>v1</x:v>
      </x:c>
      <x:c r="BD196" s="68"/>
    </x:row>
    <x:row r="197" ht="36" customHeight="1">
      <x:c r="A197" s="47" t="str">
        <x:v>2026-07-24</x:v>
      </x:c>
      <x:c r="B197" s="48" t="str">
        <x:v>PL037</x:v>
      </x:c>
      <x:c r="C197" s="48" t="str">
        <x:v>V01</x:v>
      </x:c>
      <x:c r="D197" s="48" t="str">
        <x:v>PL037_佛山麦琪科技有限公司建设项目</x:v>
      </x:c>
      <x:c r="E197" s="48" t="str">
        <x:v>佛山麦琪科技有限公司建设项目</x:v>
      </x:c>
      <x:c r="F197" s="48" t="str">
        <x:v>PL037_V01_Q03</x:v>
      </x:c>
      <x:c r="G197" s="48" t="str">
        <x:v>环评投资核算</x:v>
      </x:c>
      <x:c r="H197" s="48" t="str">
        <x:v>请根据报告中的总投资、环保投资和环保工程投资明细，判断环保投资核算是否前后一致、比例是否正确。</x:v>
      </x:c>
      <x:c r="I197" s="48" t="str">
        <x:v>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x:v>
      </x:c>
      <x:c r="J197" s="48" t="str">
        <x:v>一、建设项目基本情况：占比20%。来源：解析文本拼接_02_021-040(3).md</x:v>
      </x:c>
      <x:c r="K197" s="48" t="str">
        <x:v>报告原文-环保投资明细表</x:v>
      </x:c>
      <x:c r="L197" s="48" t="str">
        <x:v>2</x:v>
      </x:c>
      <x:c r="M197" s="48" t="str">
        <x:v>2</x:v>
      </x:c>
      <x:c r="N197" s="48" t="str">
        <x:v>False</x:v>
      </x:c>
      <x:c r="O197" s="48" t="str">
        <x:v>需复核</x:v>
      </x:c>
      <x:c r="P197" s="48"/>
      <x:c r="Q197" s="48"/>
      <x:c r="R197" s="48"/>
      <x:c r="S197" s="48" t="str">
        <x:v>是</x:v>
      </x:c>
      <x:c r="T197" s="48"/>
      <x:c r="U197" s="48" t="str">
        <x:v>30个PL_环评投资核算QA</x:v>
      </x:c>
      <x:c r="V197" s="48" t="str">
        <x:v>环评投资概算</x:v>
      </x:c>
      <x:c r="W197" s="48" t="str">
        <x:v>需复核</x:v>
      </x:c>
      <x:c r="X197" s="48" t="str">
        <x:v>证据不足</x:v>
      </x:c>
      <x:c r="Y197" s="64"/>
      <x:c r="Z197" s="64" t="str">
        <x:v>未复核</x:v>
      </x:c>
      <x:c r="AA197" s="64" t="str">
        <x:v>不足</x:v>
      </x:c>
      <x:c r="AB197" s="64" t="str">
        <x:v>有效</x:v>
      </x:c>
      <x:c r="AC197" s="64" t="str">
        <x:v>不需要外部依据</x:v>
      </x:c>
      <x:c r="AD197" s="64" t="str">
        <x:v>自动默认</x:v>
      </x:c>
      <x:c r="AE197" s="64" t="str">
        <x:v>候选池</x:v>
      </x:c>
      <x:c r="AF197" s="64" t="str">
        <x:v>B_证据不足</x:v>
      </x:c>
      <x:c r="AG197" s="64"/>
      <x:c r="AH197" s="64"/>
      <x:c r="AI197" s="64"/>
      <x:c r="AJ197" s="64"/>
      <x:c r="AK197" s="64"/>
      <x:c r="AL197" s="64"/>
      <x:c r="AM197" s="64"/>
      <x:c r="AN197" s="48" t="str">
        <x:v>197</x:v>
      </x:c>
      <x:c r="AO197" s="48" t="str">
        <x:v>MAP_需复核+EVIDENCE_INSUFFICIENCY_SIGNAL</x:v>
      </x:c>
      <x:c r="AP197" s="48" t="str">
        <x:v>原结论明确要求人工复核；命中证据不足候选词：未检索到；投资复核主要依据报告内金额与算式</x:v>
      </x:c>
      <x:c r="AQ197" s="64"/>
      <x:c r="AR197" s="48" t="str">
        <x:v>environmental_investment</x:v>
      </x:c>
      <x:c r="AS197" s="48" t="str">
        <x:v>L2_application</x:v>
      </x:c>
      <x:c r="AT197" s="48" t="str">
        <x:v>quantitative_verification</x:v>
      </x:c>
      <x:c r="AU197" s="48" t="str">
        <x:v>numerical_accuracy</x:v>
      </x:c>
      <x:c r="AV197" s="48" t="str">
        <x:v>report_grounding；procedural_reasoning</x:v>
      </x:c>
      <x:c r="AW197" s="48" t="str">
        <x:v>low</x:v>
      </x:c>
      <x:c r="AX197" s="48" t="str">
        <x:v>medium</x:v>
      </x:c>
      <x:c r="AY197" s="48" t="str">
        <x:v>cross_section</x:v>
      </x:c>
      <x:c r="AZ197" s="48" t="str">
        <x:v>True</x:v>
      </x:c>
      <x:c r="BA197" s="48"/>
      <x:c r="BB197" s="48" t="str">
        <x:v>auto_default</x:v>
      </x:c>
      <x:c r="BC197" s="48" t="str">
        <x:v>v1</x:v>
      </x:c>
      <x:c r="BD197" s="68"/>
    </x:row>
    <x:row r="198" ht="36" customHeight="1">
      <x:c r="A198" s="47" t="str">
        <x:v>2026-06-25</x:v>
      </x:c>
      <x:c r="B198" s="48" t="str">
        <x:v>PL038</x:v>
      </x:c>
      <x:c r="C198" s="48" t="str">
        <x:v>V01</x:v>
      </x:c>
      <x:c r="D198" s="48" t="str">
        <x:v>年11月13日建设项目环境影响报告表受理公告（伦教）_2.pdf</x:v>
      </x:c>
      <x:c r="E198" s="48" t="str">
        <x:v>佛山市顺德区晟昂电子科技有限公司新建项目</x:v>
      </x:c>
      <x:c r="F198" s="48" t="str">
        <x:v>PL038_V01_Q01</x:v>
      </x:c>
      <x:c r="G198" s="48" t="str">
        <x:v>1. 塑胶行业样本筛选与国民经济行业分类</x:v>
      </x:c>
      <x:c r="H198" s="48" t="str">
        <x:v>请结合项目产品、原辅材料和生产工艺，判断该报告行业类别是否基本合理。</x:v>
      </x:c>
      <x:c r="I198" s="48" t="str">
        <x:v>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x:v>
      </x:c>
      <x:c r="J198" s="48" t="str">
        <x:v>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v>
      </x:c>
      <x:c r="K198" s="48" t="str">
        <x:v>《国民经济行业分类》(GB/T 4754—2017)；本任务C292筛选及C17/C18排除规则</x:v>
      </x:c>
      <x:c r="L198" s="48" t="str">
        <x:v>结合本项目行业代码、建设性质、工艺关键词及PDF证据生成，非脱离项目的通用题。</x:v>
      </x:c>
      <x:c r="M198" s="48" t="str">
        <x:v>可依据对应PDF原文、工程分析表格及所列法规标准逐项复核。</x:v>
      </x:c>
      <x:c r="N198" s="48" t="str">
        <x:v>True</x:v>
      </x:c>
      <x:c r="O198" s="48"/>
      <x:c r="P198" s="48"/>
      <x:c r="Q198" s="48"/>
      <x:c r="R198" s="48" t="str">
        <x:v>新增</x:v>
      </x:c>
      <x:c r="S198" s="48" t="str">
        <x:v>是</x:v>
      </x:c>
      <x:c r="T198" s="48" t="str">
        <x:v>自动生成；需人工复核项目参数、公式取值、标准适用范围及PDF文字提取完整性。</x:v>
      </x:c>
      <x:c r="U198" s="48" t="str">
        <x:v>seed_qa_塑胶行业筛选版_30个国民经济行业分类的人工标记</x:v>
      </x:c>
      <x:c r="V198" s="48" t="str">
        <x:v>国民经济行业分类</x:v>
      </x:c>
      <x:c r="W198" s="48"/>
      <x:c r="X198" s="48" t="str">
        <x:v>待判断</x:v>
      </x:c>
      <x:c r="Y198" s="64"/>
      <x:c r="Z198" s="64" t="str">
        <x:v>未复核</x:v>
      </x:c>
      <x:c r="AA198" s="64" t="str">
        <x:v>部分充分</x:v>
      </x:c>
      <x:c r="AB198" s="64" t="str">
        <x:v>待判断</x:v>
      </x:c>
      <x:c r="AC198" s="64" t="str">
        <x:v>部分核验</x:v>
      </x:c>
      <x:c r="AD198" s="64" t="str">
        <x:v>自动默认</x:v>
      </x:c>
      <x:c r="AE198" s="64" t="str">
        <x:v>候选池</x:v>
      </x:c>
      <x:c r="AF198" s="64" t="str">
        <x:v>C_题目或材料问题</x:v>
      </x:c>
      <x:c r="AG198" s="64"/>
      <x:c r="AH198" s="64"/>
      <x:c r="AI198" s="64"/>
      <x:c r="AJ198" s="64"/>
      <x:c r="AK198" s="64"/>
      <x:c r="AL198" s="64"/>
      <x:c r="AM198" s="64"/>
      <x:c r="AN198" s="48" t="str">
        <x:v>198</x:v>
      </x:c>
      <x:c r="AO198" s="48" t="str">
        <x:v>MAP_BLANK</x:v>
      </x:c>
      <x:c r="AP198" s="48" t="str">
        <x:v>人工判断为空：不得自动补填结论；人工判断为空；结构完整但原因需人工确认；存在报告证据，但尚未经人工逐项核验；已列依据来源，但未在本阶段逐条核验</x:v>
      </x:c>
      <x:c r="AQ198" s="64"/>
      <x:c r="AR198" s="48" t="str">
        <x:v>industry_classification</x:v>
      </x:c>
      <x:c r="AS198" s="48" t="str">
        <x:v>L3_analysis</x:v>
      </x:c>
      <x:c r="AT198" s="48" t="str">
        <x:v>multi_evidence_synthesis</x:v>
      </x:c>
      <x:c r="AU198" s="48" t="str">
        <x:v>evidence_integration</x:v>
      </x:c>
      <x:c r="AV198" s="48" t="str">
        <x:v>report_grounding；basis_grounding</x:v>
      </x:c>
      <x:c r="AW198" s="48" t="str">
        <x:v>high</x:v>
      </x:c>
      <x:c r="AX198" s="48" t="str">
        <x:v>high</x:v>
      </x:c>
      <x:c r="AY198" s="48" t="str">
        <x:v>cross_section</x:v>
      </x:c>
      <x:c r="AZ198" s="48" t="str">
        <x:v>True</x:v>
      </x:c>
      <x:c r="BA198" s="48"/>
      <x:c r="BB198" s="48" t="str">
        <x:v>auto_default</x:v>
      </x:c>
      <x:c r="BC198" s="48" t="str">
        <x:v>v1</x:v>
      </x:c>
      <x:c r="BD198" s="68"/>
    </x:row>
    <x:row r="199" ht="36" customHeight="1">
      <x:c r="A199" s="47" t="str">
        <x:v>2026-07-24</x:v>
      </x:c>
      <x:c r="B199" s="48" t="str">
        <x:v>PL038</x:v>
      </x:c>
      <x:c r="C199" s="48" t="str">
        <x:v>V01</x:v>
      </x:c>
      <x:c r="D199" s="48" t="str">
        <x:v>PL038_佛山市顺德区晟昂电子科技有限公司新建项目</x:v>
      </x:c>
      <x:c r="E199" s="48" t="str">
        <x:v>佛山市顺德区晟昂电子科技有限公司新建项目</x:v>
      </x:c>
      <x:c r="F199" s="48" t="str">
        <x:v>PL038_V01_Q03</x:v>
      </x:c>
      <x:c r="G199" s="48" t="str">
        <x:v>环评投资核算</x:v>
      </x:c>
      <x:c r="H199" s="48" t="str">
        <x:v>请根据报告中的总投资、环保投资和环保工程投资明细，判断环保投资核算是否前后一致、比例是否正确。</x:v>
      </x:c>
      <x:c r="I199" s="48" t="str">
        <x:v>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x:v>
      </x:c>
      <x:c r="J199" s="48" t="str">
        <x:v>一、建设项目基本情况；表2-10：总投资200万元、环保投资10万元、占比5%；分项合计10万元。来源：解析文本拼接_02_021-040(3).md</x:v>
      </x:c>
      <x:c r="K199" s="48" t="str">
        <x:v>报告原文-环保投资明细表</x:v>
      </x:c>
      <x:c r="L199" s="48" t="str">
        <x:v>2</x:v>
      </x:c>
      <x:c r="M199" s="48" t="str">
        <x:v>2</x:v>
      </x:c>
      <x:c r="N199" s="48" t="str">
        <x:v>False</x:v>
      </x:c>
      <x:c r="O199" s="48" t="str">
        <x:v>正确</x:v>
      </x:c>
      <x:c r="P199" s="48"/>
      <x:c r="Q199" s="48"/>
      <x:c r="R199" s="48"/>
      <x:c r="S199" s="48" t="str">
        <x:v>否</x:v>
      </x:c>
      <x:c r="T199" s="48"/>
      <x:c r="U199" s="48" t="str">
        <x:v>30个PL_环评投资核算QA</x:v>
      </x:c>
      <x:c r="V199" s="48" t="str">
        <x:v>环评投资概算</x:v>
      </x:c>
      <x:c r="W199" s="48" t="str">
        <x:v>正确</x:v>
      </x:c>
      <x:c r="X199" s="48" t="str">
        <x:v>无误</x:v>
      </x:c>
      <x:c r="Y199" s="64"/>
      <x:c r="Z199" s="64" t="str">
        <x:v>未复核</x:v>
      </x:c>
      <x:c r="AA199" s="64" t="str">
        <x:v>部分充分</x:v>
      </x:c>
      <x:c r="AB199" s="64" t="str">
        <x:v>有效</x:v>
      </x:c>
      <x:c r="AC199" s="64" t="str">
        <x:v>不需要外部依据</x:v>
      </x:c>
      <x:c r="AD199" s="64" t="str">
        <x:v>自动默认</x:v>
      </x:c>
      <x:c r="AE199" s="64" t="str">
        <x:v>候选池</x:v>
      </x:c>
      <x:c r="AF199" s="64" t="str">
        <x:v>待分流</x:v>
      </x:c>
      <x:c r="AG199" s="64"/>
      <x:c r="AH199" s="64"/>
      <x:c r="AI199" s="64"/>
      <x:c r="AJ199" s="64"/>
      <x:c r="AK199" s="64"/>
      <x:c r="AL199" s="64"/>
      <x:c r="AM199" s="64"/>
      <x:c r="AN199" s="48" t="str">
        <x:v>199</x:v>
      </x:c>
      <x:c r="AO199" s="48" t="str">
        <x:v>MAP_正确</x:v>
      </x:c>
      <x:c r="AP199" s="48" t="str">
        <x:v>存在报告证据，但尚未经人工逐项核验；投资复核主要依据报告内金额与算式</x:v>
      </x:c>
      <x:c r="AQ199" s="64"/>
      <x:c r="AR199" s="48" t="str">
        <x:v>environmental_investment</x:v>
      </x:c>
      <x:c r="AS199" s="48" t="str">
        <x:v>L2_application</x:v>
      </x:c>
      <x:c r="AT199" s="48" t="str">
        <x:v>quantitative_verification</x:v>
      </x:c>
      <x:c r="AU199" s="48" t="str">
        <x:v>numerical_accuracy</x:v>
      </x:c>
      <x:c r="AV199" s="48" t="str">
        <x:v>report_grounding；procedural_reasoning</x:v>
      </x:c>
      <x:c r="AW199" s="48" t="str">
        <x:v>low</x:v>
      </x:c>
      <x:c r="AX199" s="48" t="str">
        <x:v>medium</x:v>
      </x:c>
      <x:c r="AY199" s="48" t="str">
        <x:v>cross_section</x:v>
      </x:c>
      <x:c r="AZ199" s="48" t="str">
        <x:v>True</x:v>
      </x:c>
      <x:c r="BA199" s="48"/>
      <x:c r="BB199" s="48" t="str">
        <x:v>auto_default</x:v>
      </x:c>
      <x:c r="BC199" s="48" t="str">
        <x:v>v1</x:v>
      </x:c>
      <x:c r="BD199" s="68"/>
    </x:row>
    <x:row r="200" ht="36" customHeight="1">
      <x:c r="A200" s="47" t="str">
        <x:v>2026-06-25</x:v>
      </x:c>
      <x:c r="B200" s="48" t="str">
        <x:v>PL039</x:v>
      </x:c>
      <x:c r="C200" s="48" t="str">
        <x:v>V01</x:v>
      </x:c>
      <x:c r="D200" s="48" t="str">
        <x:v>年11月14日建设项目环境影响报告受理公告（大良）_1.pdf</x:v>
      </x:c>
      <x:c r="E200" s="48" t="str">
        <x:v>佛山市锦汇塑料制品有限公司新建项目</x:v>
      </x:c>
      <x:c r="F200" s="48" t="str">
        <x:v>PL039_V01_Q01</x:v>
      </x:c>
      <x:c r="G200" s="48" t="str">
        <x:v>1. 塑胶行业样本筛选与国民经济行业分类</x:v>
      </x:c>
      <x:c r="H200" s="48" t="str">
        <x:v>请结合项目产品、原辅材料和生产工艺，判断该报告行业类别是否基本合理。</x:v>
      </x:c>
      <x:c r="I200" s="48" t="str">
        <x:v>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x:v>
      </x:c>
      <x:c r="J200" s="48"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200" s="48" t="str">
        <x:v>《国民经济行业分类》(GB/T 4754—2017)；本任务C292筛选及C17/C18排除规则</x:v>
      </x:c>
      <x:c r="L200" s="48" t="str">
        <x:v>结合本项目行业代码、建设性质、工艺关键词及PDF证据生成，非脱离项目的通用题。</x:v>
      </x:c>
      <x:c r="M200" s="48" t="str">
        <x:v>可依据对应PDF原文、工程分析表格及所列法规标准逐项复核。</x:v>
      </x:c>
      <x:c r="N200" s="48" t="str">
        <x:v>True</x:v>
      </x:c>
      <x:c r="O200" s="48"/>
      <x:c r="P200" s="48"/>
      <x:c r="Q200" s="48"/>
      <x:c r="R200" s="48" t="str">
        <x:v>新增</x:v>
      </x:c>
      <x:c r="S200" s="48" t="str">
        <x:v>是</x:v>
      </x:c>
      <x:c r="T200" s="48" t="str">
        <x:v>自动生成；需人工复核项目参数、公式取值、标准适用范围及PDF文字提取完整性。</x:v>
      </x:c>
      <x:c r="U200" s="48" t="str">
        <x:v>seed_qa_塑胶行业筛选版_30个国民经济行业分类的人工标记</x:v>
      </x:c>
      <x:c r="V200" s="48" t="str">
        <x:v>国民经济行业分类</x:v>
      </x:c>
      <x:c r="W200" s="48"/>
      <x:c r="X200" s="48" t="str">
        <x:v>待判断</x:v>
      </x:c>
      <x:c r="Y200" s="64"/>
      <x:c r="Z200" s="64" t="str">
        <x:v>未复核</x:v>
      </x:c>
      <x:c r="AA200" s="64" t="str">
        <x:v>部分充分</x:v>
      </x:c>
      <x:c r="AB200" s="64" t="str">
        <x:v>待判断</x:v>
      </x:c>
      <x:c r="AC200" s="64" t="str">
        <x:v>部分核验</x:v>
      </x:c>
      <x:c r="AD200" s="64" t="str">
        <x:v>自动默认</x:v>
      </x:c>
      <x:c r="AE200" s="64" t="str">
        <x:v>候选池</x:v>
      </x:c>
      <x:c r="AF200" s="64" t="str">
        <x:v>C_题目或材料问题</x:v>
      </x:c>
      <x:c r="AG200" s="64"/>
      <x:c r="AH200" s="64"/>
      <x:c r="AI200" s="64"/>
      <x:c r="AJ200" s="64"/>
      <x:c r="AK200" s="64"/>
      <x:c r="AL200" s="64"/>
      <x:c r="AM200" s="64"/>
      <x:c r="AN200" s="48" t="str">
        <x:v>200</x:v>
      </x:c>
      <x:c r="AO200" s="48" t="str">
        <x:v>MAP_BLANK</x:v>
      </x:c>
      <x:c r="AP200" s="48" t="str">
        <x:v>人工判断为空：不得自动补填结论；人工判断为空；结构完整但原因需人工确认；存在报告证据，但尚未经人工逐项核验；已列依据来源，但未在本阶段逐条核验</x:v>
      </x:c>
      <x:c r="AQ200" s="64"/>
      <x:c r="AR200" s="48" t="str">
        <x:v>industry_classification</x:v>
      </x:c>
      <x:c r="AS200" s="48" t="str">
        <x:v>L3_analysis</x:v>
      </x:c>
      <x:c r="AT200" s="48" t="str">
        <x:v>multi_evidence_synthesis</x:v>
      </x:c>
      <x:c r="AU200" s="48" t="str">
        <x:v>evidence_integration</x:v>
      </x:c>
      <x:c r="AV200" s="48" t="str">
        <x:v>report_grounding；basis_grounding</x:v>
      </x:c>
      <x:c r="AW200" s="48" t="str">
        <x:v>high</x:v>
      </x:c>
      <x:c r="AX200" s="48" t="str">
        <x:v>high</x:v>
      </x:c>
      <x:c r="AY200" s="48" t="str">
        <x:v>cross_section</x:v>
      </x:c>
      <x:c r="AZ200" s="48" t="str">
        <x:v>True</x:v>
      </x:c>
      <x:c r="BA200" s="48"/>
      <x:c r="BB200" s="48" t="str">
        <x:v>auto_default</x:v>
      </x:c>
      <x:c r="BC200" s="48" t="str">
        <x:v>v1</x:v>
      </x:c>
      <x:c r="BD200" s="68"/>
    </x:row>
    <x:row r="201" ht="36" customHeight="1">
      <x:c r="A201" s="47" t="str">
        <x:v>2026-07-24</x:v>
      </x:c>
      <x:c r="B201" s="48" t="str">
        <x:v>PL039</x:v>
      </x:c>
      <x:c r="C201" s="48" t="str">
        <x:v>V01</x:v>
      </x:c>
      <x:c r="D201" s="48" t="str">
        <x:v>PL039_佛山市锦汇塑料制品有限公司新建项目</x:v>
      </x:c>
      <x:c r="E201" s="48" t="str">
        <x:v>佛山市锦汇塑料制品有限公司新建项目</x:v>
      </x:c>
      <x:c r="F201" s="48" t="str">
        <x:v>PL039_V01_Q03</x:v>
      </x:c>
      <x:c r="G201" s="48" t="str">
        <x:v>环评投资核算</x:v>
      </x:c>
      <x:c r="H201" s="48" t="str">
        <x:v>请根据报告中的总投资、环保投资和环保工程投资明细，判断环保投资核算是否前后一致、比例是否正确。</x:v>
      </x:c>
      <x:c r="I201" s="48" t="str">
        <x:v>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x:v>
      </x:c>
      <x:c r="J201" s="48" t="str">
        <x:v>二、建设项目工程分析投资说明；表2-10：总投资100万元、环保投资20万元、占比20%；分项合计20万元。来源：解析文本拼接_02_021-040(3).md</x:v>
      </x:c>
      <x:c r="K201" s="48" t="str">
        <x:v>报告原文-环保投资明细表</x:v>
      </x:c>
      <x:c r="L201" s="48" t="str">
        <x:v>2</x:v>
      </x:c>
      <x:c r="M201" s="48" t="str">
        <x:v>2</x:v>
      </x:c>
      <x:c r="N201" s="48" t="str">
        <x:v>False</x:v>
      </x:c>
      <x:c r="O201" s="48" t="str">
        <x:v>需复核</x:v>
      </x:c>
      <x:c r="P201" s="48"/>
      <x:c r="Q201" s="48"/>
      <x:c r="R201" s="48"/>
      <x:c r="S201" s="48" t="str">
        <x:v>是</x:v>
      </x:c>
      <x:c r="T201" s="48"/>
      <x:c r="U201" s="48" t="str">
        <x:v>30个PL_环评投资核算QA</x:v>
      </x:c>
      <x:c r="V201" s="48" t="str">
        <x:v>环评投资概算</x:v>
      </x:c>
      <x:c r="W201" s="48" t="str">
        <x:v>需复核</x:v>
      </x:c>
      <x:c r="X201" s="48" t="str">
        <x:v>证据不足</x:v>
      </x:c>
      <x:c r="Y201" s="64"/>
      <x:c r="Z201" s="64" t="str">
        <x:v>未复核</x:v>
      </x:c>
      <x:c r="AA201" s="64" t="str">
        <x:v>不足</x:v>
      </x:c>
      <x:c r="AB201" s="64" t="str">
        <x:v>有效</x:v>
      </x:c>
      <x:c r="AC201" s="64" t="str">
        <x:v>不需要外部依据</x:v>
      </x:c>
      <x:c r="AD201" s="64" t="str">
        <x:v>自动默认</x:v>
      </x:c>
      <x:c r="AE201" s="64" t="str">
        <x:v>候选池</x:v>
      </x:c>
      <x:c r="AF201" s="64" t="str">
        <x:v>B_证据不足</x:v>
      </x:c>
      <x:c r="AG201" s="64"/>
      <x:c r="AH201" s="64"/>
      <x:c r="AI201" s="64"/>
      <x:c r="AJ201" s="64"/>
      <x:c r="AK201" s="64"/>
      <x:c r="AL201" s="64"/>
      <x:c r="AM201" s="64"/>
      <x:c r="AN201" s="48" t="str">
        <x:v>201</x:v>
      </x:c>
      <x:c r="AO201" s="48" t="str">
        <x:v>MAP_需复核+EVIDENCE_INSUFFICIENCY_SIGNAL</x:v>
      </x:c>
      <x:c r="AP201" s="48" t="str">
        <x:v>原结论明确要求人工复核；命中证据不足候选词：无法核对；投资复核主要依据报告内金额与算式</x:v>
      </x:c>
      <x:c r="AQ201" s="64"/>
      <x:c r="AR201" s="48" t="str">
        <x:v>environmental_investment</x:v>
      </x:c>
      <x:c r="AS201" s="48" t="str">
        <x:v>L2_application</x:v>
      </x:c>
      <x:c r="AT201" s="48" t="str">
        <x:v>quantitative_verification</x:v>
      </x:c>
      <x:c r="AU201" s="48" t="str">
        <x:v>numerical_accuracy</x:v>
      </x:c>
      <x:c r="AV201" s="48" t="str">
        <x:v>report_grounding；procedural_reasoning</x:v>
      </x:c>
      <x:c r="AW201" s="48" t="str">
        <x:v>low</x:v>
      </x:c>
      <x:c r="AX201" s="48" t="str">
        <x:v>medium</x:v>
      </x:c>
      <x:c r="AY201" s="48" t="str">
        <x:v>cross_section</x:v>
      </x:c>
      <x:c r="AZ201" s="48" t="str">
        <x:v>True</x:v>
      </x:c>
      <x:c r="BA201" s="48"/>
      <x:c r="BB201" s="48" t="str">
        <x:v>auto_default</x:v>
      </x:c>
      <x:c r="BC201" s="48" t="str">
        <x:v>v1</x:v>
      </x:c>
      <x:c r="BD201" s="68"/>
    </x:row>
    <x:row r="202" ht="36" customHeight="1">
      <x:c r="A202" s="47" t="str">
        <x:v>2026-06-25</x:v>
      </x:c>
      <x:c r="B202" s="48" t="str">
        <x:v>PL040</x:v>
      </x:c>
      <x:c r="C202" s="48" t="str">
        <x:v>V01</x:v>
      </x:c>
      <x:c r="D202" s="48" t="str">
        <x:v>年11月14日建设项目环境影响报告受理公告（大良）_2.pdf</x:v>
      </x:c>
      <x:c r="E202" s="48" t="str">
        <x:v>佛山市海川塑料制品有限公司新建项目</x:v>
      </x:c>
      <x:c r="F202" s="48" t="str">
        <x:v>PL040_V01_Q01</x:v>
      </x:c>
      <x:c r="G202" s="48" t="str">
        <x:v>1. 塑胶行业样本筛选与国民经济行业分类</x:v>
      </x:c>
      <x:c r="H202" s="48" t="str">
        <x:v>请结合项目产品、原辅材料和生产工艺，判断该报告行业类别是否基本合理。</x:v>
      </x:c>
      <x:c r="I202" s="48" t="str">
        <x:v>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x:v>
      </x:c>
      <x:c r="J202" s="48"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202" s="48" t="str">
        <x:v>《国民经济行业分类》(GB/T 4754—2017)；本任务C292筛选及C17/C18排除规则</x:v>
      </x:c>
      <x:c r="L202" s="48" t="str">
        <x:v>结合本项目行业代码、建设性质、工艺关键词及PDF证据生成，非脱离项目的通用题。</x:v>
      </x:c>
      <x:c r="M202" s="48" t="str">
        <x:v>可依据对应PDF原文、工程分析表格及所列法规标准逐项复核。</x:v>
      </x:c>
      <x:c r="N202" s="48" t="str">
        <x:v>True</x:v>
      </x:c>
      <x:c r="O202" s="48"/>
      <x:c r="P202" s="48"/>
      <x:c r="Q202" s="48"/>
      <x:c r="R202" s="48" t="str">
        <x:v>新增</x:v>
      </x:c>
      <x:c r="S202" s="48" t="str">
        <x:v>是</x:v>
      </x:c>
      <x:c r="T202" s="48" t="str">
        <x:v>自动生成；需人工复核项目参数、公式取值、标准适用范围及PDF文字提取完整性。</x:v>
      </x:c>
      <x:c r="U202" s="48" t="str">
        <x:v>seed_qa_塑胶行业筛选版_30个国民经济行业分类的人工标记</x:v>
      </x:c>
      <x:c r="V202" s="48" t="str">
        <x:v>国民经济行业分类</x:v>
      </x:c>
      <x:c r="W202" s="48"/>
      <x:c r="X202" s="48" t="str">
        <x:v>待判断</x:v>
      </x:c>
      <x:c r="Y202" s="64"/>
      <x:c r="Z202" s="64" t="str">
        <x:v>未复核</x:v>
      </x:c>
      <x:c r="AA202" s="64" t="str">
        <x:v>部分充分</x:v>
      </x:c>
      <x:c r="AB202" s="64" t="str">
        <x:v>待判断</x:v>
      </x:c>
      <x:c r="AC202" s="64" t="str">
        <x:v>部分核验</x:v>
      </x:c>
      <x:c r="AD202" s="64" t="str">
        <x:v>自动默认</x:v>
      </x:c>
      <x:c r="AE202" s="64" t="str">
        <x:v>候选池</x:v>
      </x:c>
      <x:c r="AF202" s="64" t="str">
        <x:v>C_题目或材料问题</x:v>
      </x:c>
      <x:c r="AG202" s="64"/>
      <x:c r="AH202" s="64"/>
      <x:c r="AI202" s="64"/>
      <x:c r="AJ202" s="64"/>
      <x:c r="AK202" s="64"/>
      <x:c r="AL202" s="64"/>
      <x:c r="AM202" s="64"/>
      <x:c r="AN202" s="48" t="str">
        <x:v>202</x:v>
      </x:c>
      <x:c r="AO202" s="48" t="str">
        <x:v>MAP_BLANK</x:v>
      </x:c>
      <x:c r="AP202" s="48" t="str">
        <x:v>人工判断为空：不得自动补填结论；人工判断为空；结构完整但原因需人工确认；存在报告证据，但尚未经人工逐项核验；已列依据来源，但未在本阶段逐条核验</x:v>
      </x:c>
      <x:c r="AQ202" s="64"/>
      <x:c r="AR202" s="48" t="str">
        <x:v>industry_classification</x:v>
      </x:c>
      <x:c r="AS202" s="48" t="str">
        <x:v>L3_analysis</x:v>
      </x:c>
      <x:c r="AT202" s="48" t="str">
        <x:v>multi_evidence_synthesis</x:v>
      </x:c>
      <x:c r="AU202" s="48" t="str">
        <x:v>evidence_integration</x:v>
      </x:c>
      <x:c r="AV202" s="48" t="str">
        <x:v>report_grounding；basis_grounding</x:v>
      </x:c>
      <x:c r="AW202" s="48" t="str">
        <x:v>high</x:v>
      </x:c>
      <x:c r="AX202" s="48" t="str">
        <x:v>high</x:v>
      </x:c>
      <x:c r="AY202" s="48" t="str">
        <x:v>cross_section</x:v>
      </x:c>
      <x:c r="AZ202" s="48" t="str">
        <x:v>True</x:v>
      </x:c>
      <x:c r="BA202" s="48"/>
      <x:c r="BB202" s="48" t="str">
        <x:v>auto_default</x:v>
      </x:c>
      <x:c r="BC202" s="48" t="str">
        <x:v>v1</x:v>
      </x:c>
      <x:c r="BD202" s="68"/>
    </x:row>
    <x:row r="203" ht="36" customHeight="1">
      <x:c r="A203" s="47" t="str">
        <x:v>2026-07-24</x:v>
      </x:c>
      <x:c r="B203" s="48" t="str">
        <x:v>PL040</x:v>
      </x:c>
      <x:c r="C203" s="48" t="str">
        <x:v>V01</x:v>
      </x:c>
      <x:c r="D203" s="48" t="str">
        <x:v>PL040_佛山市海川塑料制品有限公司新建项目</x:v>
      </x:c>
      <x:c r="E203" s="48" t="str">
        <x:v>佛山市海川塑料制品有限公司新建项目</x:v>
      </x:c>
      <x:c r="F203" s="48" t="str">
        <x:v>PL040_V01_Q03</x:v>
      </x:c>
      <x:c r="G203" s="48" t="str">
        <x:v>环评投资核算</x:v>
      </x:c>
      <x:c r="H203" s="48" t="str">
        <x:v>请根据报告中的总投资、环保投资和环保工程投资明细，判断环保投资核算是否前后一致、比例是否正确。</x:v>
      </x:c>
      <x:c r="I203" s="48" t="str">
        <x:v>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x:v>
      </x:c>
      <x:c r="J203" s="48" t="str">
        <x:v>二、建设项目工程分析主要指标；表12：总投资100万元、环保投资10万元、占比10%；分项合计10万元。来源：解析文本拼接_02_021-040(3).md</x:v>
      </x:c>
      <x:c r="K203" s="48" t="str">
        <x:v>报告原文-环保投资明细表</x:v>
      </x:c>
      <x:c r="L203" s="48" t="str">
        <x:v>2</x:v>
      </x:c>
      <x:c r="M203" s="48" t="str">
        <x:v>2</x:v>
      </x:c>
      <x:c r="N203" s="48" t="str">
        <x:v>False</x:v>
      </x:c>
      <x:c r="O203" s="48" t="str">
        <x:v>需复核</x:v>
      </x:c>
      <x:c r="P203" s="48"/>
      <x:c r="Q203" s="48"/>
      <x:c r="R203" s="48"/>
      <x:c r="S203" s="48" t="str">
        <x:v>是</x:v>
      </x:c>
      <x:c r="T203" s="48"/>
      <x:c r="U203" s="48" t="str">
        <x:v>30个PL_环评投资核算QA</x:v>
      </x:c>
      <x:c r="V203" s="48" t="str">
        <x:v>环评投资概算</x:v>
      </x:c>
      <x:c r="W203" s="48" t="str">
        <x:v>需复核</x:v>
      </x:c>
      <x:c r="X203" s="48" t="str">
        <x:v>证据不足</x:v>
      </x:c>
      <x:c r="Y203" s="64"/>
      <x:c r="Z203" s="64" t="str">
        <x:v>未复核</x:v>
      </x:c>
      <x:c r="AA203" s="64" t="str">
        <x:v>不足</x:v>
      </x:c>
      <x:c r="AB203" s="64" t="str">
        <x:v>有效</x:v>
      </x:c>
      <x:c r="AC203" s="64" t="str">
        <x:v>不需要外部依据</x:v>
      </x:c>
      <x:c r="AD203" s="64" t="str">
        <x:v>自动默认</x:v>
      </x:c>
      <x:c r="AE203" s="64" t="str">
        <x:v>候选池</x:v>
      </x:c>
      <x:c r="AF203" s="64" t="str">
        <x:v>B_证据不足</x:v>
      </x:c>
      <x:c r="AG203" s="64"/>
      <x:c r="AH203" s="64"/>
      <x:c r="AI203" s="64"/>
      <x:c r="AJ203" s="64"/>
      <x:c r="AK203" s="64"/>
      <x:c r="AL203" s="64"/>
      <x:c r="AM203" s="64"/>
      <x:c r="AN203" s="48" t="str">
        <x:v>203</x:v>
      </x:c>
      <x:c r="AO203" s="48" t="str">
        <x:v>MAP_需复核+EVIDENCE_INSUFFICIENCY_SIGNAL</x:v>
      </x:c>
      <x:c r="AP203" s="48" t="str">
        <x:v>原结论明确要求人工复核；命中证据不足候选词：无法核对；投资复核主要依据报告内金额与算式</x:v>
      </x:c>
      <x:c r="AQ203" s="64"/>
      <x:c r="AR203" s="48" t="str">
        <x:v>environmental_investment</x:v>
      </x:c>
      <x:c r="AS203" s="48" t="str">
        <x:v>L2_application</x:v>
      </x:c>
      <x:c r="AT203" s="48" t="str">
        <x:v>quantitative_verification</x:v>
      </x:c>
      <x:c r="AU203" s="48" t="str">
        <x:v>numerical_accuracy</x:v>
      </x:c>
      <x:c r="AV203" s="48" t="str">
        <x:v>report_grounding；procedural_reasoning</x:v>
      </x:c>
      <x:c r="AW203" s="48" t="str">
        <x:v>low</x:v>
      </x:c>
      <x:c r="AX203" s="48" t="str">
        <x:v>medium</x:v>
      </x:c>
      <x:c r="AY203" s="48" t="str">
        <x:v>cross_section</x:v>
      </x:c>
      <x:c r="AZ203" s="48" t="str">
        <x:v>True</x:v>
      </x:c>
      <x:c r="BA203" s="48"/>
      <x:c r="BB203" s="48" t="str">
        <x:v>auto_default</x:v>
      </x:c>
      <x:c r="BC203" s="48" t="str">
        <x:v>v1</x:v>
      </x:c>
      <x:c r="BD203" s="68"/>
    </x:row>
    <x:row r="204" ht="36" customHeight="1">
      <x:c r="A204" s="47" t="str">
        <x:v>2026-06-25</x:v>
      </x:c>
      <x:c r="B204" s="48" t="str">
        <x:v>PL041</x:v>
      </x:c>
      <x:c r="C204" s="48" t="str">
        <x:v>V01</x:v>
      </x:c>
      <x:c r="D204" s="48" t="str">
        <x:v>年11月15日建设项目环境影响报告书（表）受理公告（佛山市生态环境局顺德分局）_4.pdf</x:v>
      </x:c>
      <x:c r="E204" s="48" t="str">
        <x:v>佛山市创灏五金塑料有限公司年产塑料制品 1250 万件迁改扩建项目</x:v>
      </x:c>
      <x:c r="F204" s="48" t="str">
        <x:v>PL041_V01_Q01</x:v>
      </x:c>
      <x:c r="G204" s="48" t="str">
        <x:v>1. 塑胶行业样本筛选与国民经济行业分类</x:v>
      </x:c>
      <x:c r="H204" s="48" t="str">
        <x:v>请结合项目产品、原辅材料和生产工艺，判断该报告行业类别是否基本合理。</x:v>
      </x:c>
      <x:c r="I204" s="48" t="str">
        <x:v>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x:v>
      </x:c>
      <x:c r="J204" s="48"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204" s="48" t="str">
        <x:v>《国民经济行业分类》(GB/T 4754—2017)；本任务C292筛选及C17/C18排除规则</x:v>
      </x:c>
      <x:c r="L204" s="48" t="str">
        <x:v>结合本项目行业代码、建设性质、工艺关键词及PDF证据生成，非脱离项目的通用题。</x:v>
      </x:c>
      <x:c r="M204" s="48" t="str">
        <x:v>可依据对应PDF原文、工程分析表格及所列法规标准逐项复核。</x:v>
      </x:c>
      <x:c r="N204" s="48" t="str">
        <x:v>True</x:v>
      </x:c>
      <x:c r="O204" s="48"/>
      <x:c r="P204" s="48"/>
      <x:c r="Q204" s="48"/>
      <x:c r="R204" s="48" t="str">
        <x:v>新增</x:v>
      </x:c>
      <x:c r="S204" s="48" t="str">
        <x:v>是</x:v>
      </x:c>
      <x:c r="T204" s="48" t="str">
        <x:v>自动生成；需人工复核项目参数、公式取值、标准适用范围及PDF文字提取完整性。</x:v>
      </x:c>
      <x:c r="U204" s="48" t="str">
        <x:v>seed_qa_塑胶行业筛选版_30个国民经济行业分类的人工标记</x:v>
      </x:c>
      <x:c r="V204" s="48" t="str">
        <x:v>国民经济行业分类</x:v>
      </x:c>
      <x:c r="W204" s="48"/>
      <x:c r="X204" s="48" t="str">
        <x:v>待判断</x:v>
      </x:c>
      <x:c r="Y204" s="64"/>
      <x:c r="Z204" s="64" t="str">
        <x:v>未复核</x:v>
      </x:c>
      <x:c r="AA204" s="64" t="str">
        <x:v>部分充分</x:v>
      </x:c>
      <x:c r="AB204" s="64" t="str">
        <x:v>待判断</x:v>
      </x:c>
      <x:c r="AC204" s="64" t="str">
        <x:v>部分核验</x:v>
      </x:c>
      <x:c r="AD204" s="64" t="str">
        <x:v>自动默认</x:v>
      </x:c>
      <x:c r="AE204" s="64" t="str">
        <x:v>候选池</x:v>
      </x:c>
      <x:c r="AF204" s="64" t="str">
        <x:v>C_题目或材料问题</x:v>
      </x:c>
      <x:c r="AG204" s="64"/>
      <x:c r="AH204" s="64"/>
      <x:c r="AI204" s="64"/>
      <x:c r="AJ204" s="64"/>
      <x:c r="AK204" s="64"/>
      <x:c r="AL204" s="64"/>
      <x:c r="AM204" s="64"/>
      <x:c r="AN204" s="48" t="str">
        <x:v>204</x:v>
      </x:c>
      <x:c r="AO204" s="48" t="str">
        <x:v>MAP_BLANK</x:v>
      </x:c>
      <x:c r="AP204" s="48" t="str">
        <x:v>人工判断为空：不得自动补填结论；人工判断为空；结构完整但原因需人工确认；存在报告证据，但尚未经人工逐项核验；已列依据来源，但未在本阶段逐条核验</x:v>
      </x:c>
      <x:c r="AQ204" s="64"/>
      <x:c r="AR204" s="48" t="str">
        <x:v>industry_classification</x:v>
      </x:c>
      <x:c r="AS204" s="48" t="str">
        <x:v>L3_analysis</x:v>
      </x:c>
      <x:c r="AT204" s="48" t="str">
        <x:v>multi_evidence_synthesis</x:v>
      </x:c>
      <x:c r="AU204" s="48" t="str">
        <x:v>evidence_integration</x:v>
      </x:c>
      <x:c r="AV204" s="48" t="str">
        <x:v>report_grounding；basis_grounding</x:v>
      </x:c>
      <x:c r="AW204" s="48" t="str">
        <x:v>high</x:v>
      </x:c>
      <x:c r="AX204" s="48" t="str">
        <x:v>high</x:v>
      </x:c>
      <x:c r="AY204" s="48" t="str">
        <x:v>cross_section</x:v>
      </x:c>
      <x:c r="AZ204" s="48" t="str">
        <x:v>True</x:v>
      </x:c>
      <x:c r="BA204" s="48"/>
      <x:c r="BB204" s="48" t="str">
        <x:v>auto_default</x:v>
      </x:c>
      <x:c r="BC204" s="48" t="str">
        <x:v>v1</x:v>
      </x:c>
      <x:c r="BD204" s="68"/>
    </x:row>
    <x:row r="205" ht="36" customHeight="1">
      <x:c r="A205" s="47" t="str">
        <x:v>2026-07-24</x:v>
      </x:c>
      <x:c r="B205" s="48" t="str">
        <x:v>PL041</x:v>
      </x:c>
      <x:c r="C205" s="48" t="str">
        <x:v>V01</x:v>
      </x:c>
      <x:c r="D205" s="48" t="str">
        <x:v>PL041_佛山市创灏五金塑料有限公司年产塑料制品1250万件迁改扩建项目</x:v>
      </x:c>
      <x:c r="E205" s="48" t="str">
        <x:v>佛山市创灏五金塑料有限公司年产塑料制品1250万件迁改扩建项目</x:v>
      </x:c>
      <x:c r="F205" s="48" t="str">
        <x:v>PL041_V01_Q03</x:v>
      </x:c>
      <x:c r="G205" s="48" t="str">
        <x:v>环评投资核算</x:v>
      </x:c>
      <x:c r="H205" s="48" t="str">
        <x:v>请根据报告中的总投资、环保投资和环保工程投资明细，判断环保投资核算是否前后一致、比例是否正确。</x:v>
      </x:c>
      <x:c r="I205" s="48" t="str">
        <x:v>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x:v>
      </x:c>
      <x:c r="J205" s="48" t="str">
        <x:v>一、建设项目基本情况；二、建设项目工程分析：总投资200万元、环保投资10万元、占比5%。来源：解析文本拼接_02_021-040(3).md</x:v>
      </x:c>
      <x:c r="K205" s="48" t="str">
        <x:v>报告原文-环保投资明细表</x:v>
      </x:c>
      <x:c r="L205" s="48" t="str">
        <x:v>2</x:v>
      </x:c>
      <x:c r="M205" s="48" t="str">
        <x:v>2</x:v>
      </x:c>
      <x:c r="N205" s="48" t="str">
        <x:v>False</x:v>
      </x:c>
      <x:c r="O205" s="48" t="str">
        <x:v>需复核</x:v>
      </x:c>
      <x:c r="P205" s="48"/>
      <x:c r="Q205" s="48"/>
      <x:c r="R205" s="48"/>
      <x:c r="S205" s="48" t="str">
        <x:v>是</x:v>
      </x:c>
      <x:c r="T205" s="48"/>
      <x:c r="U205" s="48" t="str">
        <x:v>30个PL_环评投资核算QA</x:v>
      </x:c>
      <x:c r="V205" s="48" t="str">
        <x:v>环评投资概算</x:v>
      </x:c>
      <x:c r="W205" s="48" t="str">
        <x:v>需复核</x:v>
      </x:c>
      <x:c r="X205" s="48" t="str">
        <x:v>证据不足</x:v>
      </x:c>
      <x:c r="Y205" s="64"/>
      <x:c r="Z205" s="64" t="str">
        <x:v>未复核</x:v>
      </x:c>
      <x:c r="AA205" s="64" t="str">
        <x:v>不足</x:v>
      </x:c>
      <x:c r="AB205" s="64" t="str">
        <x:v>有效</x:v>
      </x:c>
      <x:c r="AC205" s="64" t="str">
        <x:v>不需要外部依据</x:v>
      </x:c>
      <x:c r="AD205" s="64" t="str">
        <x:v>自动默认</x:v>
      </x:c>
      <x:c r="AE205" s="64" t="str">
        <x:v>候选池</x:v>
      </x:c>
      <x:c r="AF205" s="64" t="str">
        <x:v>B_证据不足</x:v>
      </x:c>
      <x:c r="AG205" s="64"/>
      <x:c r="AH205" s="64"/>
      <x:c r="AI205" s="64"/>
      <x:c r="AJ205" s="64"/>
      <x:c r="AK205" s="64"/>
      <x:c r="AL205" s="64"/>
      <x:c r="AM205" s="64"/>
      <x:c r="AN205" s="48" t="str">
        <x:v>205</x:v>
      </x:c>
      <x:c r="AO205" s="48" t="str">
        <x:v>MAP_需复核+EVIDENCE_INSUFFICIENCY_SIGNAL</x:v>
      </x:c>
      <x:c r="AP205" s="48" t="str">
        <x:v>原结论明确要求人工复核；命中证据不足候选词：未检索到、无法核对；投资复核主要依据报告内金额与算式</x:v>
      </x:c>
      <x:c r="AQ205" s="64"/>
      <x:c r="AR205" s="48" t="str">
        <x:v>environmental_investment</x:v>
      </x:c>
      <x:c r="AS205" s="48" t="str">
        <x:v>L2_application</x:v>
      </x:c>
      <x:c r="AT205" s="48" t="str">
        <x:v>quantitative_verification</x:v>
      </x:c>
      <x:c r="AU205" s="48" t="str">
        <x:v>numerical_accuracy</x:v>
      </x:c>
      <x:c r="AV205" s="48" t="str">
        <x:v>report_grounding；procedural_reasoning</x:v>
      </x:c>
      <x:c r="AW205" s="48" t="str">
        <x:v>low</x:v>
      </x:c>
      <x:c r="AX205" s="48" t="str">
        <x:v>medium</x:v>
      </x:c>
      <x:c r="AY205" s="48" t="str">
        <x:v>cross_section</x:v>
      </x:c>
      <x:c r="AZ205" s="48" t="str">
        <x:v>True</x:v>
      </x:c>
      <x:c r="BA205" s="48"/>
      <x:c r="BB205" s="48" t="str">
        <x:v>auto_default</x:v>
      </x:c>
      <x:c r="BC205" s="48" t="str">
        <x:v>v1</x:v>
      </x:c>
      <x:c r="BD205" s="68"/>
    </x:row>
    <x:row r="206" ht="36" customHeight="1">
      <x:c r="A206" s="47" t="str">
        <x:v>2026-06-25</x:v>
      </x:c>
      <x:c r="B206" s="48" t="str">
        <x:v>PL042</x:v>
      </x:c>
      <x:c r="C206" s="48" t="str">
        <x:v>V01</x:v>
      </x:c>
      <x:c r="D206" s="48" t="str">
        <x:v>年11月19日建设项目环境影响报告书（表）受理公告（佛山市生态环境局顺德分局）_1.pdf</x:v>
      </x:c>
      <x:c r="E206" s="48" t="str">
        <x:v>佛山市顺德区夏瑞塑胶有限公司迁扩建项目</x:v>
      </x:c>
      <x:c r="F206" s="48" t="str">
        <x:v>PL042_V01_Q01</x:v>
      </x:c>
      <x:c r="G206" s="48" t="str">
        <x:v>1. 塑胶行业样本筛选与国民经济行业分类</x:v>
      </x:c>
      <x:c r="H206" s="48" t="str">
        <x:v>请结合项目产品、原辅材料和生产工艺，判断该报告行业类别是否基本合理。</x:v>
      </x:c>
      <x:c r="I206" s="48" t="str">
        <x:v>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x:v>
      </x:c>
      <x:c r="J206" s="48"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206" s="48" t="str">
        <x:v>《国民经济行业分类》(GB/T 4754—2017)；本任务C292筛选及C17/C18排除规则</x:v>
      </x:c>
      <x:c r="L206" s="48" t="str">
        <x:v>结合本项目行业代码、建设性质、工艺关键词及PDF证据生成，非脱离项目的通用题。</x:v>
      </x:c>
      <x:c r="M206" s="48" t="str">
        <x:v>可依据对应PDF原文、工程分析表格及所列法规标准逐项复核。</x:v>
      </x:c>
      <x:c r="N206" s="48" t="str">
        <x:v>True</x:v>
      </x:c>
      <x:c r="O206" s="48"/>
      <x:c r="P206" s="48"/>
      <x:c r="Q206" s="48"/>
      <x:c r="R206" s="48" t="str">
        <x:v>新增</x:v>
      </x:c>
      <x:c r="S206" s="48" t="str">
        <x:v>是</x:v>
      </x:c>
      <x:c r="T206" s="48" t="str">
        <x:v>自动生成；需人工复核项目参数、公式取值、标准适用范围及PDF文字提取完整性。</x:v>
      </x:c>
      <x:c r="U206" s="48" t="str">
        <x:v>seed_qa_塑胶行业筛选版_30个国民经济行业分类的人工标记</x:v>
      </x:c>
      <x:c r="V206" s="48" t="str">
        <x:v>国民经济行业分类</x:v>
      </x:c>
      <x:c r="W206" s="48"/>
      <x:c r="X206" s="48" t="str">
        <x:v>待判断</x:v>
      </x:c>
      <x:c r="Y206" s="64"/>
      <x:c r="Z206" s="64" t="str">
        <x:v>未复核</x:v>
      </x:c>
      <x:c r="AA206" s="64" t="str">
        <x:v>部分充分</x:v>
      </x:c>
      <x:c r="AB206" s="64" t="str">
        <x:v>待判断</x:v>
      </x:c>
      <x:c r="AC206" s="64" t="str">
        <x:v>部分核验</x:v>
      </x:c>
      <x:c r="AD206" s="64" t="str">
        <x:v>自动默认</x:v>
      </x:c>
      <x:c r="AE206" s="64" t="str">
        <x:v>候选池</x:v>
      </x:c>
      <x:c r="AF206" s="64" t="str">
        <x:v>C_题目或材料问题</x:v>
      </x:c>
      <x:c r="AG206" s="64"/>
      <x:c r="AH206" s="64"/>
      <x:c r="AI206" s="64"/>
      <x:c r="AJ206" s="64"/>
      <x:c r="AK206" s="64"/>
      <x:c r="AL206" s="64"/>
      <x:c r="AM206" s="64"/>
      <x:c r="AN206" s="48" t="str">
        <x:v>206</x:v>
      </x:c>
      <x:c r="AO206" s="48" t="str">
        <x:v>MAP_BLANK</x:v>
      </x:c>
      <x:c r="AP206" s="48" t="str">
        <x:v>人工判断为空：不得自动补填结论；人工判断为空；结构完整但原因需人工确认；存在报告证据，但尚未经人工逐项核验；已列依据来源，但未在本阶段逐条核验</x:v>
      </x:c>
      <x:c r="AQ206" s="64"/>
      <x:c r="AR206" s="48" t="str">
        <x:v>industry_classification</x:v>
      </x:c>
      <x:c r="AS206" s="48" t="str">
        <x:v>L3_analysis</x:v>
      </x:c>
      <x:c r="AT206" s="48" t="str">
        <x:v>multi_evidence_synthesis</x:v>
      </x:c>
      <x:c r="AU206" s="48" t="str">
        <x:v>evidence_integration</x:v>
      </x:c>
      <x:c r="AV206" s="48" t="str">
        <x:v>report_grounding；basis_grounding</x:v>
      </x:c>
      <x:c r="AW206" s="48" t="str">
        <x:v>high</x:v>
      </x:c>
      <x:c r="AX206" s="48" t="str">
        <x:v>high</x:v>
      </x:c>
      <x:c r="AY206" s="48" t="str">
        <x:v>cross_section</x:v>
      </x:c>
      <x:c r="AZ206" s="48" t="str">
        <x:v>True</x:v>
      </x:c>
      <x:c r="BA206" s="48"/>
      <x:c r="BB206" s="48" t="str">
        <x:v>auto_default</x:v>
      </x:c>
      <x:c r="BC206" s="48" t="str">
        <x:v>v1</x:v>
      </x:c>
      <x:c r="BD206" s="68"/>
    </x:row>
    <x:row r="207" ht="36" customHeight="1">
      <x:c r="A207" s="47" t="str">
        <x:v>2026-07-24</x:v>
      </x:c>
      <x:c r="B207" s="48" t="str">
        <x:v>PL042</x:v>
      </x:c>
      <x:c r="C207" s="48" t="str">
        <x:v>V01</x:v>
      </x:c>
      <x:c r="D207" s="48" t="str">
        <x:v>PL042_佛山市顺德区晨瑞塑胶有限公司迁扩建项目</x:v>
      </x:c>
      <x:c r="E207" s="48" t="str">
        <x:v>佛山市顺德区晨瑞塑胶有限公司迁扩建项目</x:v>
      </x:c>
      <x:c r="F207" s="48" t="str">
        <x:v>PL042_V01_Q03</x:v>
      </x:c>
      <x:c r="G207" s="48" t="str">
        <x:v>环评投资核算</x:v>
      </x:c>
      <x:c r="H207" s="48" t="str">
        <x:v>请根据报告中的总投资、环保投资和环保工程投资明细，判断环保投资核算是否前后一致、比例是否正确。</x:v>
      </x:c>
      <x:c r="I207" s="48" t="str">
        <x:v>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x:v>
      </x:c>
      <x:c r="J207" s="48" t="str">
        <x:v>一、建设项目基本情况；表2-11：总投资200万元、环保投资20万元、占比10%；分项合计20万元。来源：解析文本拼接_02_021-040(3).md</x:v>
      </x:c>
      <x:c r="K207" s="48" t="str">
        <x:v>报告原文-环保投资明细表</x:v>
      </x:c>
      <x:c r="L207" s="48" t="str">
        <x:v>2</x:v>
      </x:c>
      <x:c r="M207" s="48" t="str">
        <x:v>2</x:v>
      </x:c>
      <x:c r="N207" s="48" t="str">
        <x:v>False</x:v>
      </x:c>
      <x:c r="O207" s="48" t="str">
        <x:v>正确</x:v>
      </x:c>
      <x:c r="P207" s="48"/>
      <x:c r="Q207" s="48"/>
      <x:c r="R207" s="48"/>
      <x:c r="S207" s="48" t="str">
        <x:v>否</x:v>
      </x:c>
      <x:c r="T207" s="48"/>
      <x:c r="U207" s="48" t="str">
        <x:v>30个PL_环评投资核算QA</x:v>
      </x:c>
      <x:c r="V207" s="48" t="str">
        <x:v>环评投资概算</x:v>
      </x:c>
      <x:c r="W207" s="48" t="str">
        <x:v>正确</x:v>
      </x:c>
      <x:c r="X207" s="48" t="str">
        <x:v>无误</x:v>
      </x:c>
      <x:c r="Y207" s="64"/>
      <x:c r="Z207" s="64" t="str">
        <x:v>未复核</x:v>
      </x:c>
      <x:c r="AA207" s="64" t="str">
        <x:v>部分充分</x:v>
      </x:c>
      <x:c r="AB207" s="64" t="str">
        <x:v>有效</x:v>
      </x:c>
      <x:c r="AC207" s="64" t="str">
        <x:v>不需要外部依据</x:v>
      </x:c>
      <x:c r="AD207" s="64" t="str">
        <x:v>自动默认</x:v>
      </x:c>
      <x:c r="AE207" s="64" t="str">
        <x:v>候选池</x:v>
      </x:c>
      <x:c r="AF207" s="64" t="str">
        <x:v>待分流</x:v>
      </x:c>
      <x:c r="AG207" s="64"/>
      <x:c r="AH207" s="64"/>
      <x:c r="AI207" s="64"/>
      <x:c r="AJ207" s="64"/>
      <x:c r="AK207" s="64"/>
      <x:c r="AL207" s="64"/>
      <x:c r="AM207" s="64"/>
      <x:c r="AN207" s="48" t="str">
        <x:v>207</x:v>
      </x:c>
      <x:c r="AO207" s="48" t="str">
        <x:v>MAP_正确</x:v>
      </x:c>
      <x:c r="AP207" s="48" t="str">
        <x:v>存在报告证据，但尚未经人工逐项核验；投资复核主要依据报告内金额与算式</x:v>
      </x:c>
      <x:c r="AQ207" s="64"/>
      <x:c r="AR207" s="48" t="str">
        <x:v>environmental_investment</x:v>
      </x:c>
      <x:c r="AS207" s="48" t="str">
        <x:v>L2_application</x:v>
      </x:c>
      <x:c r="AT207" s="48" t="str">
        <x:v>quantitative_verification</x:v>
      </x:c>
      <x:c r="AU207" s="48" t="str">
        <x:v>numerical_accuracy</x:v>
      </x:c>
      <x:c r="AV207" s="48" t="str">
        <x:v>report_grounding；procedural_reasoning</x:v>
      </x:c>
      <x:c r="AW207" s="48" t="str">
        <x:v>low</x:v>
      </x:c>
      <x:c r="AX207" s="48" t="str">
        <x:v>medium</x:v>
      </x:c>
      <x:c r="AY207" s="48" t="str">
        <x:v>cross_section</x:v>
      </x:c>
      <x:c r="AZ207" s="48" t="str">
        <x:v>True</x:v>
      </x:c>
      <x:c r="BA207" s="48"/>
      <x:c r="BB207" s="48" t="str">
        <x:v>auto_default</x:v>
      </x:c>
      <x:c r="BC207" s="48" t="str">
        <x:v>v1</x:v>
      </x:c>
      <x:c r="BD207" s="68"/>
    </x:row>
    <x:row r="208" ht="36" customHeight="1">
      <x:c r="A208" s="47" t="str">
        <x:v>2026-06-25</x:v>
      </x:c>
      <x:c r="B208" s="48" t="str">
        <x:v>PL043</x:v>
      </x:c>
      <x:c r="C208" s="48" t="str">
        <x:v>V01</x:v>
      </x:c>
      <x:c r="D208" s="48" t="str">
        <x:v>年11月21日建设项目环境影响报告受理公告（大良）.pdf</x:v>
      </x:c>
      <x:c r="E208" s="48" t="str">
        <x:v>佛山市益旭电器有限公司新建项目</x:v>
      </x:c>
      <x:c r="F208" s="48" t="str">
        <x:v>PL043_V01_Q01</x:v>
      </x:c>
      <x:c r="G208" s="48" t="str">
        <x:v>1. 塑胶行业样本筛选与国民经济行业分类</x:v>
      </x:c>
      <x:c r="H208" s="48" t="str">
        <x:v>请结合项目产品、原辅材料和生产工艺，判断该报告行业类别是否基本合理。</x:v>
      </x:c>
      <x:c r="I208" s="48" t="str">
        <x:v>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x:v>
      </x:c>
      <x:c r="J208" s="48"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208" s="48" t="str">
        <x:v>《国民经济行业分类》(GB/T 4754—2017)；本任务C292筛选及C17/C18排除规则</x:v>
      </x:c>
      <x:c r="L208" s="48" t="str">
        <x:v>结合本项目行业代码、建设性质、工艺关键词及PDF证据生成，非脱离项目的通用题。</x:v>
      </x:c>
      <x:c r="M208" s="48" t="str">
        <x:v>可依据对应PDF原文、工程分析表格及所列法规标准逐项复核。</x:v>
      </x:c>
      <x:c r="N208" s="48" t="str">
        <x:v>True</x:v>
      </x:c>
      <x:c r="O208" s="48"/>
      <x:c r="P208" s="48"/>
      <x:c r="Q208" s="48"/>
      <x:c r="R208" s="48" t="str">
        <x:v>新增</x:v>
      </x:c>
      <x:c r="S208" s="48" t="str">
        <x:v>是</x:v>
      </x:c>
      <x:c r="T208" s="48" t="str">
        <x:v>自动生成；需人工复核项目参数、公式取值、标准适用范围及PDF文字提取完整性。</x:v>
      </x:c>
      <x:c r="U208" s="48" t="str">
        <x:v>seed_qa_塑胶行业筛选版_30个国民经济行业分类的人工标记</x:v>
      </x:c>
      <x:c r="V208" s="48" t="str">
        <x:v>国民经济行业分类</x:v>
      </x:c>
      <x:c r="W208" s="48"/>
      <x:c r="X208" s="48" t="str">
        <x:v>待判断</x:v>
      </x:c>
      <x:c r="Y208" s="64"/>
      <x:c r="Z208" s="64" t="str">
        <x:v>未复核</x:v>
      </x:c>
      <x:c r="AA208" s="64" t="str">
        <x:v>部分充分</x:v>
      </x:c>
      <x:c r="AB208" s="64" t="str">
        <x:v>待判断</x:v>
      </x:c>
      <x:c r="AC208" s="64" t="str">
        <x:v>部分核验</x:v>
      </x:c>
      <x:c r="AD208" s="64" t="str">
        <x:v>自动默认</x:v>
      </x:c>
      <x:c r="AE208" s="64" t="str">
        <x:v>候选池</x:v>
      </x:c>
      <x:c r="AF208" s="64" t="str">
        <x:v>C_题目或材料问题</x:v>
      </x:c>
      <x:c r="AG208" s="64"/>
      <x:c r="AH208" s="64"/>
      <x:c r="AI208" s="64"/>
      <x:c r="AJ208" s="64"/>
      <x:c r="AK208" s="64"/>
      <x:c r="AL208" s="64"/>
      <x:c r="AM208" s="64"/>
      <x:c r="AN208" s="48" t="str">
        <x:v>208</x:v>
      </x:c>
      <x:c r="AO208" s="48" t="str">
        <x:v>MAP_BLANK</x:v>
      </x:c>
      <x:c r="AP208" s="48" t="str">
        <x:v>人工判断为空：不得自动补填结论；人工判断为空；结构完整但原因需人工确认；存在报告证据，但尚未经人工逐项核验；已列依据来源，但未在本阶段逐条核验</x:v>
      </x:c>
      <x:c r="AQ208" s="64"/>
      <x:c r="AR208" s="48" t="str">
        <x:v>industry_classification</x:v>
      </x:c>
      <x:c r="AS208" s="48" t="str">
        <x:v>L3_analysis</x:v>
      </x:c>
      <x:c r="AT208" s="48" t="str">
        <x:v>multi_evidence_synthesis</x:v>
      </x:c>
      <x:c r="AU208" s="48" t="str">
        <x:v>evidence_integration</x:v>
      </x:c>
      <x:c r="AV208" s="48" t="str">
        <x:v>report_grounding；basis_grounding</x:v>
      </x:c>
      <x:c r="AW208" s="48" t="str">
        <x:v>high</x:v>
      </x:c>
      <x:c r="AX208" s="48" t="str">
        <x:v>high</x:v>
      </x:c>
      <x:c r="AY208" s="48" t="str">
        <x:v>cross_section</x:v>
      </x:c>
      <x:c r="AZ208" s="48" t="str">
        <x:v>True</x:v>
      </x:c>
      <x:c r="BA208" s="48"/>
      <x:c r="BB208" s="48" t="str">
        <x:v>auto_default</x:v>
      </x:c>
      <x:c r="BC208" s="48" t="str">
        <x:v>v1</x:v>
      </x:c>
      <x:c r="BD208" s="68"/>
    </x:row>
    <x:row r="209" ht="36" customHeight="1">
      <x:c r="A209" s="47" t="str">
        <x:v>2026-07-24</x:v>
      </x:c>
      <x:c r="B209" s="48" t="str">
        <x:v>PL043</x:v>
      </x:c>
      <x:c r="C209" s="48" t="str">
        <x:v>V01</x:v>
      </x:c>
      <x:c r="D209" s="48" t="str">
        <x:v>PL043_佛山市益旭电器有限公司新建项目</x:v>
      </x:c>
      <x:c r="E209" s="48" t="str">
        <x:v>佛山市益旭电器有限公司新建项目</x:v>
      </x:c>
      <x:c r="F209" s="48" t="str">
        <x:v>PL043_V01_Q03</x:v>
      </x:c>
      <x:c r="G209" s="48" t="str">
        <x:v>环评投资核算</x:v>
      </x:c>
      <x:c r="H209" s="48" t="str">
        <x:v>请根据报告中的总投资、环保投资和环保工程投资明细，判断环保投资核算是否前后一致、比例是否正确。</x:v>
      </x:c>
      <x:c r="I209" s="48" t="str">
        <x:v>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x:v>
      </x:c>
      <x:c r="J209" s="48" t="str">
        <x:v>二、建设项目工程分析投资说明；表2-9：总投资200万元、环保投资8万元、占比4%；分项合计8万元。来源：解析文本拼接_03_041-060(3).md</x:v>
      </x:c>
      <x:c r="K209" s="48" t="str">
        <x:v>报告原文-环保投资明细表</x:v>
      </x:c>
      <x:c r="L209" s="48" t="str">
        <x:v>2</x:v>
      </x:c>
      <x:c r="M209" s="48" t="str">
        <x:v>2</x:v>
      </x:c>
      <x:c r="N209" s="48" t="str">
        <x:v>False</x:v>
      </x:c>
      <x:c r="O209" s="48" t="str">
        <x:v>需复核</x:v>
      </x:c>
      <x:c r="P209" s="48"/>
      <x:c r="Q209" s="48"/>
      <x:c r="R209" s="48"/>
      <x:c r="S209" s="48" t="str">
        <x:v>是</x:v>
      </x:c>
      <x:c r="T209" s="48"/>
      <x:c r="U209" s="48" t="str">
        <x:v>30个PL_环评投资核算QA</x:v>
      </x:c>
      <x:c r="V209" s="48" t="str">
        <x:v>环评投资概算</x:v>
      </x:c>
      <x:c r="W209" s="48" t="str">
        <x:v>需复核</x:v>
      </x:c>
      <x:c r="X209" s="48" t="str">
        <x:v>证据不足</x:v>
      </x:c>
      <x:c r="Y209" s="64"/>
      <x:c r="Z209" s="64" t="str">
        <x:v>未复核</x:v>
      </x:c>
      <x:c r="AA209" s="64" t="str">
        <x:v>不足</x:v>
      </x:c>
      <x:c r="AB209" s="64" t="str">
        <x:v>有效</x:v>
      </x:c>
      <x:c r="AC209" s="64" t="str">
        <x:v>不需要外部依据</x:v>
      </x:c>
      <x:c r="AD209" s="64" t="str">
        <x:v>自动默认</x:v>
      </x:c>
      <x:c r="AE209" s="64" t="str">
        <x:v>候选池</x:v>
      </x:c>
      <x:c r="AF209" s="64" t="str">
        <x:v>B_证据不足</x:v>
      </x:c>
      <x:c r="AG209" s="64"/>
      <x:c r="AH209" s="64"/>
      <x:c r="AI209" s="64"/>
      <x:c r="AJ209" s="64"/>
      <x:c r="AK209" s="64"/>
      <x:c r="AL209" s="64"/>
      <x:c r="AM209" s="64"/>
      <x:c r="AN209" s="48" t="str">
        <x:v>209</x:v>
      </x:c>
      <x:c r="AO209" s="48" t="str">
        <x:v>MAP_需复核+EVIDENCE_INSUFFICIENCY_SIGNAL</x:v>
      </x:c>
      <x:c r="AP209" s="48" t="str">
        <x:v>原结论明确要求人工复核；命中证据不足候选词：无法核对；投资复核主要依据报告内金额与算式</x:v>
      </x:c>
      <x:c r="AQ209" s="64"/>
      <x:c r="AR209" s="48" t="str">
        <x:v>environmental_investment</x:v>
      </x:c>
      <x:c r="AS209" s="48" t="str">
        <x:v>L2_application</x:v>
      </x:c>
      <x:c r="AT209" s="48" t="str">
        <x:v>quantitative_verification</x:v>
      </x:c>
      <x:c r="AU209" s="48" t="str">
        <x:v>numerical_accuracy</x:v>
      </x:c>
      <x:c r="AV209" s="48" t="str">
        <x:v>report_grounding；procedural_reasoning</x:v>
      </x:c>
      <x:c r="AW209" s="48" t="str">
        <x:v>low</x:v>
      </x:c>
      <x:c r="AX209" s="48" t="str">
        <x:v>medium</x:v>
      </x:c>
      <x:c r="AY209" s="48" t="str">
        <x:v>cross_section</x:v>
      </x:c>
      <x:c r="AZ209" s="48" t="str">
        <x:v>True</x:v>
      </x:c>
      <x:c r="BA209" s="48"/>
      <x:c r="BB209" s="48" t="str">
        <x:v>auto_default</x:v>
      </x:c>
      <x:c r="BC209" s="48" t="str">
        <x:v>v1</x:v>
      </x:c>
      <x:c r="BD209" s="68"/>
    </x:row>
    <x:row r="210" ht="36" customHeight="1">
      <x:c r="A210" s="47" t="str">
        <x:v>2026-06-25</x:v>
      </x:c>
      <x:c r="B210" s="48" t="str">
        <x:v>PL044</x:v>
      </x:c>
      <x:c r="C210" s="48" t="str">
        <x:v>V01</x:v>
      </x:c>
      <x:c r="D210" s="48" t="str">
        <x:v>年11月29日建设项目环境影响报告书（表）受理公告（佛山市生态环境局顺德分局）_2.pdf</x:v>
      </x:c>
      <x:c r="E210" s="48" t="str">
        <x:v>佛山市昇汇包装材料有限公司新建项目</x:v>
      </x:c>
      <x:c r="F210" s="48" t="str">
        <x:v>PL044_V01_Q01</x:v>
      </x:c>
      <x:c r="G210" s="48" t="str">
        <x:v>1. 塑胶行业样本筛选与国民经济行业分类</x:v>
      </x:c>
      <x:c r="H210" s="48" t="str">
        <x:v>请结合项目产品、原辅材料和生产工艺，判断该报告行业类别是否基本合理。</x:v>
      </x:c>
      <x:c r="I210" s="48" t="str">
        <x:v>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x:v>
      </x:c>
      <x:c r="J210" s="48"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210" s="48" t="str">
        <x:v>《国民经济行业分类》(GB/T 4754—2017)；本任务C292筛选及C17/C18排除规则</x:v>
      </x:c>
      <x:c r="L210" s="48" t="str">
        <x:v>结合本项目行业代码、建设性质、工艺关键词及PDF证据生成，非脱离项目的通用题。</x:v>
      </x:c>
      <x:c r="M210" s="48" t="str">
        <x:v>可依据对应PDF原文、工程分析表格及所列法规标准逐项复核。</x:v>
      </x:c>
      <x:c r="N210" s="48" t="str">
        <x:v>True</x:v>
      </x:c>
      <x:c r="O210" s="48"/>
      <x:c r="P210" s="48"/>
      <x:c r="Q210" s="48"/>
      <x:c r="R210" s="48" t="str">
        <x:v>新增</x:v>
      </x:c>
      <x:c r="S210" s="48" t="str">
        <x:v>是</x:v>
      </x:c>
      <x:c r="T210" s="48" t="str">
        <x:v>自动生成；需人工复核项目参数、公式取值、标准适用范围及PDF文字提取完整性。</x:v>
      </x:c>
      <x:c r="U210" s="48" t="str">
        <x:v>seed_qa_塑胶行业筛选版_30个国民经济行业分类的人工标记</x:v>
      </x:c>
      <x:c r="V210" s="48" t="str">
        <x:v>国民经济行业分类</x:v>
      </x:c>
      <x:c r="W210" s="48"/>
      <x:c r="X210" s="48" t="str">
        <x:v>待判断</x:v>
      </x:c>
      <x:c r="Y210" s="64"/>
      <x:c r="Z210" s="64" t="str">
        <x:v>未复核</x:v>
      </x:c>
      <x:c r="AA210" s="64" t="str">
        <x:v>部分充分</x:v>
      </x:c>
      <x:c r="AB210" s="64" t="str">
        <x:v>待判断</x:v>
      </x:c>
      <x:c r="AC210" s="64" t="str">
        <x:v>部分核验</x:v>
      </x:c>
      <x:c r="AD210" s="64" t="str">
        <x:v>自动默认</x:v>
      </x:c>
      <x:c r="AE210" s="64" t="str">
        <x:v>候选池</x:v>
      </x:c>
      <x:c r="AF210" s="64" t="str">
        <x:v>C_题目或材料问题</x:v>
      </x:c>
      <x:c r="AG210" s="64"/>
      <x:c r="AH210" s="64"/>
      <x:c r="AI210" s="64"/>
      <x:c r="AJ210" s="64"/>
      <x:c r="AK210" s="64"/>
      <x:c r="AL210" s="64"/>
      <x:c r="AM210" s="64"/>
      <x:c r="AN210" s="48" t="str">
        <x:v>210</x:v>
      </x:c>
      <x:c r="AO210" s="48" t="str">
        <x:v>MAP_BLANK</x:v>
      </x:c>
      <x:c r="AP210" s="48" t="str">
        <x:v>人工判断为空：不得自动补填结论；人工判断为空；结构完整但原因需人工确认；存在报告证据，但尚未经人工逐项核验；已列依据来源，但未在本阶段逐条核验</x:v>
      </x:c>
      <x:c r="AQ210" s="64"/>
      <x:c r="AR210" s="48" t="str">
        <x:v>industry_classification</x:v>
      </x:c>
      <x:c r="AS210" s="48" t="str">
        <x:v>L3_analysis</x:v>
      </x:c>
      <x:c r="AT210" s="48" t="str">
        <x:v>multi_evidence_synthesis</x:v>
      </x:c>
      <x:c r="AU210" s="48" t="str">
        <x:v>evidence_integration</x:v>
      </x:c>
      <x:c r="AV210" s="48" t="str">
        <x:v>report_grounding；basis_grounding</x:v>
      </x:c>
      <x:c r="AW210" s="48" t="str">
        <x:v>high</x:v>
      </x:c>
      <x:c r="AX210" s="48" t="str">
        <x:v>high</x:v>
      </x:c>
      <x:c r="AY210" s="48" t="str">
        <x:v>cross_section</x:v>
      </x:c>
      <x:c r="AZ210" s="48" t="str">
        <x:v>True</x:v>
      </x:c>
      <x:c r="BA210" s="48"/>
      <x:c r="BB210" s="48" t="str">
        <x:v>auto_default</x:v>
      </x:c>
      <x:c r="BC210" s="48" t="str">
        <x:v>v1</x:v>
      </x:c>
      <x:c r="BD210" s="68"/>
    </x:row>
    <x:row r="211" ht="36" customHeight="1">
      <x:c r="A211" s="50" t="str">
        <x:v>2026-07-24</x:v>
      </x:c>
      <x:c r="B211" s="51" t="str">
        <x:v>PL044</x:v>
      </x:c>
      <x:c r="C211" s="51" t="str">
        <x:v>V01</x:v>
      </x:c>
      <x:c r="D211" s="51" t="str">
        <x:v>PL044_佛山市昇汇包装材料有限公司新建项目</x:v>
      </x:c>
      <x:c r="E211" s="51" t="str">
        <x:v>佛山市昇汇包装材料有限公司新建项目</x:v>
      </x:c>
      <x:c r="F211" s="51" t="str">
        <x:v>PL044_V01_Q03</x:v>
      </x:c>
      <x:c r="G211" s="51" t="str">
        <x:v>环评投资核算</x:v>
      </x:c>
      <x:c r="H211" s="51" t="str">
        <x:v>请根据报告中的总投资、环保投资和环保工程投资明细，判断环保投资核算是否前后一致、比例是否正确。</x:v>
      </x:c>
      <x:c r="I211" s="51"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211" s="51" t="str">
        <x:v>一、建设项目基本情况：总投资100万元、环保投资10万元、占比10%。来源：解析文本拼接_03_041-060(3).md</x:v>
      </x:c>
      <x:c r="K211" s="51" t="str">
        <x:v>报告原文-环保投资明细表</x:v>
      </x:c>
      <x:c r="L211" s="51" t="str">
        <x:v>2</x:v>
      </x:c>
      <x:c r="M211" s="51" t="str">
        <x:v>2</x:v>
      </x:c>
      <x:c r="N211" s="51" t="str">
        <x:v>False</x:v>
      </x:c>
      <x:c r="O211" s="51" t="str">
        <x:v>需复核</x:v>
      </x:c>
      <x:c r="P211" s="51"/>
      <x:c r="Q211" s="51"/>
      <x:c r="R211" s="51"/>
      <x:c r="S211" s="51" t="str">
        <x:v>是</x:v>
      </x:c>
      <x:c r="T211" s="51"/>
      <x:c r="U211" s="51" t="str">
        <x:v>30个PL_环评投资核算QA</x:v>
      </x:c>
      <x:c r="V211" s="51" t="str">
        <x:v>环评投资概算</x:v>
      </x:c>
      <x:c r="W211" s="51" t="str">
        <x:v>需复核</x:v>
      </x:c>
      <x:c r="X211" s="51" t="str">
        <x:v>证据不足</x:v>
      </x:c>
      <x:c r="Y211" s="65"/>
      <x:c r="Z211" s="65" t="str">
        <x:v>未复核</x:v>
      </x:c>
      <x:c r="AA211" s="65" t="str">
        <x:v>不足</x:v>
      </x:c>
      <x:c r="AB211" s="65" t="str">
        <x:v>有效</x:v>
      </x:c>
      <x:c r="AC211" s="65" t="str">
        <x:v>不需要外部依据</x:v>
      </x:c>
      <x:c r="AD211" s="65" t="str">
        <x:v>自动默认</x:v>
      </x:c>
      <x:c r="AE211" s="65" t="str">
        <x:v>候选池</x:v>
      </x:c>
      <x:c r="AF211" s="65" t="str">
        <x:v>B_证据不足</x:v>
      </x:c>
      <x:c r="AG211" s="65"/>
      <x:c r="AH211" s="65"/>
      <x:c r="AI211" s="65"/>
      <x:c r="AJ211" s="65"/>
      <x:c r="AK211" s="65"/>
      <x:c r="AL211" s="65"/>
      <x:c r="AM211" s="65"/>
      <x:c r="AN211" s="51" t="str">
        <x:v>211</x:v>
      </x:c>
      <x:c r="AO211" s="51" t="str">
        <x:v>MAP_需复核+EVIDENCE_INSUFFICIENCY_SIGNAL</x:v>
      </x:c>
      <x:c r="AP211" s="51" t="str">
        <x:v>原结论明确要求人工复核；命中证据不足候选词：未检索到、无法核对；投资复核主要依据报告内金额与算式</x:v>
      </x:c>
      <x:c r="AQ211" s="65"/>
      <x:c r="AR211" s="51" t="str">
        <x:v>environmental_investment</x:v>
      </x:c>
      <x:c r="AS211" s="51" t="str">
        <x:v>L2_application</x:v>
      </x:c>
      <x:c r="AT211" s="51" t="str">
        <x:v>quantitative_verification</x:v>
      </x:c>
      <x:c r="AU211" s="51" t="str">
        <x:v>numerical_accuracy</x:v>
      </x:c>
      <x:c r="AV211" s="51" t="str">
        <x:v>report_grounding；procedural_reasoning</x:v>
      </x:c>
      <x:c r="AW211" s="51" t="str">
        <x:v>low</x:v>
      </x:c>
      <x:c r="AX211" s="51" t="str">
        <x:v>medium</x:v>
      </x:c>
      <x:c r="AY211" s="51" t="str">
        <x:v>cross_section</x:v>
      </x:c>
      <x:c r="AZ211" s="51" t="str">
        <x:v>True</x:v>
      </x:c>
      <x:c r="BA211" s="51"/>
      <x:c r="BB211" s="51" t="str">
        <x:v>auto_default</x:v>
      </x:c>
      <x:c r="BC211" s="51" t="str">
        <x:v>v1</x:v>
      </x:c>
      <x:c r="BD211" s="69"/>
    </x:row>
  </x:sheetData>
  <x:conditionalFormatting sqref="AP2:AP211">
    <x:cfRule type="expression" dxfId="0" priority="1">
      <x:formula>LEN(AP2)&gt;0</x:formula>
    </x:cfRule>
  </x:conditionalFormatting>
  <x:conditionalFormatting sqref="AA2:AA211">
    <x:cfRule type="cellIs" dxfId="1" priority="2" operator="equal">
      <x:formula>"不足"</x:formula>
    </x:cfRule>
  </x:conditionalFormatting>
  <x:conditionalFormatting sqref="Z2:Z211">
    <x:cfRule type="cellIs" dxfId="2" priority="3" operator="equal">
      <x:formula>"已冻结"</x:formula>
    </x:cfRule>
  </x:conditionalFormatting>
  <x:dataValidations count="8">
    <x:dataValidation type="list" sqref="Y2:Y211">
      <x:formula1>"无误,存在错误,存在缺漏,证据不足,需人工复核,待判断"</x:formula1>
    </x:dataValidation>
    <x:dataValidation type="list" sqref="Z2:Z211">
      <x:formula1>"未复核,一审完成,二审完成,已裁决,已冻结,排除"</x:formula1>
    </x:dataValidation>
    <x:dataValidation type="list" sqref="AA2:AA211">
      <x:formula1>"充分,部分充分,不足,原始材料缺失,待判断"</x:formula1>
    </x:dataValidation>
    <x:dataValidation type="list" sqref="AB2:AB211">
      <x:formula1>"有效,表述歧义,字段错位,题答不匹配,重复,原始材料缺失,排除,待判断"</x:formula1>
    </x:dataValidation>
    <x:dataValidation type="list" sqref="AC2:AC211">
      <x:formula1>"已核验,部分核验,未核验,不需要外部依据,待判断"</x:formula1>
    </x:dataValidation>
    <x:dataValidation type="list" sqref="AD2:AD211">
      <x:formula1>"自动默认,人工确认,人工覆盖"</x:formula1>
    </x:dataValidation>
    <x:dataValidation type="list" sqref="AE2:AE211">
      <x:formula1>"候选池,趋势实验候选,趋势实验冻结,正式实验候选,正式实验冻结,排除"</x:formula1>
    </x:dataValidation>
    <x:dataValidation type="list" sqref="AF2:AF211">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b264bd39d49b4a5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2026-06-17</x:v>
      </x:c>
      <x:c r="B2" s="48" t="str">
        <x:v>PL001</x:v>
      </x:c>
      <x:c r="C2" s="48" t="str">
        <x:v>V01</x:v>
      </x:c>
      <x:c r="D2" s="48" t="str">
        <x:v>佛山市亮正新材料有限公司新建项目.docx</x:v>
      </x:c>
      <x:c r="E2" s="48" t="str">
        <x:v>佛山市亮正新材料有限公司新建项目</x:v>
      </x:c>
      <x:c r="F2" s="48" t="str">
        <x:v>PL001_V01_Q01</x:v>
      </x:c>
      <x:c r="G2" s="48" t="str">
        <x:v>塑胶行业样本筛选与国民经济行业分类</x:v>
      </x:c>
      <x:c r="H2" s="48" t="str">
        <x:v>请结合项目产品、原辅材料和生产工艺，判断该报告行业类别是否基本合理。</x:v>
      </x:c>
      <x:c r="I2" s="48"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J2" s="48"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48" t="str">
        <x:v>报告原文；Dify工作流_标准库；标准库/经验库</x:v>
      </x:c>
      <x:c r="L2" s="48" t="str">
        <x:v>该题用于修正原Excel混入非塑胶行业项目的问题，体现样本筛选和行业分类审查价值。</x:v>
      </x:c>
      <x:c r="M2" s="48" t="str">
        <x:v>可由报告基本情况、产品方案、原辅材料和工艺流程共同验证。</x:v>
      </x:c>
      <x:c r="N2" s="48" t="str">
        <x:v>True</x:v>
      </x:c>
      <x:c r="O2" s="48" t="str">
        <x:v>选取判断相关数据无误，通过表2-2，2-3了解到属于纸、膜类韩品且设备生产线含有涂布线；</x:v>
      </x:c>
      <x:c r="P2" s="48" t="str">
        <x:v>人工核定无误</x:v>
      </x:c>
      <x:c r="Q2" s="48"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R2" s="48" t="str">
        <x:v>暂不修改</x:v>
      </x:c>
      <x:c r="S2" s="48" t="str">
        <x:v>否</x:v>
      </x:c>
      <x:c r="T2" s="48" t="str">
        <x:v>亮正材料为人工标注示范样本，本轮不改动。</x:v>
      </x:c>
      <x:c r="U2" s="48" t="str">
        <x:v>seed_qa_塑胶行业筛选版_30个国民经济行业分类的人工标记</x:v>
      </x:c>
      <x:c r="V2" s="48" t="str">
        <x:v>国民经济行业分类</x:v>
      </x:c>
      <x:c r="W2" s="48" t="str">
        <x:v>选取判断相关数据无误，通过表2-2，2-3了解到属于纸、膜类韩品且设备生产线含有涂布线；</x:v>
      </x:c>
      <x:c r="X2" s="48" t="str">
        <x:v>无误</x:v>
      </x:c>
      <x:c r="Y2" s="64"/>
      <x:c r="Z2" s="64" t="str">
        <x:v>未复核</x:v>
      </x:c>
      <x:c r="AA2" s="64" t="str">
        <x:v>部分充分</x:v>
      </x:c>
      <x:c r="AB2" s="64" t="str">
        <x:v>字段错位</x:v>
      </x:c>
      <x:c r="AC2" s="64" t="str">
        <x:v>部分核验</x:v>
      </x:c>
      <x:c r="AD2" s="64" t="str">
        <x:v>自动默认</x:v>
      </x:c>
      <x:c r="AE2" s="64" t="str">
        <x:v>候选池</x:v>
      </x:c>
      <x:c r="AF2" s="64" t="str">
        <x:v>C_题目或材料问题</x:v>
      </x:c>
      <x:c r="AG2" s="64"/>
      <x:c r="AH2" s="64"/>
      <x:c r="AI2" s="64"/>
      <x:c r="AJ2" s="64"/>
      <x:c r="AK2" s="64"/>
      <x:c r="AL2" s="64"/>
      <x:c r="AM2" s="64"/>
      <x:c r="AN2" s="48" t="str">
        <x:v>2</x:v>
      </x:c>
      <x:c r="AO2" s="48" t="str">
        <x:v>LONG_TEXT_CONTAINS_POSITIVE_CONCLUSION</x:v>
      </x:c>
      <x:c r="AP2" s="48" t="str">
        <x:v>长说明占用结论字段；仅提取候选结论，必须人工确认；人工判断字段出现数值或长说明；存在报告证据，但尚未经人工逐项核验；已列依据来源，但未在本阶段逐条核验</x:v>
      </x:c>
      <x:c r="AQ2" s="64"/>
      <x:c r="AR2" s="48" t="str">
        <x:v>industry_classification</x:v>
      </x:c>
      <x:c r="AS2" s="48" t="str">
        <x:v>L3_analysis</x:v>
      </x:c>
      <x:c r="AT2" s="48" t="str">
        <x:v>multi_evidence_synthesis</x:v>
      </x:c>
      <x:c r="AU2" s="48" t="str">
        <x:v>evidence_integration</x:v>
      </x:c>
      <x:c r="AV2" s="48" t="str">
        <x:v>report_grounding；basis_grounding</x:v>
      </x:c>
      <x:c r="AW2" s="48" t="str">
        <x:v>high</x:v>
      </x:c>
      <x:c r="AX2" s="48" t="str">
        <x:v>high</x:v>
      </x:c>
      <x:c r="AY2" s="48" t="str">
        <x:v>cross_section</x:v>
      </x:c>
      <x:c r="AZ2" s="48" t="str">
        <x:v>True</x:v>
      </x:c>
      <x:c r="BA2" s="48"/>
      <x:c r="BB2" s="48" t="str">
        <x:v>auto_default</x:v>
      </x:c>
      <x:c r="BC2" s="48" t="str">
        <x:v>v1</x:v>
      </x:c>
      <x:c r="BD2" s="68"/>
    </x:row>
    <x:row r="3" ht="36" customHeight="1">
      <x:c r="A3" s="47" t="str">
        <x:v>2026-06-17</x:v>
      </x:c>
      <x:c r="B3" s="48" t="str">
        <x:v>PL002</x:v>
      </x:c>
      <x:c r="C3" s="48" t="str">
        <x:v>V01</x:v>
      </x:c>
      <x:c r="D3" s="48" t="str">
        <x:v>佛山市顺德区启卓工程塑料实业有限公司搬迁项目.docx</x:v>
      </x:c>
      <x:c r="E3" s="48" t="str">
        <x:v>佛山市顺德区启卓工程塑料实业有限公司搬迁项目</x:v>
      </x:c>
      <x:c r="F3" s="48" t="str">
        <x:v>PL002_V01_Q01</x:v>
      </x:c>
      <x:c r="G3" s="48" t="str">
        <x:v>塑胶行业样本筛选与国民经济行业分类</x:v>
      </x:c>
      <x:c r="H3" s="48" t="str">
        <x:v>请结合项目产品、原辅材料和生产工艺，判断该报告是否适合作为塑胶行业种子问答样本，并判断行业类别是否基本合理。</x:v>
      </x:c>
      <x:c r="I3" s="48" t="str">
        <x:v>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x:v>
      </x:c>
      <x:c r="J3" s="4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3" s="48" t="str">
        <x:v>报告原文；Dify工作流_标准库；标准库/经验库</x:v>
      </x:c>
      <x:c r="L3" s="48" t="str">
        <x:v>该题用于修正原Excel混入非塑胶行业项目的问题，体现样本筛选和行业分类审查价值。</x:v>
      </x:c>
      <x:c r="M3" s="48" t="str">
        <x:v>可由报告基本情况、产品方案、原辅材料和工艺流程共同验证。</x:v>
      </x:c>
      <x:c r="N3" s="48" t="str">
        <x:v>True</x:v>
      </x:c>
      <x:c r="O3" s="48" t="str">
        <x:v>112</x:v>
      </x:c>
      <x:c r="P3" s="48" t="str">
        <x:v>112</x:v>
      </x:c>
      <x:c r="Q3" s="48" t="str">
        <x:v>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v>
      </x:c>
      <x:c r="R3" s="48" t="str">
        <x:v>表达优化</x:v>
      </x:c>
      <x:c r="S3" s="48" t="str">
        <x:v>否</x:v>
      </x:c>
      <x:c r="T3" s="48" t="str">
        <x:v>按亮正样本格式补充“判断—依据—审核意见”，保留原结论。</x:v>
      </x:c>
      <x:c r="U3" s="48" t="str">
        <x:v>seed_qa_塑胶行业筛选版_30个国民经济行业分类的人工标记</x:v>
      </x:c>
      <x:c r="V3" s="48" t="str">
        <x:v>国民经济行业分类</x:v>
      </x:c>
      <x:c r="W3" s="48" t="str">
        <x:v>112</x:v>
      </x:c>
      <x:c r="X3" s="48" t="str">
        <x:v>待判断</x:v>
      </x:c>
      <x:c r="Y3" s="64"/>
      <x:c r="Z3" s="64" t="str">
        <x:v>未复核</x:v>
      </x:c>
      <x:c r="AA3" s="64" t="str">
        <x:v>部分充分</x:v>
      </x:c>
      <x:c r="AB3" s="64" t="str">
        <x:v>字段错位</x:v>
      </x:c>
      <x:c r="AC3" s="64" t="str">
        <x:v>部分核验</x:v>
      </x:c>
      <x:c r="AD3" s="64" t="str">
        <x:v>自动默认</x:v>
      </x:c>
      <x:c r="AE3" s="64" t="str">
        <x:v>候选池</x:v>
      </x:c>
      <x:c r="AF3" s="64" t="str">
        <x:v>C_题目或材料问题</x:v>
      </x:c>
      <x:c r="AG3" s="64"/>
      <x:c r="AH3" s="64"/>
      <x:c r="AI3" s="64"/>
      <x:c r="AJ3" s="64"/>
      <x:c r="AK3" s="64"/>
      <x:c r="AL3" s="64"/>
      <x:c r="AM3" s="64"/>
      <x:c r="AN3" s="48" t="str">
        <x:v>9</x:v>
      </x:c>
      <x:c r="AO3" s="48" t="str">
        <x:v>MAP_112</x:v>
      </x:c>
      <x:c r="AP3" s="48" t="str">
        <x:v>数值112占用结论字段：疑似字段错位；人工判断字段出现数值或长说明；存在报告证据，但尚未经人工逐项核验；已列依据来源，但未在本阶段逐条核验</x:v>
      </x:c>
      <x:c r="AQ3" s="64"/>
      <x:c r="AR3" s="48" t="str">
        <x:v>industry_classification</x:v>
      </x:c>
      <x:c r="AS3" s="48" t="str">
        <x:v>L3_analysis</x:v>
      </x:c>
      <x:c r="AT3" s="48" t="str">
        <x:v>multi_evidence_synthesis</x:v>
      </x:c>
      <x:c r="AU3" s="48" t="str">
        <x:v>evidence_integration</x:v>
      </x:c>
      <x:c r="AV3" s="48" t="str">
        <x:v>report_grounding；basis_grounding</x:v>
      </x:c>
      <x:c r="AW3" s="48" t="str">
        <x:v>high</x:v>
      </x:c>
      <x:c r="AX3" s="48" t="str">
        <x:v>high</x:v>
      </x:c>
      <x:c r="AY3" s="48" t="str">
        <x:v>cross_section</x:v>
      </x:c>
      <x:c r="AZ3" s="48" t="str">
        <x:v>True</x:v>
      </x:c>
      <x:c r="BA3" s="48"/>
      <x:c r="BB3" s="48" t="str">
        <x:v>auto_default</x:v>
      </x:c>
      <x:c r="BC3" s="48" t="str">
        <x:v>v1</x:v>
      </x:c>
      <x:c r="BD3" s="68"/>
    </x:row>
    <x:row r="4" ht="36" customHeight="1">
      <x:c r="A4" s="47" t="str">
        <x:v>2026-06-17</x:v>
      </x:c>
      <x:c r="B4" s="48" t="str">
        <x:v>PL003</x:v>
      </x:c>
      <x:c r="C4" s="48" t="str">
        <x:v>V01</x:v>
      </x:c>
      <x:c r="D4" s="48" t="str">
        <x:v>佛山市顺德区康明新材料厂新建项目.docx</x:v>
      </x:c>
      <x:c r="E4" s="48" t="str">
        <x:v>佛山市顺德区康明新材料厂新建项目</x:v>
      </x:c>
      <x:c r="F4" s="48" t="str">
        <x:v>PL003_V01_Q01</x:v>
      </x:c>
      <x:c r="G4" s="48" t="str">
        <x:v>塑胶行业样本筛选与国民经济行业分类</x:v>
      </x:c>
      <x:c r="H4" s="48" t="str">
        <x:v>请结合项目产品、原辅材料和生产工艺，判断该报告行业类别是否基本合理。</x:v>
      </x:c>
      <x:c r="I4" s="48" t="str">
        <x:v>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x:v>
      </x:c>
      <x:c r="J4" s="48"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4" s="48" t="str">
        <x:v>报告原文；Dify工作流_标准库；标准库/经验库</x:v>
      </x:c>
      <x:c r="L4" s="48" t="str">
        <x:v>该题用于修正原Excel混入非塑胶行业项目的问题，体现样本筛选和行业分类审查价值。</x:v>
      </x:c>
      <x:c r="M4" s="48" t="str">
        <x:v>可由报告基本情况、产品方案、原辅材料和工艺流程共同验证。</x:v>
      </x:c>
      <x:c r="N4" s="48" t="str">
        <x:v>True</x:v>
      </x:c>
      <x:c r="O4" s="48" t="str">
        <x:v>112</x:v>
      </x:c>
      <x:c r="P4" s="48" t="str">
        <x:v>112</x:v>
      </x:c>
      <x:c r="Q4" s="48" t="str">
        <x:v>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v>
      </x:c>
      <x:c r="R4" s="48" t="str">
        <x:v>表达优化</x:v>
      </x:c>
      <x:c r="S4" s="48" t="str">
        <x:v>否</x:v>
      </x:c>
      <x:c r="T4" s="48" t="str">
        <x:v>按亮正样本格式补充“判断—依据—审核意见”，保留原结论。</x:v>
      </x:c>
      <x:c r="U4" s="48" t="str">
        <x:v>seed_qa_塑胶行业筛选版_30个国民经济行业分类的人工标记</x:v>
      </x:c>
      <x:c r="V4" s="48" t="str">
        <x:v>国民经济行业分类</x:v>
      </x:c>
      <x:c r="W4" s="48" t="str">
        <x:v>112</x:v>
      </x:c>
      <x:c r="X4" s="48" t="str">
        <x:v>待判断</x:v>
      </x:c>
      <x:c r="Y4" s="64"/>
      <x:c r="Z4" s="64" t="str">
        <x:v>未复核</x:v>
      </x:c>
      <x:c r="AA4" s="64" t="str">
        <x:v>部分充分</x:v>
      </x:c>
      <x:c r="AB4" s="64" t="str">
        <x:v>字段错位</x:v>
      </x:c>
      <x:c r="AC4" s="64" t="str">
        <x:v>部分核验</x:v>
      </x:c>
      <x:c r="AD4" s="64" t="str">
        <x:v>自动默认</x:v>
      </x:c>
      <x:c r="AE4" s="64" t="str">
        <x:v>候选池</x:v>
      </x:c>
      <x:c r="AF4" s="64" t="str">
        <x:v>C_题目或材料问题</x:v>
      </x:c>
      <x:c r="AG4" s="64"/>
      <x:c r="AH4" s="64"/>
      <x:c r="AI4" s="64"/>
      <x:c r="AJ4" s="64"/>
      <x:c r="AK4" s="64"/>
      <x:c r="AL4" s="64"/>
      <x:c r="AM4" s="64"/>
      <x:c r="AN4" s="48" t="str">
        <x:v>16</x:v>
      </x:c>
      <x:c r="AO4" s="48" t="str">
        <x:v>MAP_112</x:v>
      </x:c>
      <x:c r="AP4" s="48" t="str">
        <x:v>数值112占用结论字段：疑似字段错位；人工判断字段出现数值或长说明；存在报告证据，但尚未经人工逐项核验；已列依据来源，但未在本阶段逐条核验</x:v>
      </x:c>
      <x:c r="AQ4" s="64"/>
      <x:c r="AR4" s="48" t="str">
        <x:v>industry_classification</x:v>
      </x:c>
      <x:c r="AS4" s="48" t="str">
        <x:v>L3_analysis</x:v>
      </x:c>
      <x:c r="AT4" s="48" t="str">
        <x:v>multi_evidence_synthesis</x:v>
      </x:c>
      <x:c r="AU4" s="48" t="str">
        <x:v>evidence_integration</x:v>
      </x:c>
      <x:c r="AV4" s="48" t="str">
        <x:v>report_grounding；basis_grounding</x:v>
      </x:c>
      <x:c r="AW4" s="48" t="str">
        <x:v>high</x:v>
      </x:c>
      <x:c r="AX4" s="48" t="str">
        <x:v>high</x:v>
      </x:c>
      <x:c r="AY4" s="48" t="str">
        <x:v>cross_section</x:v>
      </x:c>
      <x:c r="AZ4" s="48" t="str">
        <x:v>True</x:v>
      </x:c>
      <x:c r="BA4" s="48"/>
      <x:c r="BB4" s="48" t="str">
        <x:v>auto_default</x:v>
      </x:c>
      <x:c r="BC4" s="48" t="str">
        <x:v>v1</x:v>
      </x:c>
      <x:c r="BD4" s="68"/>
    </x:row>
    <x:row r="5" ht="36" customHeight="1">
      <x:c r="A5" s="47" t="str">
        <x:v>2026-06-17</x:v>
      </x:c>
      <x:c r="B5" s="48" t="str">
        <x:v>PL004</x:v>
      </x:c>
      <x:c r="C5" s="48" t="str">
        <x:v>V01</x:v>
      </x:c>
      <x:c r="D5" s="48" t="str">
        <x:v>恒励新材料科技（佛山）有限公司新建项目.docx</x:v>
      </x:c>
      <x:c r="E5" s="48" t="str">
        <x:v>恒励新材料科技(佛山)有限公司新建项目</x:v>
      </x:c>
      <x:c r="F5" s="48" t="str">
        <x:v>PL004_V01_Q01</x:v>
      </x:c>
      <x:c r="G5" s="48" t="str">
        <x:v>塑胶行业样本筛选与国民经济行业分类</x:v>
      </x:c>
      <x:c r="H5" s="48" t="str">
        <x:v>请结合项目产品、原辅材料和生产工艺，判断该报告行业类别是否基本合理。</x:v>
      </x:c>
      <x:c r="I5" s="48" t="str">
        <x:v>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x:v>
      </x:c>
      <x:c r="J5" s="48"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5" s="48" t="str">
        <x:v>报告原文；Dify工作流_标准库；标准库/经验库</x:v>
      </x:c>
      <x:c r="L5" s="48" t="str">
        <x:v>该题用于修正原Excel混入非塑胶行业项目的问题，体现样本筛选和行业分类审查价值。</x:v>
      </x:c>
      <x:c r="M5" s="48" t="str">
        <x:v>可由报告基本情况、产品方案、原辅材料和工艺流程共同验证。</x:v>
      </x:c>
      <x:c r="N5" s="48" t="str">
        <x:v>True</x:v>
      </x:c>
      <x:c r="O5" s="48" t="str">
        <x:v>112</x:v>
      </x:c>
      <x:c r="P5" s="48" t="str">
        <x:v>112</x:v>
      </x:c>
      <x:c r="Q5" s="48" t="str">
        <x:v>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v>
      </x:c>
      <x:c r="R5" s="48" t="str">
        <x:v>表达优化</x:v>
      </x:c>
      <x:c r="S5" s="48" t="str">
        <x:v>否</x:v>
      </x:c>
      <x:c r="T5" s="48" t="str">
        <x:v>按亮正样本格式补充“判断—依据—审核意见”，保留原结论。</x:v>
      </x:c>
      <x:c r="U5" s="48" t="str">
        <x:v>seed_qa_塑胶行业筛选版_30个国民经济行业分类的人工标记</x:v>
      </x:c>
      <x:c r="V5" s="48" t="str">
        <x:v>国民经济行业分类</x:v>
      </x:c>
      <x:c r="W5" s="48" t="str">
        <x:v>112</x:v>
      </x:c>
      <x:c r="X5" s="48" t="str">
        <x:v>待判断</x:v>
      </x:c>
      <x:c r="Y5" s="64"/>
      <x:c r="Z5" s="64" t="str">
        <x:v>未复核</x:v>
      </x:c>
      <x:c r="AA5" s="64" t="str">
        <x:v>部分充分</x:v>
      </x:c>
      <x:c r="AB5" s="64" t="str">
        <x:v>字段错位</x:v>
      </x:c>
      <x:c r="AC5" s="64" t="str">
        <x:v>部分核验</x:v>
      </x:c>
      <x:c r="AD5" s="64" t="str">
        <x:v>自动默认</x:v>
      </x:c>
      <x:c r="AE5" s="64" t="str">
        <x:v>候选池</x:v>
      </x:c>
      <x:c r="AF5" s="64" t="str">
        <x:v>C_题目或材料问题</x:v>
      </x:c>
      <x:c r="AG5" s="64"/>
      <x:c r="AH5" s="64"/>
      <x:c r="AI5" s="64"/>
      <x:c r="AJ5" s="64"/>
      <x:c r="AK5" s="64"/>
      <x:c r="AL5" s="64"/>
      <x:c r="AM5" s="64"/>
      <x:c r="AN5" s="48" t="str">
        <x:v>23</x:v>
      </x:c>
      <x:c r="AO5" s="48" t="str">
        <x:v>MAP_112</x:v>
      </x:c>
      <x:c r="AP5" s="48" t="str">
        <x:v>数值112占用结论字段：疑似字段错位；人工判断字段出现数值或长说明；存在报告证据，但尚未经人工逐项核验；已列依据来源，但未在本阶段逐条核验</x:v>
      </x:c>
      <x:c r="AQ5" s="64"/>
      <x:c r="AR5" s="48" t="str">
        <x:v>industry_classification</x:v>
      </x:c>
      <x:c r="AS5" s="48" t="str">
        <x:v>L3_analysis</x:v>
      </x:c>
      <x:c r="AT5" s="48" t="str">
        <x:v>multi_evidence_synthesis</x:v>
      </x:c>
      <x:c r="AU5" s="48" t="str">
        <x:v>evidence_integration</x:v>
      </x:c>
      <x:c r="AV5" s="48" t="str">
        <x:v>report_grounding；basis_grounding</x:v>
      </x:c>
      <x:c r="AW5" s="48" t="str">
        <x:v>high</x:v>
      </x:c>
      <x:c r="AX5" s="48" t="str">
        <x:v>high</x:v>
      </x:c>
      <x:c r="AY5" s="48" t="str">
        <x:v>cross_section</x:v>
      </x:c>
      <x:c r="AZ5" s="48" t="str">
        <x:v>True</x:v>
      </x:c>
      <x:c r="BA5" s="48"/>
      <x:c r="BB5" s="48" t="str">
        <x:v>auto_default</x:v>
      </x:c>
      <x:c r="BC5" s="48" t="str">
        <x:v>v1</x:v>
      </x:c>
      <x:c r="BD5" s="68"/>
    </x:row>
    <x:row r="6" ht="36" customHeight="1">
      <x:c r="A6" s="47" t="str">
        <x:v>2026-06-25</x:v>
      </x:c>
      <x:c r="B6" s="48" t="str">
        <x:v>PL018</x:v>
      </x:c>
      <x:c r="C6" s="48" t="str">
        <x:v>V01</x:v>
      </x:c>
      <x:c r="D6" s="48" t="str">
        <x:v>年10月10日建设项目环境影响报告书（表）受理公告（佛山市生态环境局顺德分局）_4.pdf</x:v>
      </x:c>
      <x:c r="E6" s="48" t="str">
        <x:v>广东台塑智能科技有限公司新建项目</x:v>
      </x:c>
      <x:c r="F6" s="48" t="str">
        <x:v>PL018_V01_Q01</x:v>
      </x:c>
      <x:c r="G6" s="48" t="str">
        <x:v>1. 塑胶行业样本筛选与国民经济行业分类</x:v>
      </x:c>
      <x:c r="H6" s="48" t="str">
        <x:v>请结合项目产品、原辅材料和生产工艺，判断该报告行业类别是否基本合理。</x:v>
      </x:c>
      <x:c r="I6" s="48" t="str">
        <x:v>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x:v>
      </x:c>
      <x:c r="J6" s="48" t="str">
        <x:v>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v>
      </x:c>
      <x:c r="K6" s="48" t="str">
        <x:v>《国民经济行业分类》(GB/T 4754—2017)；本任务C292筛选及C17/C18排除规则</x:v>
      </x:c>
      <x:c r="L6" s="48" t="str">
        <x:v>结合本项目行业代码、建设性质、工艺关键词及PDF证据生成，非脱离项目的通用题。</x:v>
      </x:c>
      <x:c r="M6" s="48" t="str">
        <x:v>可依据对应PDF原文、工程分析表格及所列法规标准逐项复核。</x:v>
      </x:c>
      <x:c r="N6" s="48" t="str">
        <x:v>True</x:v>
      </x:c>
      <x:c r="O6" s="48"/>
      <x:c r="P6" s="48"/>
      <x:c r="Q6" s="48"/>
      <x:c r="R6" s="48" t="str">
        <x:v>新增</x:v>
      </x:c>
      <x:c r="S6" s="48" t="str">
        <x:v>是</x:v>
      </x:c>
      <x:c r="T6" s="48" t="str">
        <x:v>自动生成；需人工复核项目参数、公式取值、标准适用范围及PDF文字提取完整性。</x:v>
      </x:c>
      <x:c r="U6" s="48" t="str">
        <x:v>seed_qa_塑胶行业筛选版_30个国民经济行业分类的人工标记</x:v>
      </x:c>
      <x:c r="V6" s="48" t="str">
        <x:v>国民经济行业分类</x:v>
      </x:c>
      <x:c r="W6" s="48"/>
      <x:c r="X6" s="48" t="str">
        <x:v>待判断</x:v>
      </x:c>
      <x:c r="Y6" s="64"/>
      <x:c r="Z6" s="64" t="str">
        <x:v>未复核</x:v>
      </x:c>
      <x:c r="AA6" s="64" t="str">
        <x:v>部分充分</x:v>
      </x:c>
      <x:c r="AB6" s="64" t="str">
        <x:v>待判断</x:v>
      </x:c>
      <x:c r="AC6" s="64" t="str">
        <x:v>部分核验</x:v>
      </x:c>
      <x:c r="AD6" s="64" t="str">
        <x:v>自动默认</x:v>
      </x:c>
      <x:c r="AE6" s="64" t="str">
        <x:v>候选池</x:v>
      </x:c>
      <x:c r="AF6" s="64" t="str">
        <x:v>C_题目或材料问题</x:v>
      </x:c>
      <x:c r="AG6" s="64"/>
      <x:c r="AH6" s="64"/>
      <x:c r="AI6" s="64"/>
      <x:c r="AJ6" s="64"/>
      <x:c r="AK6" s="64"/>
      <x:c r="AL6" s="64"/>
      <x:c r="AM6" s="64"/>
      <x:c r="AN6" s="48" t="str">
        <x:v>85</x:v>
      </x:c>
      <x:c r="AO6" s="48" t="str">
        <x:v>MAP_BLANK</x:v>
      </x:c>
      <x:c r="AP6" s="48" t="str">
        <x:v>人工判断为空：不得自动补填结论；人工判断为空；结构完整但原因需人工确认；存在报告证据，但尚未经人工逐项核验；已列依据来源，但未在本阶段逐条核验</x:v>
      </x:c>
      <x:c r="AQ6" s="64"/>
      <x:c r="AR6" s="48" t="str">
        <x:v>industry_classification</x:v>
      </x:c>
      <x:c r="AS6" s="48" t="str">
        <x:v>L3_analysis</x:v>
      </x:c>
      <x:c r="AT6" s="48" t="str">
        <x:v>multi_evidence_synthesis</x:v>
      </x:c>
      <x:c r="AU6" s="48" t="str">
        <x:v>evidence_integration</x:v>
      </x:c>
      <x:c r="AV6" s="48" t="str">
        <x:v>report_grounding；basis_grounding</x:v>
      </x:c>
      <x:c r="AW6" s="48" t="str">
        <x:v>high</x:v>
      </x:c>
      <x:c r="AX6" s="48" t="str">
        <x:v>high</x:v>
      </x:c>
      <x:c r="AY6" s="48" t="str">
        <x:v>cross_section</x:v>
      </x:c>
      <x:c r="AZ6" s="48" t="str">
        <x:v>True</x:v>
      </x:c>
      <x:c r="BA6" s="48"/>
      <x:c r="BB6" s="48" t="str">
        <x:v>auto_default</x:v>
      </x:c>
      <x:c r="BC6" s="48" t="str">
        <x:v>v1</x:v>
      </x:c>
      <x:c r="BD6" s="68"/>
    </x:row>
    <x:row r="7" ht="36" customHeight="1">
      <x:c r="A7" s="47" t="str">
        <x:v>2026-06-25</x:v>
      </x:c>
      <x:c r="B7" s="48" t="str">
        <x:v>PL019</x:v>
      </x:c>
      <x:c r="C7" s="48" t="str">
        <x:v>V01</x:v>
      </x:c>
      <x:c r="D7" s="48" t="str">
        <x:v>年10月12日建设项目环境影响报告书（表）受理公告（佛山市生态环境局顺德分局）_1.pdf</x:v>
      </x:c>
      <x:c r="E7" s="48" t="str">
        <x:v>佛山市智龙科技有限公司迁扩建项目</x:v>
      </x:c>
      <x:c r="F7" s="48" t="str">
        <x:v>PL019_V01_Q01</x:v>
      </x:c>
      <x:c r="G7" s="48" t="str">
        <x:v>1. 塑胶行业样本筛选与国民经济行业分类</x:v>
      </x:c>
      <x:c r="H7" s="48" t="str">
        <x:v>请结合项目产品、原辅材料和生产工艺，判断该报告行业类别是否基本合理。</x:v>
      </x:c>
      <x:c r="I7" s="48" t="str">
        <x:v>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x:v>
      </x:c>
      <x:c r="J7" s="48"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7" s="48" t="str">
        <x:v>《国民经济行业分类》(GB/T 4754—2017)；本任务C292筛选及C17/C18排除规则</x:v>
      </x:c>
      <x:c r="L7" s="48" t="str">
        <x:v>结合本项目行业代码、建设性质、工艺关键词及PDF证据生成，非脱离项目的通用题。</x:v>
      </x:c>
      <x:c r="M7" s="48" t="str">
        <x:v>可依据对应PDF原文、工程分析表格及所列法规标准逐项复核。</x:v>
      </x:c>
      <x:c r="N7" s="48" t="str">
        <x:v>True</x:v>
      </x:c>
      <x:c r="O7" s="48"/>
      <x:c r="P7" s="48"/>
      <x:c r="Q7" s="48"/>
      <x:c r="R7" s="48" t="str">
        <x:v>新增</x:v>
      </x:c>
      <x:c r="S7" s="48" t="str">
        <x:v>是</x:v>
      </x:c>
      <x:c r="T7" s="48" t="str">
        <x:v>自动生成；需人工复核项目参数、公式取值、标准适用范围及PDF文字提取完整性。</x:v>
      </x:c>
      <x:c r="U7" s="48" t="str">
        <x:v>seed_qa_塑胶行业筛选版_30个国民经济行业分类的人工标记</x:v>
      </x:c>
      <x:c r="V7" s="48" t="str">
        <x:v>国民经济行业分类</x:v>
      </x:c>
      <x:c r="W7" s="48"/>
      <x:c r="X7" s="48" t="str">
        <x:v>待判断</x:v>
      </x:c>
      <x:c r="Y7" s="64"/>
      <x:c r="Z7" s="64" t="str">
        <x:v>未复核</x:v>
      </x:c>
      <x:c r="AA7" s="64" t="str">
        <x:v>部分充分</x:v>
      </x:c>
      <x:c r="AB7" s="64" t="str">
        <x:v>待判断</x:v>
      </x:c>
      <x:c r="AC7" s="64" t="str">
        <x:v>部分核验</x:v>
      </x:c>
      <x:c r="AD7" s="64" t="str">
        <x:v>自动默认</x:v>
      </x:c>
      <x:c r="AE7" s="64" t="str">
        <x:v>候选池</x:v>
      </x:c>
      <x:c r="AF7" s="64" t="str">
        <x:v>C_题目或材料问题</x:v>
      </x:c>
      <x:c r="AG7" s="64"/>
      <x:c r="AH7" s="64"/>
      <x:c r="AI7" s="64"/>
      <x:c r="AJ7" s="64"/>
      <x:c r="AK7" s="64"/>
      <x:c r="AL7" s="64"/>
      <x:c r="AM7" s="64"/>
      <x:c r="AN7" s="48" t="str">
        <x:v>92</x:v>
      </x:c>
      <x:c r="AO7" s="48" t="str">
        <x:v>MAP_BLANK</x:v>
      </x:c>
      <x:c r="AP7" s="48" t="str">
        <x:v>人工判断为空：不得自动补填结论；人工判断为空；结构完整但原因需人工确认；存在报告证据，但尚未经人工逐项核验；已列依据来源，但未在本阶段逐条核验</x:v>
      </x:c>
      <x:c r="AQ7" s="64"/>
      <x:c r="AR7" s="48" t="str">
        <x:v>industry_classification</x:v>
      </x:c>
      <x:c r="AS7" s="48" t="str">
        <x:v>L3_analysis</x:v>
      </x:c>
      <x:c r="AT7" s="48" t="str">
        <x:v>multi_evidence_synthesis</x:v>
      </x:c>
      <x:c r="AU7" s="48" t="str">
        <x:v>evidence_integration</x:v>
      </x:c>
      <x:c r="AV7" s="48" t="str">
        <x:v>report_grounding；basis_grounding</x:v>
      </x:c>
      <x:c r="AW7" s="48" t="str">
        <x:v>high</x:v>
      </x:c>
      <x:c r="AX7" s="48" t="str">
        <x:v>high</x:v>
      </x:c>
      <x:c r="AY7" s="48" t="str">
        <x:v>cross_section</x:v>
      </x:c>
      <x:c r="AZ7" s="48" t="str">
        <x:v>True</x:v>
      </x:c>
      <x:c r="BA7" s="48"/>
      <x:c r="BB7" s="48" t="str">
        <x:v>auto_default</x:v>
      </x:c>
      <x:c r="BC7" s="48" t="str">
        <x:v>v1</x:v>
      </x:c>
      <x:c r="BD7" s="68"/>
    </x:row>
    <x:row r="8" ht="36" customHeight="1">
      <x:c r="A8" s="47" t="str">
        <x:v>2026-06-25</x:v>
      </x:c>
      <x:c r="B8" s="48" t="str">
        <x:v>PL020</x:v>
      </x:c>
      <x:c r="C8" s="48" t="str">
        <x:v>V01</x:v>
      </x:c>
      <x:c r="D8" s="48" t="str">
        <x:v>年10月16日建设项目环境影响报告书（表）受理公告（佛山市生态环境局顺德分局）_2.pdf</x:v>
      </x:c>
      <x:c r="E8" s="48" t="str">
        <x:v>佛山市朗信塑料制品有限公司新建项目</x:v>
      </x:c>
      <x:c r="F8" s="48" t="str">
        <x:v>PL020_V01_Q01</x:v>
      </x:c>
      <x:c r="G8" s="48" t="str">
        <x:v>1. 塑胶行业样本筛选与国民经济行业分类</x:v>
      </x:c>
      <x:c r="H8" s="48" t="str">
        <x:v>请结合项目产品、原辅材料和生产工艺，判断该报告行业类别是否基本合理。</x:v>
      </x:c>
      <x:c r="I8" s="48" t="str">
        <x:v>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x:v>
      </x:c>
      <x:c r="J8" s="48"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8" s="48" t="str">
        <x:v>《国民经济行业分类》(GB/T 4754—2017)；本任务C292筛选及C17/C18排除规则</x:v>
      </x:c>
      <x:c r="L8" s="48" t="str">
        <x:v>结合本项目行业代码、建设性质、工艺关键词及PDF证据生成，非脱离项目的通用题。</x:v>
      </x:c>
      <x:c r="M8" s="48" t="str">
        <x:v>可依据对应PDF原文、工程分析表格及所列法规标准逐项复核。</x:v>
      </x:c>
      <x:c r="N8" s="48" t="str">
        <x:v>True</x:v>
      </x:c>
      <x:c r="O8" s="48"/>
      <x:c r="P8" s="48"/>
      <x:c r="Q8" s="48"/>
      <x:c r="R8" s="48" t="str">
        <x:v>新增</x:v>
      </x:c>
      <x:c r="S8" s="48" t="str">
        <x:v>是</x:v>
      </x:c>
      <x:c r="T8" s="48" t="str">
        <x:v>自动生成；需人工复核项目参数、公式取值、标准适用范围及PDF文字提取完整性。</x:v>
      </x:c>
      <x:c r="U8" s="48" t="str">
        <x:v>seed_qa_塑胶行业筛选版_30个国民经济行业分类的人工标记</x:v>
      </x:c>
      <x:c r="V8" s="48" t="str">
        <x:v>国民经济行业分类</x:v>
      </x:c>
      <x:c r="W8" s="48"/>
      <x:c r="X8" s="48" t="str">
        <x:v>待判断</x:v>
      </x:c>
      <x:c r="Y8" s="64"/>
      <x:c r="Z8" s="64" t="str">
        <x:v>未复核</x:v>
      </x:c>
      <x:c r="AA8" s="64" t="str">
        <x:v>部分充分</x:v>
      </x:c>
      <x:c r="AB8" s="64" t="str">
        <x:v>待判断</x:v>
      </x:c>
      <x:c r="AC8" s="64" t="str">
        <x:v>部分核验</x:v>
      </x:c>
      <x:c r="AD8" s="64" t="str">
        <x:v>自动默认</x:v>
      </x:c>
      <x:c r="AE8" s="64" t="str">
        <x:v>候选池</x:v>
      </x:c>
      <x:c r="AF8" s="64" t="str">
        <x:v>C_题目或材料问题</x:v>
      </x:c>
      <x:c r="AG8" s="64"/>
      <x:c r="AH8" s="64"/>
      <x:c r="AI8" s="64"/>
      <x:c r="AJ8" s="64"/>
      <x:c r="AK8" s="64"/>
      <x:c r="AL8" s="64"/>
      <x:c r="AM8" s="64"/>
      <x:c r="AN8" s="48" t="str">
        <x:v>99</x:v>
      </x:c>
      <x:c r="AO8" s="48" t="str">
        <x:v>MAP_BLANK</x:v>
      </x:c>
      <x:c r="AP8" s="48" t="str">
        <x:v>人工判断为空：不得自动补填结论；人工判断为空；结构完整但原因需人工确认；存在报告证据，但尚未经人工逐项核验；已列依据来源，但未在本阶段逐条核验</x:v>
      </x:c>
      <x:c r="AQ8" s="64"/>
      <x:c r="AR8" s="48" t="str">
        <x:v>industry_classification</x:v>
      </x:c>
      <x:c r="AS8" s="48" t="str">
        <x:v>L3_analysis</x:v>
      </x:c>
      <x:c r="AT8" s="48" t="str">
        <x:v>multi_evidence_synthesis</x:v>
      </x:c>
      <x:c r="AU8" s="48" t="str">
        <x:v>evidence_integration</x:v>
      </x:c>
      <x:c r="AV8" s="48" t="str">
        <x:v>report_grounding；basis_grounding</x:v>
      </x:c>
      <x:c r="AW8" s="48" t="str">
        <x:v>high</x:v>
      </x:c>
      <x:c r="AX8" s="48" t="str">
        <x:v>high</x:v>
      </x:c>
      <x:c r="AY8" s="48" t="str">
        <x:v>cross_section</x:v>
      </x:c>
      <x:c r="AZ8" s="48" t="str">
        <x:v>True</x:v>
      </x:c>
      <x:c r="BA8" s="48"/>
      <x:c r="BB8" s="48" t="str">
        <x:v>auto_default</x:v>
      </x:c>
      <x:c r="BC8" s="48" t="str">
        <x:v>v1</x:v>
      </x:c>
      <x:c r="BD8" s="68"/>
    </x:row>
    <x:row r="9" ht="36" customHeight="1">
      <x:c r="A9" s="47" t="str">
        <x:v>2026-06-25</x:v>
      </x:c>
      <x:c r="B9" s="48" t="str">
        <x:v>PL021</x:v>
      </x:c>
      <x:c r="C9" s="48" t="str">
        <x:v>V01</x:v>
      </x:c>
      <x:c r="D9" s="48" t="str">
        <x:v>年10月16日建设项目环境影响报告受理公告（大良）.pdf</x:v>
      </x:c>
      <x:c r="E9" s="48" t="str">
        <x:v>佛山市顺德区共诺电子元件厂搬迁项目</x:v>
      </x:c>
      <x:c r="F9" s="48" t="str">
        <x:v>PL021_V01_Q01</x:v>
      </x:c>
      <x:c r="G9" s="48" t="str">
        <x:v>1. 塑胶行业样本筛选与国民经济行业分类</x:v>
      </x:c>
      <x:c r="H9" s="48" t="str">
        <x:v>请结合项目产品、原辅材料和生产工艺，判断该报告行业类别是否基本合理。</x:v>
      </x:c>
      <x:c r="I9" s="48" t="str">
        <x:v>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x:v>
      </x:c>
      <x:c r="J9" s="48"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9" s="48" t="str">
        <x:v>《国民经济行业分类》(GB/T 4754—2017)；本任务C292筛选及C17/C18排除规则</x:v>
      </x:c>
      <x:c r="L9" s="48" t="str">
        <x:v>结合本项目行业代码、建设性质、工艺关键词及PDF证据生成，非脱离项目的通用题。</x:v>
      </x:c>
      <x:c r="M9" s="48" t="str">
        <x:v>可依据对应PDF原文、工程分析表格及所列法规标准逐项复核。</x:v>
      </x:c>
      <x:c r="N9" s="48" t="str">
        <x:v>True</x:v>
      </x:c>
      <x:c r="O9" s="48"/>
      <x:c r="P9" s="48"/>
      <x:c r="Q9" s="48"/>
      <x:c r="R9" s="48" t="str">
        <x:v>新增</x:v>
      </x:c>
      <x:c r="S9" s="48" t="str">
        <x:v>是</x:v>
      </x:c>
      <x:c r="T9" s="48" t="str">
        <x:v>自动生成；需人工复核项目参数、公式取值、标准适用范围及PDF文字提取完整性。</x:v>
      </x:c>
      <x:c r="U9" s="48" t="str">
        <x:v>seed_qa_塑胶行业筛选版_30个国民经济行业分类的人工标记</x:v>
      </x:c>
      <x:c r="V9" s="48" t="str">
        <x:v>国民经济行业分类</x:v>
      </x:c>
      <x:c r="W9" s="48"/>
      <x:c r="X9" s="48" t="str">
        <x:v>待判断</x:v>
      </x:c>
      <x:c r="Y9" s="64"/>
      <x:c r="Z9" s="64" t="str">
        <x:v>未复核</x:v>
      </x:c>
      <x:c r="AA9" s="64" t="str">
        <x:v>部分充分</x:v>
      </x:c>
      <x:c r="AB9" s="64" t="str">
        <x:v>待判断</x:v>
      </x:c>
      <x:c r="AC9" s="64" t="str">
        <x:v>部分核验</x:v>
      </x:c>
      <x:c r="AD9" s="64" t="str">
        <x:v>自动默认</x:v>
      </x:c>
      <x:c r="AE9" s="64" t="str">
        <x:v>候选池</x:v>
      </x:c>
      <x:c r="AF9" s="64" t="str">
        <x:v>C_题目或材料问题</x:v>
      </x:c>
      <x:c r="AG9" s="64"/>
      <x:c r="AH9" s="64"/>
      <x:c r="AI9" s="64"/>
      <x:c r="AJ9" s="64"/>
      <x:c r="AK9" s="64"/>
      <x:c r="AL9" s="64"/>
      <x:c r="AM9" s="64"/>
      <x:c r="AN9" s="48" t="str">
        <x:v>106</x:v>
      </x:c>
      <x:c r="AO9" s="48" t="str">
        <x:v>MAP_BLANK</x:v>
      </x:c>
      <x:c r="AP9" s="48" t="str">
        <x:v>人工判断为空：不得自动补填结论；人工判断为空；结构完整但原因需人工确认；存在报告证据，但尚未经人工逐项核验；已列依据来源，但未在本阶段逐条核验</x:v>
      </x:c>
      <x:c r="AQ9" s="64"/>
      <x:c r="AR9" s="48" t="str">
        <x:v>industry_classification</x:v>
      </x:c>
      <x:c r="AS9" s="48" t="str">
        <x:v>L3_analysis</x:v>
      </x:c>
      <x:c r="AT9" s="48" t="str">
        <x:v>multi_evidence_synthesis</x:v>
      </x:c>
      <x:c r="AU9" s="48" t="str">
        <x:v>evidence_integration</x:v>
      </x:c>
      <x:c r="AV9" s="48" t="str">
        <x:v>report_grounding；basis_grounding</x:v>
      </x:c>
      <x:c r="AW9" s="48" t="str">
        <x:v>high</x:v>
      </x:c>
      <x:c r="AX9" s="48" t="str">
        <x:v>high</x:v>
      </x:c>
      <x:c r="AY9" s="48" t="str">
        <x:v>cross_section</x:v>
      </x:c>
      <x:c r="AZ9" s="48" t="str">
        <x:v>True</x:v>
      </x:c>
      <x:c r="BA9" s="48"/>
      <x:c r="BB9" s="48" t="str">
        <x:v>auto_default</x:v>
      </x:c>
      <x:c r="BC9" s="48" t="str">
        <x:v>v1</x:v>
      </x:c>
      <x:c r="BD9" s="68"/>
    </x:row>
    <x:row r="10" ht="36" customHeight="1">
      <x:c r="A10" s="47" t="str">
        <x:v>2026-06-25</x:v>
      </x:c>
      <x:c r="B10" s="48" t="str">
        <x:v>PL022</x:v>
      </x:c>
      <x:c r="C10" s="48" t="str">
        <x:v>V01</x:v>
      </x:c>
      <x:c r="D10" s="48" t="str">
        <x:v>年10月17日建设项目环境影响报告书（表）受理公告（佛山市生态环境局顺德分局）_2.pdf</x:v>
      </x:c>
      <x:c r="E10" s="48" t="str">
        <x:v>佛山市锐拓新材料有限公司新建项目</x:v>
      </x:c>
      <x:c r="F10" s="48" t="str">
        <x:v>PL022_V01_Q01</x:v>
      </x:c>
      <x:c r="G10" s="48" t="str">
        <x:v>1. 塑胶行业样本筛选与国民经济行业分类</x:v>
      </x:c>
      <x:c r="H10" s="48" t="str">
        <x:v>请结合项目产品、原辅材料和生产工艺，判断该报告行业类别是否基本合理。</x:v>
      </x:c>
      <x:c r="I10" s="48" t="str">
        <x:v>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x:v>
      </x:c>
      <x:c r="J10" s="48"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10" s="48" t="str">
        <x:v>《国民经济行业分类》(GB/T 4754—2017)；本任务C292筛选及C17/C18排除规则</x:v>
      </x:c>
      <x:c r="L10" s="48" t="str">
        <x:v>结合本项目行业代码、建设性质、工艺关键词及PDF证据生成，非脱离项目的通用题。</x:v>
      </x:c>
      <x:c r="M10" s="48" t="str">
        <x:v>可依据对应PDF原文、工程分析表格及所列法规标准逐项复核。</x:v>
      </x:c>
      <x:c r="N10" s="48" t="str">
        <x:v>True</x:v>
      </x:c>
      <x:c r="O10" s="48"/>
      <x:c r="P10" s="48"/>
      <x:c r="Q10" s="48"/>
      <x:c r="R10" s="48" t="str">
        <x:v>新增</x:v>
      </x:c>
      <x:c r="S10" s="48" t="str">
        <x:v>是</x:v>
      </x:c>
      <x:c r="T10" s="48" t="str">
        <x:v>自动生成；需人工复核项目参数、公式取值、标准适用范围及PDF文字提取完整性。</x:v>
      </x:c>
      <x:c r="U10" s="48" t="str">
        <x:v>seed_qa_塑胶行业筛选版_30个国民经济行业分类的人工标记</x:v>
      </x:c>
      <x:c r="V10" s="48" t="str">
        <x:v>国民经济行业分类</x:v>
      </x:c>
      <x:c r="W10" s="48"/>
      <x:c r="X10" s="48" t="str">
        <x:v>待判断</x:v>
      </x:c>
      <x:c r="Y10" s="64"/>
      <x:c r="Z10" s="64" t="str">
        <x:v>未复核</x:v>
      </x:c>
      <x:c r="AA10" s="64" t="str">
        <x:v>部分充分</x:v>
      </x:c>
      <x:c r="AB10" s="64" t="str">
        <x:v>待判断</x:v>
      </x:c>
      <x:c r="AC10" s="64" t="str">
        <x:v>部分核验</x:v>
      </x:c>
      <x:c r="AD10" s="64" t="str">
        <x:v>自动默认</x:v>
      </x:c>
      <x:c r="AE10" s="64" t="str">
        <x:v>候选池</x:v>
      </x:c>
      <x:c r="AF10" s="64" t="str">
        <x:v>C_题目或材料问题</x:v>
      </x:c>
      <x:c r="AG10" s="64"/>
      <x:c r="AH10" s="64"/>
      <x:c r="AI10" s="64"/>
      <x:c r="AJ10" s="64"/>
      <x:c r="AK10" s="64"/>
      <x:c r="AL10" s="64"/>
      <x:c r="AM10" s="64"/>
      <x:c r="AN10" s="48" t="str">
        <x:v>113</x:v>
      </x:c>
      <x:c r="AO10" s="48" t="str">
        <x:v>MAP_BLANK</x:v>
      </x:c>
      <x:c r="AP10" s="48" t="str">
        <x:v>人工判断为空：不得自动补填结论；人工判断为空；结构完整但原因需人工确认；存在报告证据，但尚未经人工逐项核验；已列依据来源，但未在本阶段逐条核验</x:v>
      </x:c>
      <x:c r="AQ10" s="64"/>
      <x:c r="AR10" s="48" t="str">
        <x:v>industry_classification</x:v>
      </x:c>
      <x:c r="AS10" s="48" t="str">
        <x:v>L3_analysis</x:v>
      </x:c>
      <x:c r="AT10" s="48" t="str">
        <x:v>multi_evidence_synthesis</x:v>
      </x:c>
      <x:c r="AU10" s="48" t="str">
        <x:v>evidence_integration</x:v>
      </x:c>
      <x:c r="AV10" s="48" t="str">
        <x:v>report_grounding；basis_grounding</x:v>
      </x:c>
      <x:c r="AW10" s="48" t="str">
        <x:v>high</x:v>
      </x:c>
      <x:c r="AX10" s="48" t="str">
        <x:v>high</x:v>
      </x:c>
      <x:c r="AY10" s="48" t="str">
        <x:v>cross_section</x:v>
      </x:c>
      <x:c r="AZ10" s="48" t="str">
        <x:v>True</x:v>
      </x:c>
      <x:c r="BA10" s="48"/>
      <x:c r="BB10" s="48" t="str">
        <x:v>auto_default</x:v>
      </x:c>
      <x:c r="BC10" s="48" t="str">
        <x:v>v1</x:v>
      </x:c>
      <x:c r="BD10" s="68"/>
    </x:row>
    <x:row r="11" ht="36" customHeight="1">
      <x:c r="A11" s="47" t="str">
        <x:v>2026-06-25</x:v>
      </x:c>
      <x:c r="B11" s="48" t="str">
        <x:v>PL023</x:v>
      </x:c>
      <x:c r="C11" s="48" t="str">
        <x:v>V01</x:v>
      </x:c>
      <x:c r="D11" s="48" t="str">
        <x:v>年10月17日建设项目环境影响报告书（表）受理公告（佛山市生态环境局顺德分局）_4.pdf</x:v>
      </x:c>
      <x:c r="E11" s="48" t="str">
        <x:v>佛山市通能达科技有限公司新建项目</x:v>
      </x:c>
      <x:c r="F11" s="48" t="str">
        <x:v>PL023_V01_Q01</x:v>
      </x:c>
      <x:c r="G11" s="48" t="str">
        <x:v>1. 塑胶行业样本筛选与国民经济行业分类</x:v>
      </x:c>
      <x:c r="H11" s="48" t="str">
        <x:v>请结合项目产品、原辅材料和生产工艺，判断该报告行业类别是否基本合理。</x:v>
      </x:c>
      <x:c r="I11" s="48" t="str">
        <x:v>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x:v>
      </x:c>
      <x:c r="J11" s="48"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11" s="48" t="str">
        <x:v>《国民经济行业分类》(GB/T 4754—2017)；本任务C292筛选及C17/C18排除规则</x:v>
      </x:c>
      <x:c r="L11" s="48" t="str">
        <x:v>结合本项目行业代码、建设性质、工艺关键词及PDF证据生成，非脱离项目的通用题。</x:v>
      </x:c>
      <x:c r="M11" s="48" t="str">
        <x:v>可依据对应PDF原文、工程分析表格及所列法规标准逐项复核。</x:v>
      </x:c>
      <x:c r="N11" s="48" t="str">
        <x:v>True</x:v>
      </x:c>
      <x:c r="O11" s="48"/>
      <x:c r="P11" s="48"/>
      <x:c r="Q11" s="48"/>
      <x:c r="R11" s="48" t="str">
        <x:v>新增</x:v>
      </x:c>
      <x:c r="S11" s="48" t="str">
        <x:v>是</x:v>
      </x:c>
      <x:c r="T11" s="48" t="str">
        <x:v>自动生成；需人工复核项目参数、公式取值、标准适用范围及PDF文字提取完整性。</x:v>
      </x:c>
      <x:c r="U11" s="48" t="str">
        <x:v>seed_qa_塑胶行业筛选版_30个国民经济行业分类的人工标记</x:v>
      </x:c>
      <x:c r="V11" s="48" t="str">
        <x:v>国民经济行业分类</x:v>
      </x:c>
      <x:c r="W11" s="48"/>
      <x:c r="X11" s="48" t="str">
        <x:v>待判断</x:v>
      </x:c>
      <x:c r="Y11" s="64"/>
      <x:c r="Z11" s="64" t="str">
        <x:v>未复核</x:v>
      </x:c>
      <x:c r="AA11" s="64" t="str">
        <x:v>部分充分</x:v>
      </x:c>
      <x:c r="AB11" s="64" t="str">
        <x:v>待判断</x:v>
      </x:c>
      <x:c r="AC11" s="64" t="str">
        <x:v>部分核验</x:v>
      </x:c>
      <x:c r="AD11" s="64" t="str">
        <x:v>自动默认</x:v>
      </x:c>
      <x:c r="AE11" s="64" t="str">
        <x:v>候选池</x:v>
      </x:c>
      <x:c r="AF11" s="64" t="str">
        <x:v>C_题目或材料问题</x:v>
      </x:c>
      <x:c r="AG11" s="64"/>
      <x:c r="AH11" s="64"/>
      <x:c r="AI11" s="64"/>
      <x:c r="AJ11" s="64"/>
      <x:c r="AK11" s="64"/>
      <x:c r="AL11" s="64"/>
      <x:c r="AM11" s="64"/>
      <x:c r="AN11" s="48" t="str">
        <x:v>120</x:v>
      </x:c>
      <x:c r="AO11" s="48" t="str">
        <x:v>MAP_BLANK</x:v>
      </x:c>
      <x:c r="AP11" s="48" t="str">
        <x:v>人工判断为空：不得自动补填结论；人工判断为空；结构完整但原因需人工确认；存在报告证据，但尚未经人工逐项核验；已列依据来源，但未在本阶段逐条核验</x:v>
      </x:c>
      <x:c r="AQ11" s="64"/>
      <x:c r="AR11" s="48" t="str">
        <x:v>industry_classification</x:v>
      </x:c>
      <x:c r="AS11" s="48" t="str">
        <x:v>L3_analysis</x:v>
      </x:c>
      <x:c r="AT11" s="48" t="str">
        <x:v>multi_evidence_synthesis</x:v>
      </x:c>
      <x:c r="AU11" s="48" t="str">
        <x:v>evidence_integration</x:v>
      </x:c>
      <x:c r="AV11" s="48" t="str">
        <x:v>report_grounding；basis_grounding</x:v>
      </x:c>
      <x:c r="AW11" s="48" t="str">
        <x:v>high</x:v>
      </x:c>
      <x:c r="AX11" s="48" t="str">
        <x:v>high</x:v>
      </x:c>
      <x:c r="AY11" s="48" t="str">
        <x:v>cross_section</x:v>
      </x:c>
      <x:c r="AZ11" s="48" t="str">
        <x:v>True</x:v>
      </x:c>
      <x:c r="BA11" s="48"/>
      <x:c r="BB11" s="48" t="str">
        <x:v>auto_default</x:v>
      </x:c>
      <x:c r="BC11" s="48" t="str">
        <x:v>v1</x:v>
      </x:c>
      <x:c r="BD11" s="68"/>
    </x:row>
    <x:row r="12" ht="36" customHeight="1">
      <x:c r="A12" s="47" t="str">
        <x:v>2026-06-25</x:v>
      </x:c>
      <x:c r="B12" s="48" t="str">
        <x:v>PL025</x:v>
      </x:c>
      <x:c r="C12" s="48" t="str">
        <x:v>V01</x:v>
      </x:c>
      <x:c r="D12" s="48" t="str">
        <x:v>年10月22日建设项目环境影响报告受理公告（大良）_2.pdf</x:v>
      </x:c>
      <x:c r="E12" s="48" t="str">
        <x:v>佛山市巨人电器有限公司新建项目</x:v>
      </x:c>
      <x:c r="F12" s="48" t="str">
        <x:v>PL025_V01_Q01</x:v>
      </x:c>
      <x:c r="G12" s="48" t="str">
        <x:v>1. 塑胶行业样本筛选与国民经济行业分类</x:v>
      </x:c>
      <x:c r="H12" s="48" t="str">
        <x:v>请结合项目产品、原辅材料和生产工艺，判断该报告行业类别是否基本合理。</x:v>
      </x:c>
      <x:c r="I12" s="48" t="str">
        <x:v>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x:v>
      </x:c>
      <x:c r="J12" s="48"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12" s="48" t="str">
        <x:v>《国民经济行业分类》(GB/T 4754—2017)；本任务C292筛选及C17/C18排除规则</x:v>
      </x:c>
      <x:c r="L12" s="48" t="str">
        <x:v>结合本项目行业代码、建设性质、工艺关键词及PDF证据生成，非脱离项目的通用题。</x:v>
      </x:c>
      <x:c r="M12" s="48" t="str">
        <x:v>可依据对应PDF原文、工程分析表格及所列法规标准逐项复核。</x:v>
      </x:c>
      <x:c r="N12" s="48" t="str">
        <x:v>True</x:v>
      </x:c>
      <x:c r="O12" s="48"/>
      <x:c r="P12" s="48"/>
      <x:c r="Q12" s="48"/>
      <x:c r="R12" s="48" t="str">
        <x:v>新增</x:v>
      </x:c>
      <x:c r="S12" s="48" t="str">
        <x:v>是</x:v>
      </x:c>
      <x:c r="T12" s="48" t="str">
        <x:v>自动生成；需人工复核项目参数、公式取值、标准适用范围及PDF文字提取完整性。</x:v>
      </x:c>
      <x:c r="U12" s="48" t="str">
        <x:v>seed_qa_塑胶行业筛选版_30个国民经济行业分类的人工标记</x:v>
      </x:c>
      <x:c r="V12" s="48" t="str">
        <x:v>国民经济行业分类</x:v>
      </x:c>
      <x:c r="W12" s="48"/>
      <x:c r="X12" s="48" t="str">
        <x:v>待判断</x:v>
      </x:c>
      <x:c r="Y12" s="64"/>
      <x:c r="Z12" s="64" t="str">
        <x:v>未复核</x:v>
      </x:c>
      <x:c r="AA12" s="64" t="str">
        <x:v>部分充分</x:v>
      </x:c>
      <x:c r="AB12" s="64" t="str">
        <x:v>待判断</x:v>
      </x:c>
      <x:c r="AC12" s="64" t="str">
        <x:v>部分核验</x:v>
      </x:c>
      <x:c r="AD12" s="64" t="str">
        <x:v>自动默认</x:v>
      </x:c>
      <x:c r="AE12" s="64" t="str">
        <x:v>候选池</x:v>
      </x:c>
      <x:c r="AF12" s="64" t="str">
        <x:v>C_题目或材料问题</x:v>
      </x:c>
      <x:c r="AG12" s="64"/>
      <x:c r="AH12" s="64"/>
      <x:c r="AI12" s="64"/>
      <x:c r="AJ12" s="64"/>
      <x:c r="AK12" s="64"/>
      <x:c r="AL12" s="64"/>
      <x:c r="AM12" s="64"/>
      <x:c r="AN12" s="48" t="str">
        <x:v>127</x:v>
      </x:c>
      <x:c r="AO12" s="48" t="str">
        <x:v>MAP_BLANK</x:v>
      </x:c>
      <x:c r="AP12" s="48" t="str">
        <x:v>人工判断为空：不得自动补填结论；人工判断为空；结构完整但原因需人工确认；存在报告证据，但尚未经人工逐项核验；已列依据来源，但未在本阶段逐条核验</x:v>
      </x:c>
      <x:c r="AQ12" s="64"/>
      <x:c r="AR12" s="48" t="str">
        <x:v>industry_classification</x:v>
      </x:c>
      <x:c r="AS12" s="48" t="str">
        <x:v>L3_analysis</x:v>
      </x:c>
      <x:c r="AT12" s="48" t="str">
        <x:v>multi_evidence_synthesis</x:v>
      </x:c>
      <x:c r="AU12" s="48" t="str">
        <x:v>evidence_integration</x:v>
      </x:c>
      <x:c r="AV12" s="48" t="str">
        <x:v>report_grounding；basis_grounding</x:v>
      </x:c>
      <x:c r="AW12" s="48" t="str">
        <x:v>high</x:v>
      </x:c>
      <x:c r="AX12" s="48" t="str">
        <x:v>high</x:v>
      </x:c>
      <x:c r="AY12" s="48" t="str">
        <x:v>cross_section</x:v>
      </x:c>
      <x:c r="AZ12" s="48" t="str">
        <x:v>True</x:v>
      </x:c>
      <x:c r="BA12" s="48"/>
      <x:c r="BB12" s="48" t="str">
        <x:v>auto_default</x:v>
      </x:c>
      <x:c r="BC12" s="48" t="str">
        <x:v>v1</x:v>
      </x:c>
      <x:c r="BD12" s="68"/>
    </x:row>
    <x:row r="13" ht="36" customHeight="1">
      <x:c r="A13" s="47" t="str">
        <x:v>2026-06-25</x:v>
      </x:c>
      <x:c r="B13" s="48" t="str">
        <x:v>PL026</x:v>
      </x:c>
      <x:c r="C13" s="48" t="str">
        <x:v>V01</x:v>
      </x:c>
      <x:c r="D13" s="48" t="str">
        <x:v>年10月22日建设项目环境影响报告表受理公告（容桂）_2.pdf</x:v>
      </x:c>
      <x:c r="E13" s="48" t="str">
        <x:v>佛山市黑曜电器科技有限公司新建项目</x:v>
      </x:c>
      <x:c r="F13" s="48" t="str">
        <x:v>PL026_V01_Q01</x:v>
      </x:c>
      <x:c r="G13" s="48" t="str">
        <x:v>1. 塑胶行业样本筛选与国民经济行业分类</x:v>
      </x:c>
      <x:c r="H13" s="48" t="str">
        <x:v>请结合项目产品、原辅材料和生产工艺，判断该报告行业类别是否基本合理。</x:v>
      </x:c>
      <x:c r="I13" s="48" t="str">
        <x:v>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x:v>
      </x:c>
      <x:c r="J13" s="48"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13" s="48" t="str">
        <x:v>《国民经济行业分类》(GB/T 4754—2017)；本任务C292筛选及C17/C18排除规则</x:v>
      </x:c>
      <x:c r="L13" s="48" t="str">
        <x:v>结合本项目行业代码、建设性质、工艺关键词及PDF证据生成，非脱离项目的通用题。</x:v>
      </x:c>
      <x:c r="M13" s="48" t="str">
        <x:v>可依据对应PDF原文、工程分析表格及所列法规标准逐项复核。</x:v>
      </x:c>
      <x:c r="N13" s="48" t="str">
        <x:v>True</x:v>
      </x:c>
      <x:c r="O13" s="48"/>
      <x:c r="P13" s="48"/>
      <x:c r="Q13" s="48"/>
      <x:c r="R13" s="48" t="str">
        <x:v>新增</x:v>
      </x:c>
      <x:c r="S13" s="48" t="str">
        <x:v>是</x:v>
      </x:c>
      <x:c r="T13" s="48" t="str">
        <x:v>自动生成；需人工复核项目参数、公式取值、标准适用范围及PDF文字提取完整性。</x:v>
      </x:c>
      <x:c r="U13" s="48" t="str">
        <x:v>seed_qa_塑胶行业筛选版_30个国民经济行业分类的人工标记</x:v>
      </x:c>
      <x:c r="V13" s="48" t="str">
        <x:v>国民经济行业分类</x:v>
      </x:c>
      <x:c r="W13" s="48"/>
      <x:c r="X13" s="48" t="str">
        <x:v>待判断</x:v>
      </x:c>
      <x:c r="Y13" s="64"/>
      <x:c r="Z13" s="64" t="str">
        <x:v>未复核</x:v>
      </x:c>
      <x:c r="AA13" s="64" t="str">
        <x:v>部分充分</x:v>
      </x:c>
      <x:c r="AB13" s="64" t="str">
        <x:v>待判断</x:v>
      </x:c>
      <x:c r="AC13" s="64" t="str">
        <x:v>部分核验</x:v>
      </x:c>
      <x:c r="AD13" s="64" t="str">
        <x:v>自动默认</x:v>
      </x:c>
      <x:c r="AE13" s="64" t="str">
        <x:v>候选池</x:v>
      </x:c>
      <x:c r="AF13" s="64" t="str">
        <x:v>C_题目或材料问题</x:v>
      </x:c>
      <x:c r="AG13" s="64"/>
      <x:c r="AH13" s="64"/>
      <x:c r="AI13" s="64"/>
      <x:c r="AJ13" s="64"/>
      <x:c r="AK13" s="64"/>
      <x:c r="AL13" s="64"/>
      <x:c r="AM13" s="64"/>
      <x:c r="AN13" s="48" t="str">
        <x:v>134</x:v>
      </x:c>
      <x:c r="AO13" s="48" t="str">
        <x:v>MAP_BLANK</x:v>
      </x:c>
      <x:c r="AP13" s="48" t="str">
        <x:v>人工判断为空：不得自动补填结论；人工判断为空；结构完整但原因需人工确认；存在报告证据，但尚未经人工逐项核验；已列依据来源，但未在本阶段逐条核验</x:v>
      </x:c>
      <x:c r="AQ13" s="64"/>
      <x:c r="AR13" s="48" t="str">
        <x:v>industry_classification</x:v>
      </x:c>
      <x:c r="AS13" s="48" t="str">
        <x:v>L3_analysis</x:v>
      </x:c>
      <x:c r="AT13" s="48" t="str">
        <x:v>multi_evidence_synthesis</x:v>
      </x:c>
      <x:c r="AU13" s="48" t="str">
        <x:v>evidence_integration</x:v>
      </x:c>
      <x:c r="AV13" s="48" t="str">
        <x:v>report_grounding；basis_grounding</x:v>
      </x:c>
      <x:c r="AW13" s="48" t="str">
        <x:v>high</x:v>
      </x:c>
      <x:c r="AX13" s="48" t="str">
        <x:v>high</x:v>
      </x:c>
      <x:c r="AY13" s="48" t="str">
        <x:v>cross_section</x:v>
      </x:c>
      <x:c r="AZ13" s="48" t="str">
        <x:v>True</x:v>
      </x:c>
      <x:c r="BA13" s="48"/>
      <x:c r="BB13" s="48" t="str">
        <x:v>auto_default</x:v>
      </x:c>
      <x:c r="BC13" s="48" t="str">
        <x:v>v1</x:v>
      </x:c>
      <x:c r="BD13" s="68"/>
    </x:row>
    <x:row r="14" ht="36" customHeight="1">
      <x:c r="A14" s="47" t="str">
        <x:v>2026-06-25</x:v>
      </x:c>
      <x:c r="B14" s="48" t="str">
        <x:v>PL027</x:v>
      </x:c>
      <x:c r="C14" s="48" t="str">
        <x:v>V01</x:v>
      </x:c>
      <x:c r="D14" s="48" t="str">
        <x:v>年10月23日建设项目环境影响报告书（表）受理公告（佛山市生态环境局顺德分局）_1.pdf</x:v>
      </x:c>
      <x:c r="E14" s="48" t="str">
        <x:v>佛山市天隆通塑料制品有限公司新建项目</x:v>
      </x:c>
      <x:c r="F14" s="48" t="str">
        <x:v>PL027_V01_Q01</x:v>
      </x:c>
      <x:c r="G14" s="48" t="str">
        <x:v>1. 塑胶行业样本筛选与国民经济行业分类</x:v>
      </x:c>
      <x:c r="H14" s="48" t="str">
        <x:v>请结合项目产品、原辅材料和生产工艺，判断该报告行业类别是否基本合理。</x:v>
      </x:c>
      <x:c r="I14" s="48" t="str">
        <x:v>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x:v>
      </x:c>
      <x:c r="J14" s="48" t="str">
        <x:v>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v>
      </x:c>
      <x:c r="K14" s="48" t="str">
        <x:v>《国民经济行业分类》(GB/T 4754—2017)；本任务C292筛选及C17/C18排除规则</x:v>
      </x:c>
      <x:c r="L14" s="48" t="str">
        <x:v>结合本项目行业代码、建设性质、工艺关键词及PDF证据生成，非脱离项目的通用题。</x:v>
      </x:c>
      <x:c r="M14" s="48" t="str">
        <x:v>可依据对应PDF原文、工程分析表格及所列法规标准逐项复核。</x:v>
      </x:c>
      <x:c r="N14" s="48" t="str">
        <x:v>True</x:v>
      </x:c>
      <x:c r="O14" s="48"/>
      <x:c r="P14" s="48"/>
      <x:c r="Q14" s="48"/>
      <x:c r="R14" s="48" t="str">
        <x:v>新增</x:v>
      </x:c>
      <x:c r="S14" s="48" t="str">
        <x:v>是</x:v>
      </x:c>
      <x:c r="T14" s="48" t="str">
        <x:v>自动生成；需人工复核项目参数、公式取值、标准适用范围及PDF文字提取完整性。</x:v>
      </x:c>
      <x:c r="U14" s="48" t="str">
        <x:v>seed_qa_塑胶行业筛选版_30个国民经济行业分类的人工标记</x:v>
      </x:c>
      <x:c r="V14" s="48" t="str">
        <x:v>国民经济行业分类</x:v>
      </x:c>
      <x:c r="W14" s="48"/>
      <x:c r="X14" s="48" t="str">
        <x:v>待判断</x:v>
      </x:c>
      <x:c r="Y14" s="64"/>
      <x:c r="Z14" s="64" t="str">
        <x:v>未复核</x:v>
      </x:c>
      <x:c r="AA14" s="64" t="str">
        <x:v>部分充分</x:v>
      </x:c>
      <x:c r="AB14" s="64" t="str">
        <x:v>待判断</x:v>
      </x:c>
      <x:c r="AC14" s="64" t="str">
        <x:v>部分核验</x:v>
      </x:c>
      <x:c r="AD14" s="64" t="str">
        <x:v>自动默认</x:v>
      </x:c>
      <x:c r="AE14" s="64" t="str">
        <x:v>候选池</x:v>
      </x:c>
      <x:c r="AF14" s="64" t="str">
        <x:v>C_题目或材料问题</x:v>
      </x:c>
      <x:c r="AG14" s="64"/>
      <x:c r="AH14" s="64"/>
      <x:c r="AI14" s="64"/>
      <x:c r="AJ14" s="64"/>
      <x:c r="AK14" s="64"/>
      <x:c r="AL14" s="64"/>
      <x:c r="AM14" s="64"/>
      <x:c r="AN14" s="48" t="str">
        <x:v>141</x:v>
      </x:c>
      <x:c r="AO14" s="48" t="str">
        <x:v>MAP_BLANK</x:v>
      </x:c>
      <x:c r="AP14" s="48" t="str">
        <x:v>人工判断为空：不得自动补填结论；人工判断为空；结构完整但原因需人工确认；存在报告证据，但尚未经人工逐项核验；已列依据来源，但未在本阶段逐条核验</x:v>
      </x:c>
      <x:c r="AQ14" s="64"/>
      <x:c r="AR14" s="48" t="str">
        <x:v>industry_classification</x:v>
      </x:c>
      <x:c r="AS14" s="48" t="str">
        <x:v>L3_analysis</x:v>
      </x:c>
      <x:c r="AT14" s="48" t="str">
        <x:v>multi_evidence_synthesis</x:v>
      </x:c>
      <x:c r="AU14" s="48" t="str">
        <x:v>evidence_integration</x:v>
      </x:c>
      <x:c r="AV14" s="48" t="str">
        <x:v>report_grounding；basis_grounding</x:v>
      </x:c>
      <x:c r="AW14" s="48" t="str">
        <x:v>high</x:v>
      </x:c>
      <x:c r="AX14" s="48" t="str">
        <x:v>high</x:v>
      </x:c>
      <x:c r="AY14" s="48" t="str">
        <x:v>cross_section</x:v>
      </x:c>
      <x:c r="AZ14" s="48" t="str">
        <x:v>True</x:v>
      </x:c>
      <x:c r="BA14" s="48"/>
      <x:c r="BB14" s="48" t="str">
        <x:v>auto_default</x:v>
      </x:c>
      <x:c r="BC14" s="48" t="str">
        <x:v>v1</x:v>
      </x:c>
      <x:c r="BD14" s="68"/>
    </x:row>
    <x:row r="15" ht="36" customHeight="1">
      <x:c r="A15" s="47" t="str">
        <x:v>2026-06-25</x:v>
      </x:c>
      <x:c r="B15" s="48" t="str">
        <x:v>PL028</x:v>
      </x:c>
      <x:c r="C15" s="48" t="str">
        <x:v>V01</x:v>
      </x:c>
      <x:c r="D15" s="48" t="str">
        <x:v>年10月24日建设项目环境影响报告书（表）受理公告（均安）_1.pdf</x:v>
      </x:c>
      <x:c r="E15" s="48" t="str">
        <x:v>佛山市顺德区振峰塑料模具制造有限公司分车间新建项目</x:v>
      </x:c>
      <x:c r="F15" s="48" t="str">
        <x:v>PL028_V01_Q01</x:v>
      </x:c>
      <x:c r="G15" s="48" t="str">
        <x:v>1. 塑胶行业样本筛选与国民经济行业分类</x:v>
      </x:c>
      <x:c r="H15" s="48" t="str">
        <x:v>请结合项目产品、原辅材料和生产工艺，判断该报告行业类别是否基本合理。</x:v>
      </x:c>
      <x:c r="I15" s="48" t="str">
        <x:v>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x:v>
      </x:c>
      <x:c r="J15" s="48"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15" s="48" t="str">
        <x:v>《国民经济行业分类》(GB/T 4754—2017)；本任务C292筛选及C17/C18排除规则</x:v>
      </x:c>
      <x:c r="L15" s="48" t="str">
        <x:v>结合本项目行业代码、建设性质、工艺关键词及PDF证据生成，非脱离项目的通用题。</x:v>
      </x:c>
      <x:c r="M15" s="48" t="str">
        <x:v>可依据对应PDF原文、工程分析表格及所列法规标准逐项复核。</x:v>
      </x:c>
      <x:c r="N15" s="48" t="str">
        <x:v>True</x:v>
      </x:c>
      <x:c r="O15" s="48"/>
      <x:c r="P15" s="48"/>
      <x:c r="Q15" s="48"/>
      <x:c r="R15" s="48" t="str">
        <x:v>新增</x:v>
      </x:c>
      <x:c r="S15" s="48" t="str">
        <x:v>是</x:v>
      </x:c>
      <x:c r="T15" s="48" t="str">
        <x:v>自动生成；需人工复核项目参数、公式取值、标准适用范围及PDF文字提取完整性。</x:v>
      </x:c>
      <x:c r="U15" s="48" t="str">
        <x:v>seed_qa_塑胶行业筛选版_30个国民经济行业分类的人工标记</x:v>
      </x:c>
      <x:c r="V15" s="48" t="str">
        <x:v>国民经济行业分类</x:v>
      </x:c>
      <x:c r="W15" s="48"/>
      <x:c r="X15" s="48" t="str">
        <x:v>待判断</x:v>
      </x:c>
      <x:c r="Y15" s="64"/>
      <x:c r="Z15" s="64" t="str">
        <x:v>未复核</x:v>
      </x:c>
      <x:c r="AA15" s="64" t="str">
        <x:v>部分充分</x:v>
      </x:c>
      <x:c r="AB15" s="64" t="str">
        <x:v>待判断</x:v>
      </x:c>
      <x:c r="AC15" s="64" t="str">
        <x:v>部分核验</x:v>
      </x:c>
      <x:c r="AD15" s="64" t="str">
        <x:v>自动默认</x:v>
      </x:c>
      <x:c r="AE15" s="64" t="str">
        <x:v>候选池</x:v>
      </x:c>
      <x:c r="AF15" s="64" t="str">
        <x:v>C_题目或材料问题</x:v>
      </x:c>
      <x:c r="AG15" s="64"/>
      <x:c r="AH15" s="64"/>
      <x:c r="AI15" s="64"/>
      <x:c r="AJ15" s="64"/>
      <x:c r="AK15" s="64"/>
      <x:c r="AL15" s="64"/>
      <x:c r="AM15" s="64"/>
      <x:c r="AN15" s="48" t="str">
        <x:v>148</x:v>
      </x:c>
      <x:c r="AO15" s="48" t="str">
        <x:v>MAP_BLANK</x:v>
      </x:c>
      <x:c r="AP15" s="48" t="str">
        <x:v>人工判断为空：不得自动补填结论；人工判断为空；结构完整但原因需人工确认；存在报告证据，但尚未经人工逐项核验；已列依据来源，但未在本阶段逐条核验</x:v>
      </x:c>
      <x:c r="AQ15" s="64"/>
      <x:c r="AR15" s="48" t="str">
        <x:v>industry_classification</x:v>
      </x:c>
      <x:c r="AS15" s="48" t="str">
        <x:v>L3_analysis</x:v>
      </x:c>
      <x:c r="AT15" s="48" t="str">
        <x:v>multi_evidence_synthesis</x:v>
      </x:c>
      <x:c r="AU15" s="48" t="str">
        <x:v>evidence_integration</x:v>
      </x:c>
      <x:c r="AV15" s="48" t="str">
        <x:v>report_grounding；basis_grounding</x:v>
      </x:c>
      <x:c r="AW15" s="48" t="str">
        <x:v>high</x:v>
      </x:c>
      <x:c r="AX15" s="48" t="str">
        <x:v>high</x:v>
      </x:c>
      <x:c r="AY15" s="48" t="str">
        <x:v>cross_section</x:v>
      </x:c>
      <x:c r="AZ15" s="48" t="str">
        <x:v>True</x:v>
      </x:c>
      <x:c r="BA15" s="48"/>
      <x:c r="BB15" s="48" t="str">
        <x:v>auto_default</x:v>
      </x:c>
      <x:c r="BC15" s="48" t="str">
        <x:v>v1</x:v>
      </x:c>
      <x:c r="BD15" s="68"/>
    </x:row>
    <x:row r="16" ht="36" customHeight="1">
      <x:c r="A16" s="47" t="str">
        <x:v>2026-06-25</x:v>
      </x:c>
      <x:c r="B16" s="48" t="str">
        <x:v>PL029</x:v>
      </x:c>
      <x:c r="C16" s="48" t="str">
        <x:v>V01</x:v>
      </x:c>
      <x:c r="D16" s="48" t="str">
        <x:v>年10月24日建设项目环境影响报告书（表）受理公告（均安）_2.pdf</x:v>
      </x:c>
      <x:c r="E16" s="48" t="str">
        <x:v>佛山市茂安耀科技有限公司新建项目</x:v>
      </x:c>
      <x:c r="F16" s="48" t="str">
        <x:v>PL029_V01_Q01</x:v>
      </x:c>
      <x:c r="G16" s="48" t="str">
        <x:v>1. 塑胶行业样本筛选与国民经济行业分类</x:v>
      </x:c>
      <x:c r="H16" s="48" t="str">
        <x:v>请结合项目产品、原辅材料和生产工艺，判断该报告行业类别是否基本合理。</x:v>
      </x:c>
      <x:c r="I16" s="48" t="str">
        <x:v>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x:v>
      </x:c>
      <x:c r="J16" s="48"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16" s="48" t="str">
        <x:v>《国民经济行业分类》(GB/T 4754—2017)；本任务C292筛选及C17/C18排除规则</x:v>
      </x:c>
      <x:c r="L16" s="48" t="str">
        <x:v>结合本项目行业代码、建设性质、工艺关键词及PDF证据生成，非脱离项目的通用题。</x:v>
      </x:c>
      <x:c r="M16" s="48" t="str">
        <x:v>可依据对应PDF原文、工程分析表格及所列法规标准逐项复核。</x:v>
      </x:c>
      <x:c r="N16" s="48" t="str">
        <x:v>True</x:v>
      </x:c>
      <x:c r="O16" s="48"/>
      <x:c r="P16" s="48"/>
      <x:c r="Q16" s="48"/>
      <x:c r="R16" s="48" t="str">
        <x:v>新增</x:v>
      </x:c>
      <x:c r="S16" s="48" t="str">
        <x:v>是</x:v>
      </x:c>
      <x:c r="T16" s="48" t="str">
        <x:v>自动生成；需人工复核项目参数、公式取值、标准适用范围及PDF文字提取完整性。</x:v>
      </x:c>
      <x:c r="U16" s="48" t="str">
        <x:v>seed_qa_塑胶行业筛选版_30个国民经济行业分类的人工标记</x:v>
      </x:c>
      <x:c r="V16" s="48" t="str">
        <x:v>国民经济行业分类</x:v>
      </x:c>
      <x:c r="W16" s="48"/>
      <x:c r="X16" s="48" t="str">
        <x:v>待判断</x:v>
      </x:c>
      <x:c r="Y16" s="64"/>
      <x:c r="Z16" s="64" t="str">
        <x:v>未复核</x:v>
      </x:c>
      <x:c r="AA16" s="64" t="str">
        <x:v>部分充分</x:v>
      </x:c>
      <x:c r="AB16" s="64" t="str">
        <x:v>待判断</x:v>
      </x:c>
      <x:c r="AC16" s="64" t="str">
        <x:v>部分核验</x:v>
      </x:c>
      <x:c r="AD16" s="64" t="str">
        <x:v>自动默认</x:v>
      </x:c>
      <x:c r="AE16" s="64" t="str">
        <x:v>候选池</x:v>
      </x:c>
      <x:c r="AF16" s="64" t="str">
        <x:v>C_题目或材料问题</x:v>
      </x:c>
      <x:c r="AG16" s="64"/>
      <x:c r="AH16" s="64"/>
      <x:c r="AI16" s="64"/>
      <x:c r="AJ16" s="64"/>
      <x:c r="AK16" s="64"/>
      <x:c r="AL16" s="64"/>
      <x:c r="AM16" s="64"/>
      <x:c r="AN16" s="48" t="str">
        <x:v>155</x:v>
      </x:c>
      <x:c r="AO16" s="48" t="str">
        <x:v>MAP_BLANK</x:v>
      </x:c>
      <x:c r="AP16" s="48" t="str">
        <x:v>人工判断为空：不得自动补填结论；人工判断为空；结构完整但原因需人工确认；存在报告证据，但尚未经人工逐项核验；已列依据来源，但未在本阶段逐条核验</x:v>
      </x:c>
      <x:c r="AQ16" s="64"/>
      <x:c r="AR16" s="48" t="str">
        <x:v>industry_classification</x:v>
      </x:c>
      <x:c r="AS16" s="48" t="str">
        <x:v>L3_analysis</x:v>
      </x:c>
      <x:c r="AT16" s="48" t="str">
        <x:v>multi_evidence_synthesis</x:v>
      </x:c>
      <x:c r="AU16" s="48" t="str">
        <x:v>evidence_integration</x:v>
      </x:c>
      <x:c r="AV16" s="48" t="str">
        <x:v>report_grounding；basis_grounding</x:v>
      </x:c>
      <x:c r="AW16" s="48" t="str">
        <x:v>high</x:v>
      </x:c>
      <x:c r="AX16" s="48" t="str">
        <x:v>high</x:v>
      </x:c>
      <x:c r="AY16" s="48" t="str">
        <x:v>cross_section</x:v>
      </x:c>
      <x:c r="AZ16" s="48" t="str">
        <x:v>True</x:v>
      </x:c>
      <x:c r="BA16" s="48"/>
      <x:c r="BB16" s="48" t="str">
        <x:v>auto_default</x:v>
      </x:c>
      <x:c r="BC16" s="48" t="str">
        <x:v>v1</x:v>
      </x:c>
      <x:c r="BD16" s="68"/>
    </x:row>
    <x:row r="17" ht="36" customHeight="1">
      <x:c r="A17" s="47" t="str">
        <x:v>2026-06-25</x:v>
      </x:c>
      <x:c r="B17" s="48" t="str">
        <x:v>PL030</x:v>
      </x:c>
      <x:c r="C17" s="48" t="str">
        <x:v>V01</x:v>
      </x:c>
      <x:c r="D17" s="48" t="str">
        <x:v>年10月25日建设项目环境影响报告书（表）受理公告（佛山市生态环境局顺德分局）_3.pdf</x:v>
      </x:c>
      <x:c r="E17" s="48" t="str">
        <x:v>佛山市瑞易德塑料五金制品有限公司搬迁项目</x:v>
      </x:c>
      <x:c r="F17" s="48" t="str">
        <x:v>PL030_V01_Q01</x:v>
      </x:c>
      <x:c r="G17" s="48" t="str">
        <x:v>1. 塑胶行业样本筛选与国民经济行业分类</x:v>
      </x:c>
      <x:c r="H17" s="48" t="str">
        <x:v>请结合项目产品、原辅材料和生产工艺，判断该报告行业类别是否基本合理。</x:v>
      </x:c>
      <x:c r="I17" s="48" t="str">
        <x:v>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x:v>
      </x:c>
      <x:c r="J17" s="48"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17" s="48" t="str">
        <x:v>《国民经济行业分类》(GB/T 4754—2017)；本任务C292筛选及C17/C18排除规则</x:v>
      </x:c>
      <x:c r="L17" s="48" t="str">
        <x:v>结合本项目行业代码、建设性质、工艺关键词及PDF证据生成，非脱离项目的通用题。</x:v>
      </x:c>
      <x:c r="M17" s="48" t="str">
        <x:v>可依据对应PDF原文、工程分析表格及所列法规标准逐项复核。</x:v>
      </x:c>
      <x:c r="N17" s="48" t="str">
        <x:v>True</x:v>
      </x:c>
      <x:c r="O17" s="48"/>
      <x:c r="P17" s="48"/>
      <x:c r="Q17" s="48"/>
      <x:c r="R17" s="48" t="str">
        <x:v>新增</x:v>
      </x:c>
      <x:c r="S17" s="48" t="str">
        <x:v>是</x:v>
      </x:c>
      <x:c r="T17" s="48" t="str">
        <x:v>自动生成；需人工复核项目参数、公式取值、标准适用范围及PDF文字提取完整性。</x:v>
      </x:c>
      <x:c r="U17" s="48" t="str">
        <x:v>seed_qa_塑胶行业筛选版_30个国民经济行业分类的人工标记</x:v>
      </x:c>
      <x:c r="V17" s="48" t="str">
        <x:v>国民经济行业分类</x:v>
      </x:c>
      <x:c r="W17" s="48"/>
      <x:c r="X17" s="48" t="str">
        <x:v>待判断</x:v>
      </x:c>
      <x:c r="Y17" s="64"/>
      <x:c r="Z17" s="64" t="str">
        <x:v>未复核</x:v>
      </x:c>
      <x:c r="AA17" s="64" t="str">
        <x:v>部分充分</x:v>
      </x:c>
      <x:c r="AB17" s="64" t="str">
        <x:v>待判断</x:v>
      </x:c>
      <x:c r="AC17" s="64" t="str">
        <x:v>部分核验</x:v>
      </x:c>
      <x:c r="AD17" s="64" t="str">
        <x:v>自动默认</x:v>
      </x:c>
      <x:c r="AE17" s="64" t="str">
        <x:v>候选池</x:v>
      </x:c>
      <x:c r="AF17" s="64" t="str">
        <x:v>C_题目或材料问题</x:v>
      </x:c>
      <x:c r="AG17" s="64"/>
      <x:c r="AH17" s="64"/>
      <x:c r="AI17" s="64"/>
      <x:c r="AJ17" s="64"/>
      <x:c r="AK17" s="64"/>
      <x:c r="AL17" s="64"/>
      <x:c r="AM17" s="64"/>
      <x:c r="AN17" s="48" t="str">
        <x:v>162</x:v>
      </x:c>
      <x:c r="AO17" s="48" t="str">
        <x:v>MAP_BLANK</x:v>
      </x:c>
      <x:c r="AP17" s="48" t="str">
        <x:v>人工判断为空：不得自动补填结论；人工判断为空；结构完整但原因需人工确认；存在报告证据，但尚未经人工逐项核验；已列依据来源，但未在本阶段逐条核验</x:v>
      </x:c>
      <x:c r="AQ17" s="64"/>
      <x:c r="AR17" s="48" t="str">
        <x:v>industry_classification</x:v>
      </x:c>
      <x:c r="AS17" s="48" t="str">
        <x:v>L3_analysis</x:v>
      </x:c>
      <x:c r="AT17" s="48" t="str">
        <x:v>multi_evidence_synthesis</x:v>
      </x:c>
      <x:c r="AU17" s="48" t="str">
        <x:v>evidence_integration</x:v>
      </x:c>
      <x:c r="AV17" s="48" t="str">
        <x:v>report_grounding；basis_grounding</x:v>
      </x:c>
      <x:c r="AW17" s="48" t="str">
        <x:v>high</x:v>
      </x:c>
      <x:c r="AX17" s="48" t="str">
        <x:v>high</x:v>
      </x:c>
      <x:c r="AY17" s="48" t="str">
        <x:v>cross_section</x:v>
      </x:c>
      <x:c r="AZ17" s="48" t="str">
        <x:v>True</x:v>
      </x:c>
      <x:c r="BA17" s="48"/>
      <x:c r="BB17" s="48" t="str">
        <x:v>auto_default</x:v>
      </x:c>
      <x:c r="BC17" s="48" t="str">
        <x:v>v1</x:v>
      </x:c>
      <x:c r="BD17" s="68"/>
    </x:row>
    <x:row r="18" ht="36" customHeight="1">
      <x:c r="A18" s="47" t="str">
        <x:v>2026-06-25</x:v>
      </x:c>
      <x:c r="B18" s="48" t="str">
        <x:v>PL031</x:v>
      </x:c>
      <x:c r="C18" s="48" t="str">
        <x:v>V01</x:v>
      </x:c>
      <x:c r="D18" s="48" t="str">
        <x:v>年10月28日建设项目环境影响报告书（表）受理公告（佛山市生态环境局顺德分局）_3.pdf</x:v>
      </x:c>
      <x:c r="E18" s="48" t="str">
        <x:v>佛山市浩创时代包装制品有限公司新建项目</x:v>
      </x:c>
      <x:c r="F18" s="48" t="str">
        <x:v>PL031_V01_Q01</x:v>
      </x:c>
      <x:c r="G18" s="48" t="str">
        <x:v>1. 塑胶行业样本筛选与国民经济行业分类</x:v>
      </x:c>
      <x:c r="H18" s="48" t="str">
        <x:v>请结合项目产品、原辅材料和生产工艺，判断该报告行业类别是否基本合理。</x:v>
      </x:c>
      <x:c r="I18" s="48" t="str">
        <x:v>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x:v>
      </x:c>
      <x:c r="J18" s="48"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18" s="48" t="str">
        <x:v>《国民经济行业分类》(GB/T 4754—2017)；本任务C292筛选及C17/C18排除规则</x:v>
      </x:c>
      <x:c r="L18" s="48" t="str">
        <x:v>结合本项目行业代码、建设性质、工艺关键词及PDF证据生成，非脱离项目的通用题。</x:v>
      </x:c>
      <x:c r="M18" s="48" t="str">
        <x:v>可依据对应PDF原文、工程分析表格及所列法规标准逐项复核。</x:v>
      </x:c>
      <x:c r="N18" s="48" t="str">
        <x:v>True</x:v>
      </x:c>
      <x:c r="O18" s="48"/>
      <x:c r="P18" s="48"/>
      <x:c r="Q18" s="48"/>
      <x:c r="R18" s="48" t="str">
        <x:v>新增</x:v>
      </x:c>
      <x:c r="S18" s="48" t="str">
        <x:v>是</x:v>
      </x:c>
      <x:c r="T18" s="48" t="str">
        <x:v>自动生成；需人工复核项目参数、公式取值、标准适用范围及PDF文字提取完整性。</x:v>
      </x:c>
      <x:c r="U18" s="48" t="str">
        <x:v>seed_qa_塑胶行业筛选版_30个国民经济行业分类的人工标记</x:v>
      </x:c>
      <x:c r="V18" s="48" t="str">
        <x:v>国民经济行业分类</x:v>
      </x:c>
      <x:c r="W18" s="48"/>
      <x:c r="X18" s="48" t="str">
        <x:v>待判断</x:v>
      </x:c>
      <x:c r="Y18" s="64"/>
      <x:c r="Z18" s="64" t="str">
        <x:v>未复核</x:v>
      </x:c>
      <x:c r="AA18" s="64" t="str">
        <x:v>部分充分</x:v>
      </x:c>
      <x:c r="AB18" s="64" t="str">
        <x:v>待判断</x:v>
      </x:c>
      <x:c r="AC18" s="64" t="str">
        <x:v>部分核验</x:v>
      </x:c>
      <x:c r="AD18" s="64" t="str">
        <x:v>自动默认</x:v>
      </x:c>
      <x:c r="AE18" s="64" t="str">
        <x:v>候选池</x:v>
      </x:c>
      <x:c r="AF18" s="64" t="str">
        <x:v>C_题目或材料问题</x:v>
      </x:c>
      <x:c r="AG18" s="64"/>
      <x:c r="AH18" s="64"/>
      <x:c r="AI18" s="64"/>
      <x:c r="AJ18" s="64"/>
      <x:c r="AK18" s="64"/>
      <x:c r="AL18" s="64"/>
      <x:c r="AM18" s="64"/>
      <x:c r="AN18" s="48" t="str">
        <x:v>169</x:v>
      </x:c>
      <x:c r="AO18" s="48" t="str">
        <x:v>MAP_BLANK</x:v>
      </x:c>
      <x:c r="AP18" s="48" t="str">
        <x:v>人工判断为空：不得自动补填结论；人工判断为空；结构完整但原因需人工确认；存在报告证据，但尚未经人工逐项核验；已列依据来源，但未在本阶段逐条核验</x:v>
      </x:c>
      <x:c r="AQ18" s="64"/>
      <x:c r="AR18" s="48" t="str">
        <x:v>industry_classification</x:v>
      </x:c>
      <x:c r="AS18" s="48" t="str">
        <x:v>L3_analysis</x:v>
      </x:c>
      <x:c r="AT18" s="48" t="str">
        <x:v>multi_evidence_synthesis</x:v>
      </x:c>
      <x:c r="AU18" s="48" t="str">
        <x:v>evidence_integration</x:v>
      </x:c>
      <x:c r="AV18" s="48" t="str">
        <x:v>report_grounding；basis_grounding</x:v>
      </x:c>
      <x:c r="AW18" s="48" t="str">
        <x:v>high</x:v>
      </x:c>
      <x:c r="AX18" s="48" t="str">
        <x:v>high</x:v>
      </x:c>
      <x:c r="AY18" s="48" t="str">
        <x:v>cross_section</x:v>
      </x:c>
      <x:c r="AZ18" s="48" t="str">
        <x:v>True</x:v>
      </x:c>
      <x:c r="BA18" s="48"/>
      <x:c r="BB18" s="48" t="str">
        <x:v>auto_default</x:v>
      </x:c>
      <x:c r="BC18" s="48" t="str">
        <x:v>v1</x:v>
      </x:c>
      <x:c r="BD18" s="68"/>
    </x:row>
    <x:row r="19" ht="36" customHeight="1">
      <x:c r="A19" s="47" t="str">
        <x:v>2026-06-25</x:v>
      </x:c>
      <x:c r="B19" s="48" t="str">
        <x:v>PL032</x:v>
      </x:c>
      <x:c r="C19" s="48" t="str">
        <x:v>V01</x:v>
      </x:c>
      <x:c r="D19" s="48" t="str">
        <x:v>年10月28日建设项目环境影响报告书（表）受理公告（佛山市生态环境局顺德分局）_4.pdf</x:v>
      </x:c>
      <x:c r="E19" s="48" t="str">
        <x:v>德旺众新材料科技（佛山）有限公司新建建设项目</x:v>
      </x:c>
      <x:c r="F19" s="48" t="str">
        <x:v>PL032_V01_Q01</x:v>
      </x:c>
      <x:c r="G19" s="48" t="str">
        <x:v>1. 塑胶行业样本筛选与国民经济行业分类</x:v>
      </x:c>
      <x:c r="H19" s="48" t="str">
        <x:v>请结合项目产品、原辅材料和生产工艺，判断该报告行业类别是否基本合理。</x:v>
      </x:c>
      <x:c r="I19" s="48" t="str">
        <x:v>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x:v>
      </x:c>
      <x:c r="J19" s="48"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19" s="48" t="str">
        <x:v>《国民经济行业分类》(GB/T 4754—2017)；本任务C292筛选及C17/C18排除规则</x:v>
      </x:c>
      <x:c r="L19" s="48" t="str">
        <x:v>结合本项目行业代码、建设性质、工艺关键词及PDF证据生成，非脱离项目的通用题。</x:v>
      </x:c>
      <x:c r="M19" s="48" t="str">
        <x:v>可依据对应PDF原文、工程分析表格及所列法规标准逐项复核。</x:v>
      </x:c>
      <x:c r="N19" s="48" t="str">
        <x:v>True</x:v>
      </x:c>
      <x:c r="O19" s="48"/>
      <x:c r="P19" s="48"/>
      <x:c r="Q19" s="48"/>
      <x:c r="R19" s="48" t="str">
        <x:v>新增</x:v>
      </x:c>
      <x:c r="S19" s="48" t="str">
        <x:v>是</x:v>
      </x:c>
      <x:c r="T19" s="48" t="str">
        <x:v>自动生成；需人工复核项目参数、公式取值、标准适用范围及PDF文字提取完整性。</x:v>
      </x:c>
      <x:c r="U19" s="48" t="str">
        <x:v>seed_qa_塑胶行业筛选版_30个国民经济行业分类的人工标记</x:v>
      </x:c>
      <x:c r="V19" s="48" t="str">
        <x:v>国民经济行业分类</x:v>
      </x:c>
      <x:c r="W19" s="48"/>
      <x:c r="X19" s="48" t="str">
        <x:v>待判断</x:v>
      </x:c>
      <x:c r="Y19" s="64"/>
      <x:c r="Z19" s="64" t="str">
        <x:v>未复核</x:v>
      </x:c>
      <x:c r="AA19" s="64" t="str">
        <x:v>部分充分</x:v>
      </x:c>
      <x:c r="AB19" s="64" t="str">
        <x:v>待判断</x:v>
      </x:c>
      <x:c r="AC19" s="64" t="str">
        <x:v>部分核验</x:v>
      </x:c>
      <x:c r="AD19" s="64" t="str">
        <x:v>自动默认</x:v>
      </x:c>
      <x:c r="AE19" s="64" t="str">
        <x:v>候选池</x:v>
      </x:c>
      <x:c r="AF19" s="64" t="str">
        <x:v>C_题目或材料问题</x:v>
      </x:c>
      <x:c r="AG19" s="64"/>
      <x:c r="AH19" s="64"/>
      <x:c r="AI19" s="64"/>
      <x:c r="AJ19" s="64"/>
      <x:c r="AK19" s="64"/>
      <x:c r="AL19" s="64"/>
      <x:c r="AM19" s="64"/>
      <x:c r="AN19" s="48" t="str">
        <x:v>176</x:v>
      </x:c>
      <x:c r="AO19" s="48" t="str">
        <x:v>MAP_BLANK</x:v>
      </x:c>
      <x:c r="AP19" s="48" t="str">
        <x:v>人工判断为空：不得自动补填结论；人工判断为空；结构完整但原因需人工确认；存在报告证据，但尚未经人工逐项核验；已列依据来源，但未在本阶段逐条核验</x:v>
      </x:c>
      <x:c r="AQ19" s="64"/>
      <x:c r="AR19" s="48" t="str">
        <x:v>industry_classification</x:v>
      </x:c>
      <x:c r="AS19" s="48" t="str">
        <x:v>L3_analysis</x:v>
      </x:c>
      <x:c r="AT19" s="48" t="str">
        <x:v>multi_evidence_synthesis</x:v>
      </x:c>
      <x:c r="AU19" s="48" t="str">
        <x:v>evidence_integration</x:v>
      </x:c>
      <x:c r="AV19" s="48" t="str">
        <x:v>report_grounding；basis_grounding</x:v>
      </x:c>
      <x:c r="AW19" s="48" t="str">
        <x:v>high</x:v>
      </x:c>
      <x:c r="AX19" s="48" t="str">
        <x:v>high</x:v>
      </x:c>
      <x:c r="AY19" s="48" t="str">
        <x:v>cross_section</x:v>
      </x:c>
      <x:c r="AZ19" s="48" t="str">
        <x:v>True</x:v>
      </x:c>
      <x:c r="BA19" s="48"/>
      <x:c r="BB19" s="48" t="str">
        <x:v>auto_default</x:v>
      </x:c>
      <x:c r="BC19" s="48" t="str">
        <x:v>v1</x:v>
      </x:c>
      <x:c r="BD19" s="68"/>
    </x:row>
    <x:row r="20" ht="36" customHeight="1">
      <x:c r="A20" s="47" t="str">
        <x:v>2026-06-25</x:v>
      </x:c>
      <x:c r="B20" s="48" t="str">
        <x:v>PL033</x:v>
      </x:c>
      <x:c r="C20" s="48" t="str">
        <x:v>V01</x:v>
      </x:c>
      <x:c r="D20" s="48" t="str">
        <x:v>年10月29日建设项目环境影响报告书（表）受理公告（佛山市生态环境局顺德分局）_1.pdf</x:v>
      </x:c>
      <x:c r="E20" s="48" t="str">
        <x:v>广东施格纳电气有限公司新建项目</x:v>
      </x:c>
      <x:c r="F20" s="48" t="str">
        <x:v>PL033_V01_Q01</x:v>
      </x:c>
      <x:c r="G20" s="48" t="str">
        <x:v>1. 塑胶行业样本筛选与国民经济行业分类</x:v>
      </x:c>
      <x:c r="H20" s="48" t="str">
        <x:v>请结合项目产品、原辅材料和生产工艺，判断该报告行业类别是否基本合理。</x:v>
      </x:c>
      <x:c r="I20" s="48" t="str">
        <x:v>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x:v>
      </x:c>
      <x:c r="J20" s="48" t="str">
        <x:v>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v>
      </x:c>
      <x:c r="K20" s="48" t="str">
        <x:v>《国民经济行业分类》(GB/T 4754—2017)；本任务C292筛选及C17/C18排除规则</x:v>
      </x:c>
      <x:c r="L20" s="48" t="str">
        <x:v>结合本项目行业代码、建设性质、工艺关键词及PDF证据生成，非脱离项目的通用题。</x:v>
      </x:c>
      <x:c r="M20" s="48" t="str">
        <x:v>可依据对应PDF原文、工程分析表格及所列法规标准逐项复核。</x:v>
      </x:c>
      <x:c r="N20" s="48" t="str">
        <x:v>True</x:v>
      </x:c>
      <x:c r="O20" s="48"/>
      <x:c r="P20" s="48"/>
      <x:c r="Q20" s="48"/>
      <x:c r="R20" s="48" t="str">
        <x:v>新增</x:v>
      </x:c>
      <x:c r="S20" s="48" t="str">
        <x:v>是</x:v>
      </x:c>
      <x:c r="T20" s="48" t="str">
        <x:v>自动生成；需人工复核项目参数、公式取值、标准适用范围及PDF文字提取完整性。</x:v>
      </x:c>
      <x:c r="U20" s="48" t="str">
        <x:v>seed_qa_塑胶行业筛选版_30个国民经济行业分类的人工标记</x:v>
      </x:c>
      <x:c r="V20" s="48" t="str">
        <x:v>国民经济行业分类</x:v>
      </x:c>
      <x:c r="W20" s="48"/>
      <x:c r="X20" s="48" t="str">
        <x:v>待判断</x:v>
      </x:c>
      <x:c r="Y20" s="64"/>
      <x:c r="Z20" s="64" t="str">
        <x:v>未复核</x:v>
      </x:c>
      <x:c r="AA20" s="64" t="str">
        <x:v>部分充分</x:v>
      </x:c>
      <x:c r="AB20" s="64" t="str">
        <x:v>待判断</x:v>
      </x:c>
      <x:c r="AC20" s="64" t="str">
        <x:v>部分核验</x:v>
      </x:c>
      <x:c r="AD20" s="64" t="str">
        <x:v>自动默认</x:v>
      </x:c>
      <x:c r="AE20" s="64" t="str">
        <x:v>候选池</x:v>
      </x:c>
      <x:c r="AF20" s="64" t="str">
        <x:v>C_题目或材料问题</x:v>
      </x:c>
      <x:c r="AG20" s="64"/>
      <x:c r="AH20" s="64"/>
      <x:c r="AI20" s="64"/>
      <x:c r="AJ20" s="64"/>
      <x:c r="AK20" s="64"/>
      <x:c r="AL20" s="64"/>
      <x:c r="AM20" s="64"/>
      <x:c r="AN20" s="48" t="str">
        <x:v>183</x:v>
      </x:c>
      <x:c r="AO20" s="48" t="str">
        <x:v>MAP_BLANK</x:v>
      </x:c>
      <x:c r="AP20" s="48" t="str">
        <x:v>人工判断为空：不得自动补填结论；人工判断为空；结构完整但原因需人工确认；存在报告证据，但尚未经人工逐项核验；已列依据来源，但未在本阶段逐条核验</x:v>
      </x:c>
      <x:c r="AQ20" s="64"/>
      <x:c r="AR20" s="48" t="str">
        <x:v>industry_classification</x:v>
      </x:c>
      <x:c r="AS20" s="48" t="str">
        <x:v>L3_analysis</x:v>
      </x:c>
      <x:c r="AT20" s="48" t="str">
        <x:v>multi_evidence_synthesis</x:v>
      </x:c>
      <x:c r="AU20" s="48" t="str">
        <x:v>evidence_integration</x:v>
      </x:c>
      <x:c r="AV20" s="48" t="str">
        <x:v>report_grounding；basis_grounding</x:v>
      </x:c>
      <x:c r="AW20" s="48" t="str">
        <x:v>high</x:v>
      </x:c>
      <x:c r="AX20" s="48" t="str">
        <x:v>high</x:v>
      </x:c>
      <x:c r="AY20" s="48" t="str">
        <x:v>cross_section</x:v>
      </x:c>
      <x:c r="AZ20" s="48" t="str">
        <x:v>True</x:v>
      </x:c>
      <x:c r="BA20" s="48"/>
      <x:c r="BB20" s="48" t="str">
        <x:v>auto_default</x:v>
      </x:c>
      <x:c r="BC20" s="48" t="str">
        <x:v>v1</x:v>
      </x:c>
      <x:c r="BD20" s="68"/>
    </x:row>
    <x:row r="21" ht="36" customHeight="1">
      <x:c r="A21" s="47" t="str">
        <x:v>2026-06-25</x:v>
      </x:c>
      <x:c r="B21" s="48" t="str">
        <x:v>PL034</x:v>
      </x:c>
      <x:c r="C21" s="48" t="str">
        <x:v>V01</x:v>
      </x:c>
      <x:c r="D21" s="48" t="str">
        <x:v>年10月29日建设项目环境影响报告书（表）受理公告（佛山市生态环境局顺德分局）_3.pdf</x:v>
      </x:c>
      <x:c r="E21" s="48" t="str">
        <x:v>佛山市沃丰德电器有限公司扩建项目</x:v>
      </x:c>
      <x:c r="F21" s="48" t="str">
        <x:v>PL034_V01_Q01</x:v>
      </x:c>
      <x:c r="G21" s="48" t="str">
        <x:v>1. 塑胶行业样本筛选与国民经济行业分类</x:v>
      </x:c>
      <x:c r="H21" s="48" t="str">
        <x:v>请结合项目产品、原辅材料和生产工艺，判断该报告行业类别是否基本合理。</x:v>
      </x:c>
      <x:c r="I21" s="48" t="str">
        <x:v>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x:v>
      </x:c>
      <x:c r="J21" s="48" t="str">
        <x:v>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v>
      </x:c>
      <x:c r="K21" s="48" t="str">
        <x:v>《国民经济行业分类》(GB/T 4754—2017)；本任务C292筛选及C17/C18排除规则</x:v>
      </x:c>
      <x:c r="L21" s="48" t="str">
        <x:v>结合本项目行业代码、建设性质、工艺关键词及PDF证据生成，非脱离项目的通用题。</x:v>
      </x:c>
      <x:c r="M21" s="48" t="str">
        <x:v>可依据对应PDF原文、工程分析表格及所列法规标准逐项复核。</x:v>
      </x:c>
      <x:c r="N21" s="48" t="str">
        <x:v>True</x:v>
      </x:c>
      <x:c r="O21" s="48"/>
      <x:c r="P21" s="48"/>
      <x:c r="Q21" s="48"/>
      <x:c r="R21" s="48" t="str">
        <x:v>新增</x:v>
      </x:c>
      <x:c r="S21" s="48" t="str">
        <x:v>是</x:v>
      </x:c>
      <x:c r="T21" s="48" t="str">
        <x:v>自动生成；需人工复核项目参数、公式取值、标准适用范围及PDF文字提取完整性。</x:v>
      </x:c>
      <x:c r="U21" s="48" t="str">
        <x:v>seed_qa_塑胶行业筛选版_30个国民经济行业分类的人工标记</x:v>
      </x:c>
      <x:c r="V21" s="48" t="str">
        <x:v>国民经济行业分类</x:v>
      </x:c>
      <x:c r="W21" s="48"/>
      <x:c r="X21" s="48" t="str">
        <x:v>待判断</x:v>
      </x:c>
      <x:c r="Y21" s="64"/>
      <x:c r="Z21" s="64" t="str">
        <x:v>未复核</x:v>
      </x:c>
      <x:c r="AA21" s="64" t="str">
        <x:v>部分充分</x:v>
      </x:c>
      <x:c r="AB21" s="64" t="str">
        <x:v>待判断</x:v>
      </x:c>
      <x:c r="AC21" s="64" t="str">
        <x:v>部分核验</x:v>
      </x:c>
      <x:c r="AD21" s="64" t="str">
        <x:v>自动默认</x:v>
      </x:c>
      <x:c r="AE21" s="64" t="str">
        <x:v>候选池</x:v>
      </x:c>
      <x:c r="AF21" s="64" t="str">
        <x:v>C_题目或材料问题</x:v>
      </x:c>
      <x:c r="AG21" s="64"/>
      <x:c r="AH21" s="64"/>
      <x:c r="AI21" s="64"/>
      <x:c r="AJ21" s="64"/>
      <x:c r="AK21" s="64"/>
      <x:c r="AL21" s="64"/>
      <x:c r="AM21" s="64"/>
      <x:c r="AN21" s="48" t="str">
        <x:v>190</x:v>
      </x:c>
      <x:c r="AO21" s="48" t="str">
        <x:v>MAP_BLANK</x:v>
      </x:c>
      <x:c r="AP21" s="48" t="str">
        <x:v>人工判断为空：不得自动补填结论；人工判断为空；结构完整但原因需人工确认；存在报告证据，但尚未经人工逐项核验；已列依据来源，但未在本阶段逐条核验</x:v>
      </x:c>
      <x:c r="AQ21" s="64"/>
      <x:c r="AR21" s="48" t="str">
        <x:v>industry_classification</x:v>
      </x:c>
      <x:c r="AS21" s="48" t="str">
        <x:v>L3_analysis</x:v>
      </x:c>
      <x:c r="AT21" s="48" t="str">
        <x:v>multi_evidence_synthesis</x:v>
      </x:c>
      <x:c r="AU21" s="48" t="str">
        <x:v>evidence_integration</x:v>
      </x:c>
      <x:c r="AV21" s="48" t="str">
        <x:v>report_grounding；basis_grounding</x:v>
      </x:c>
      <x:c r="AW21" s="48" t="str">
        <x:v>high</x:v>
      </x:c>
      <x:c r="AX21" s="48" t="str">
        <x:v>high</x:v>
      </x:c>
      <x:c r="AY21" s="48" t="str">
        <x:v>cross_section</x:v>
      </x:c>
      <x:c r="AZ21" s="48" t="str">
        <x:v>True</x:v>
      </x:c>
      <x:c r="BA21" s="48"/>
      <x:c r="BB21" s="48" t="str">
        <x:v>auto_default</x:v>
      </x:c>
      <x:c r="BC21" s="48" t="str">
        <x:v>v1</x:v>
      </x:c>
      <x:c r="BD21" s="68"/>
    </x:row>
    <x:row r="22" ht="36" customHeight="1">
      <x:c r="A22" s="47" t="str">
        <x:v>2026-06-25</x:v>
      </x:c>
      <x:c r="B22" s="48" t="str">
        <x:v>PL035</x:v>
      </x:c>
      <x:c r="C22" s="48" t="str">
        <x:v>V01</x:v>
      </x:c>
      <x:c r="D22" s="48" t="str">
        <x:v>年10月29日建设项目环境影响报告书（表）受理公告（佛山市生态环境局顺德分局）_4.pdf</x:v>
      </x:c>
      <x:c r="E22" s="48" t="str">
        <x:v>佛山市顺德区钧锐塑料厂迁建项目</x:v>
      </x:c>
      <x:c r="F22" s="48" t="str">
        <x:v>PL035_V01_Q01</x:v>
      </x:c>
      <x:c r="G22" s="48" t="str">
        <x:v>1. 塑胶行业样本筛选与国民经济行业分类</x:v>
      </x:c>
      <x:c r="H22" s="48" t="str">
        <x:v>请结合项目产品、原辅材料和生产工艺，判断该报告行业类别是否基本合理。</x:v>
      </x:c>
      <x:c r="I22" s="48" t="str">
        <x:v>"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x:v>
      </x:c>
      <x:c r="J22" s="48"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22" s="48" t="str">
        <x:v>《国民经济行业分类》(GB/T 4754—2017)；本任务C292筛选及C17/C18排除规则</x:v>
      </x:c>
      <x:c r="L22" s="48" t="str">
        <x:v>结合本项目行业代码、建设性质、工艺关键词及PDF证据生成，非脱离项目的通用题。</x:v>
      </x:c>
      <x:c r="M22" s="48" t="str">
        <x:v>可依据对应PDF原文、工程分析表格及所列法规标准逐项复核。</x:v>
      </x:c>
      <x:c r="N22" s="48" t="str">
        <x:v>True</x:v>
      </x:c>
      <x:c r="O22" s="48"/>
      <x:c r="P22" s="48"/>
      <x:c r="Q22" s="48"/>
      <x:c r="R22" s="48" t="str">
        <x:v>新增</x:v>
      </x:c>
      <x:c r="S22" s="48" t="str">
        <x:v>是</x:v>
      </x:c>
      <x:c r="T22" s="48" t="str">
        <x:v>自动生成；需人工复核项目参数、公式取值、标准适用范围及PDF文字提取完整性。</x:v>
      </x:c>
      <x:c r="U22" s="48" t="str">
        <x:v>seed_qa_塑胶行业筛选版_30个国民经济行业分类的人工标记</x:v>
      </x:c>
      <x:c r="V22" s="48" t="str">
        <x:v>国民经济行业分类</x:v>
      </x:c>
      <x:c r="W22" s="48"/>
      <x:c r="X22" s="48" t="str">
        <x:v>待判断</x:v>
      </x:c>
      <x:c r="Y22" s="64"/>
      <x:c r="Z22" s="64" t="str">
        <x:v>未复核</x:v>
      </x:c>
      <x:c r="AA22" s="64" t="str">
        <x:v>部分充分</x:v>
      </x:c>
      <x:c r="AB22" s="64" t="str">
        <x:v>待判断</x:v>
      </x:c>
      <x:c r="AC22" s="64" t="str">
        <x:v>部分核验</x:v>
      </x:c>
      <x:c r="AD22" s="64" t="str">
        <x:v>自动默认</x:v>
      </x:c>
      <x:c r="AE22" s="64" t="str">
        <x:v>候选池</x:v>
      </x:c>
      <x:c r="AF22" s="64" t="str">
        <x:v>C_题目或材料问题</x:v>
      </x:c>
      <x:c r="AG22" s="64"/>
      <x:c r="AH22" s="64"/>
      <x:c r="AI22" s="64"/>
      <x:c r="AJ22" s="64"/>
      <x:c r="AK22" s="64"/>
      <x:c r="AL22" s="64"/>
      <x:c r="AM22" s="64"/>
      <x:c r="AN22" s="48" t="str">
        <x:v>192</x:v>
      </x:c>
      <x:c r="AO22" s="48" t="str">
        <x:v>MAP_BLANK</x:v>
      </x:c>
      <x:c r="AP22" s="48" t="str">
        <x:v>人工判断为空：不得自动补填结论；人工判断为空；结构完整但原因需人工确认；存在报告证据，但尚未经人工逐项核验；已列依据来源，但未在本阶段逐条核验</x:v>
      </x:c>
      <x:c r="AQ22" s="64"/>
      <x:c r="AR22" s="48" t="str">
        <x:v>industry_classification</x:v>
      </x:c>
      <x:c r="AS22" s="48" t="str">
        <x:v>L3_analysis</x:v>
      </x:c>
      <x:c r="AT22" s="48" t="str">
        <x:v>multi_evidence_synthesis</x:v>
      </x:c>
      <x:c r="AU22" s="48" t="str">
        <x:v>evidence_integration</x:v>
      </x:c>
      <x:c r="AV22" s="48" t="str">
        <x:v>report_grounding；basis_grounding</x:v>
      </x:c>
      <x:c r="AW22" s="48" t="str">
        <x:v>high</x:v>
      </x:c>
      <x:c r="AX22" s="48" t="str">
        <x:v>high</x:v>
      </x:c>
      <x:c r="AY22" s="48" t="str">
        <x:v>cross_section</x:v>
      </x:c>
      <x:c r="AZ22" s="48" t="str">
        <x:v>True</x:v>
      </x:c>
      <x:c r="BA22" s="48"/>
      <x:c r="BB22" s="48" t="str">
        <x:v>auto_default</x:v>
      </x:c>
      <x:c r="BC22" s="48" t="str">
        <x:v>v1</x:v>
      </x:c>
      <x:c r="BD22" s="68"/>
    </x:row>
    <x:row r="23" ht="36" customHeight="1">
      <x:c r="A23" s="47" t="str">
        <x:v>2026-06-25</x:v>
      </x:c>
      <x:c r="B23" s="48" t="str">
        <x:v>PL036</x:v>
      </x:c>
      <x:c r="C23" s="48" t="str">
        <x:v>V01</x:v>
      </x:c>
      <x:c r="D23" s="48" t="str">
        <x:v>年10月29日建设项目环境影响报告书（表）受理公告（均安）.pdf</x:v>
      </x:c>
      <x:c r="E23" s="48" t="str">
        <x:v>广东梅州磁性材料有限公司顺德分公司迁扩建项目</x:v>
      </x:c>
      <x:c r="F23" s="48" t="str">
        <x:v>PL036_V01_Q01</x:v>
      </x:c>
      <x:c r="G23" s="48" t="str">
        <x:v>1. 塑胶行业样本筛选与国民经济行业分类</x:v>
      </x:c>
      <x:c r="H23" s="48" t="str">
        <x:v>请结合项目产品、原辅材料和生产工艺，判断该报告行业类别是否基本合理。</x:v>
      </x:c>
      <x:c r="I23" s="48" t="str">
        <x:v>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x:v>
      </x:c>
      <x:c r="J23" s="48"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23" s="48" t="str">
        <x:v>《国民经济行业分类》(GB/T 4754—2017)；本任务C292筛选及C17/C18排除规则</x:v>
      </x:c>
      <x:c r="L23" s="48" t="str">
        <x:v>结合本项目行业代码、建设性质、工艺关键词及PDF证据生成，非脱离项目的通用题。</x:v>
      </x:c>
      <x:c r="M23" s="48" t="str">
        <x:v>可依据对应PDF原文、工程分析表格及所列法规标准逐项复核。</x:v>
      </x:c>
      <x:c r="N23" s="48" t="str">
        <x:v>True</x:v>
      </x:c>
      <x:c r="O23" s="48"/>
      <x:c r="P23" s="48"/>
      <x:c r="Q23" s="48"/>
      <x:c r="R23" s="48" t="str">
        <x:v>新增</x:v>
      </x:c>
      <x:c r="S23" s="48" t="str">
        <x:v>是</x:v>
      </x:c>
      <x:c r="T23" s="48" t="str">
        <x:v>自动生成；需人工复核项目参数、公式取值、标准适用范围及PDF文字提取完整性。</x:v>
      </x:c>
      <x:c r="U23" s="48" t="str">
        <x:v>seed_qa_塑胶行业筛选版_30个国民经济行业分类的人工标记</x:v>
      </x:c>
      <x:c r="V23" s="48" t="str">
        <x:v>国民经济行业分类</x:v>
      </x:c>
      <x:c r="W23" s="48"/>
      <x:c r="X23" s="48" t="str">
        <x:v>待判断</x:v>
      </x:c>
      <x:c r="Y23" s="64"/>
      <x:c r="Z23" s="64" t="str">
        <x:v>未复核</x:v>
      </x:c>
      <x:c r="AA23" s="64" t="str">
        <x:v>部分充分</x:v>
      </x:c>
      <x:c r="AB23" s="64" t="str">
        <x:v>待判断</x:v>
      </x:c>
      <x:c r="AC23" s="64" t="str">
        <x:v>部分核验</x:v>
      </x:c>
      <x:c r="AD23" s="64" t="str">
        <x:v>自动默认</x:v>
      </x:c>
      <x:c r="AE23" s="64" t="str">
        <x:v>候选池</x:v>
      </x:c>
      <x:c r="AF23" s="64" t="str">
        <x:v>C_题目或材料问题</x:v>
      </x:c>
      <x:c r="AG23" s="64"/>
      <x:c r="AH23" s="64"/>
      <x:c r="AI23" s="64"/>
      <x:c r="AJ23" s="64"/>
      <x:c r="AK23" s="64"/>
      <x:c r="AL23" s="64"/>
      <x:c r="AM23" s="64"/>
      <x:c r="AN23" s="48" t="str">
        <x:v>194</x:v>
      </x:c>
      <x:c r="AO23" s="48" t="str">
        <x:v>MAP_BLANK</x:v>
      </x:c>
      <x:c r="AP23" s="48" t="str">
        <x:v>人工判断为空：不得自动补填结论；人工判断为空；结构完整但原因需人工确认；存在报告证据，但尚未经人工逐项核验；已列依据来源，但未在本阶段逐条核验</x:v>
      </x:c>
      <x:c r="AQ23" s="64"/>
      <x:c r="AR23" s="48" t="str">
        <x:v>industry_classification</x:v>
      </x:c>
      <x:c r="AS23" s="48" t="str">
        <x:v>L3_analysis</x:v>
      </x:c>
      <x:c r="AT23" s="48" t="str">
        <x:v>multi_evidence_synthesis</x:v>
      </x:c>
      <x:c r="AU23" s="48" t="str">
        <x:v>evidence_integration</x:v>
      </x:c>
      <x:c r="AV23" s="48" t="str">
        <x:v>report_grounding；basis_grounding</x:v>
      </x:c>
      <x:c r="AW23" s="48" t="str">
        <x:v>high</x:v>
      </x:c>
      <x:c r="AX23" s="48" t="str">
        <x:v>high</x:v>
      </x:c>
      <x:c r="AY23" s="48" t="str">
        <x:v>cross_section</x:v>
      </x:c>
      <x:c r="AZ23" s="48" t="str">
        <x:v>True</x:v>
      </x:c>
      <x:c r="BA23" s="48"/>
      <x:c r="BB23" s="48" t="str">
        <x:v>auto_default</x:v>
      </x:c>
      <x:c r="BC23" s="48" t="str">
        <x:v>v1</x:v>
      </x:c>
      <x:c r="BD23" s="68"/>
    </x:row>
    <x:row r="24" ht="36" customHeight="1">
      <x:c r="A24" s="47" t="str">
        <x:v>2026-06-25</x:v>
      </x:c>
      <x:c r="B24" s="48" t="str">
        <x:v>PL037</x:v>
      </x:c>
      <x:c r="C24" s="48" t="str">
        <x:v>V01</x:v>
      </x:c>
      <x:c r="D24" s="48" t="str">
        <x:v>年11月13日建设项目环境影响报告受理公告（大良）.pdf</x:v>
      </x:c>
      <x:c r="E24" s="48" t="str">
        <x:v>佛山麦琪科技有限公司建设项目</x:v>
      </x:c>
      <x:c r="F24" s="48" t="str">
        <x:v>PL037_V01_Q01</x:v>
      </x:c>
      <x:c r="G24" s="48" t="str">
        <x:v>1. 塑胶行业样本筛选与国民经济行业分类</x:v>
      </x:c>
      <x:c r="H24" s="48" t="str">
        <x:v>请结合项目产品、原辅材料和生产工艺，判断该报告行业类别是否基本合理。</x:v>
      </x:c>
      <x:c r="I24" s="48" t="str">
        <x:v>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x:v>
      </x:c>
      <x:c r="J24" s="48"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24" s="48" t="str">
        <x:v>《国民经济行业分类》(GB/T 4754—2017)；本任务C292筛选及C17/C18排除规则</x:v>
      </x:c>
      <x:c r="L24" s="48" t="str">
        <x:v>结合本项目行业代码、建设性质、工艺关键词及PDF证据生成，非脱离项目的通用题。</x:v>
      </x:c>
      <x:c r="M24" s="48" t="str">
        <x:v>可依据对应PDF原文、工程分析表格及所列法规标准逐项复核。</x:v>
      </x:c>
      <x:c r="N24" s="48" t="str">
        <x:v>True</x:v>
      </x:c>
      <x:c r="O24" s="48"/>
      <x:c r="P24" s="48"/>
      <x:c r="Q24" s="48"/>
      <x:c r="R24" s="48" t="str">
        <x:v>新增</x:v>
      </x:c>
      <x:c r="S24" s="48" t="str">
        <x:v>是</x:v>
      </x:c>
      <x:c r="T24" s="48" t="str">
        <x:v>自动生成；需人工复核项目参数、公式取值、标准适用范围及PDF文字提取完整性。</x:v>
      </x:c>
      <x:c r="U24" s="48" t="str">
        <x:v>seed_qa_塑胶行业筛选版_30个国民经济行业分类的人工标记</x:v>
      </x:c>
      <x:c r="V24" s="48" t="str">
        <x:v>国民经济行业分类</x:v>
      </x:c>
      <x:c r="W24" s="48"/>
      <x:c r="X24" s="48" t="str">
        <x:v>待判断</x:v>
      </x:c>
      <x:c r="Y24" s="64"/>
      <x:c r="Z24" s="64" t="str">
        <x:v>未复核</x:v>
      </x:c>
      <x:c r="AA24" s="64" t="str">
        <x:v>部分充分</x:v>
      </x:c>
      <x:c r="AB24" s="64" t="str">
        <x:v>待判断</x:v>
      </x:c>
      <x:c r="AC24" s="64" t="str">
        <x:v>部分核验</x:v>
      </x:c>
      <x:c r="AD24" s="64" t="str">
        <x:v>自动默认</x:v>
      </x:c>
      <x:c r="AE24" s="64" t="str">
        <x:v>候选池</x:v>
      </x:c>
      <x:c r="AF24" s="64" t="str">
        <x:v>C_题目或材料问题</x:v>
      </x:c>
      <x:c r="AG24" s="64"/>
      <x:c r="AH24" s="64"/>
      <x:c r="AI24" s="64"/>
      <x:c r="AJ24" s="64"/>
      <x:c r="AK24" s="64"/>
      <x:c r="AL24" s="64"/>
      <x:c r="AM24" s="64"/>
      <x:c r="AN24" s="48" t="str">
        <x:v>196</x:v>
      </x:c>
      <x:c r="AO24" s="48" t="str">
        <x:v>MAP_BLANK</x:v>
      </x:c>
      <x:c r="AP24" s="48" t="str">
        <x:v>人工判断为空：不得自动补填结论；人工判断为空；结构完整但原因需人工确认；存在报告证据，但尚未经人工逐项核验；已列依据来源，但未在本阶段逐条核验</x:v>
      </x:c>
      <x:c r="AQ24" s="64"/>
      <x:c r="AR24" s="48" t="str">
        <x:v>industry_classification</x:v>
      </x:c>
      <x:c r="AS24" s="48" t="str">
        <x:v>L3_analysis</x:v>
      </x:c>
      <x:c r="AT24" s="48" t="str">
        <x:v>multi_evidence_synthesis</x:v>
      </x:c>
      <x:c r="AU24" s="48" t="str">
        <x:v>evidence_integration</x:v>
      </x:c>
      <x:c r="AV24" s="48" t="str">
        <x:v>report_grounding；basis_grounding</x:v>
      </x:c>
      <x:c r="AW24" s="48" t="str">
        <x:v>high</x:v>
      </x:c>
      <x:c r="AX24" s="48" t="str">
        <x:v>high</x:v>
      </x:c>
      <x:c r="AY24" s="48" t="str">
        <x:v>cross_section</x:v>
      </x:c>
      <x:c r="AZ24" s="48" t="str">
        <x:v>True</x:v>
      </x:c>
      <x:c r="BA24" s="48"/>
      <x:c r="BB24" s="48" t="str">
        <x:v>auto_default</x:v>
      </x:c>
      <x:c r="BC24" s="48" t="str">
        <x:v>v1</x:v>
      </x:c>
      <x:c r="BD24" s="68"/>
    </x:row>
    <x:row r="25" ht="36" customHeight="1">
      <x:c r="A25" s="47" t="str">
        <x:v>2026-06-25</x:v>
      </x:c>
      <x:c r="B25" s="48" t="str">
        <x:v>PL038</x:v>
      </x:c>
      <x:c r="C25" s="48" t="str">
        <x:v>V01</x:v>
      </x:c>
      <x:c r="D25" s="48" t="str">
        <x:v>年11月13日建设项目环境影响报告表受理公告（伦教）_2.pdf</x:v>
      </x:c>
      <x:c r="E25" s="48" t="str">
        <x:v>佛山市顺德区晟昂电子科技有限公司新建项目</x:v>
      </x:c>
      <x:c r="F25" s="48" t="str">
        <x:v>PL038_V01_Q01</x:v>
      </x:c>
      <x:c r="G25" s="48" t="str">
        <x:v>1. 塑胶行业样本筛选与国民经济行业分类</x:v>
      </x:c>
      <x:c r="H25" s="48" t="str">
        <x:v>请结合项目产品、原辅材料和生产工艺，判断该报告行业类别是否基本合理。</x:v>
      </x:c>
      <x:c r="I25" s="48" t="str">
        <x:v>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x:v>
      </x:c>
      <x:c r="J25" s="48" t="str">
        <x:v>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v>
      </x:c>
      <x:c r="K25" s="48" t="str">
        <x:v>《国民经济行业分类》(GB/T 4754—2017)；本任务C292筛选及C17/C18排除规则</x:v>
      </x:c>
      <x:c r="L25" s="48" t="str">
        <x:v>结合本项目行业代码、建设性质、工艺关键词及PDF证据生成，非脱离项目的通用题。</x:v>
      </x:c>
      <x:c r="M25" s="48" t="str">
        <x:v>可依据对应PDF原文、工程分析表格及所列法规标准逐项复核。</x:v>
      </x:c>
      <x:c r="N25" s="48" t="str">
        <x:v>True</x:v>
      </x:c>
      <x:c r="O25" s="48"/>
      <x:c r="P25" s="48"/>
      <x:c r="Q25" s="48"/>
      <x:c r="R25" s="48" t="str">
        <x:v>新增</x:v>
      </x:c>
      <x:c r="S25" s="48" t="str">
        <x:v>是</x:v>
      </x:c>
      <x:c r="T25" s="48" t="str">
        <x:v>自动生成；需人工复核项目参数、公式取值、标准适用范围及PDF文字提取完整性。</x:v>
      </x:c>
      <x:c r="U25" s="48" t="str">
        <x:v>seed_qa_塑胶行业筛选版_30个国民经济行业分类的人工标记</x:v>
      </x:c>
      <x:c r="V25" s="48" t="str">
        <x:v>国民经济行业分类</x:v>
      </x:c>
      <x:c r="W25" s="48"/>
      <x:c r="X25" s="48" t="str">
        <x:v>待判断</x:v>
      </x:c>
      <x:c r="Y25" s="64"/>
      <x:c r="Z25" s="64" t="str">
        <x:v>未复核</x:v>
      </x:c>
      <x:c r="AA25" s="64" t="str">
        <x:v>部分充分</x:v>
      </x:c>
      <x:c r="AB25" s="64" t="str">
        <x:v>待判断</x:v>
      </x:c>
      <x:c r="AC25" s="64" t="str">
        <x:v>部分核验</x:v>
      </x:c>
      <x:c r="AD25" s="64" t="str">
        <x:v>自动默认</x:v>
      </x:c>
      <x:c r="AE25" s="64" t="str">
        <x:v>候选池</x:v>
      </x:c>
      <x:c r="AF25" s="64" t="str">
        <x:v>C_题目或材料问题</x:v>
      </x:c>
      <x:c r="AG25" s="64"/>
      <x:c r="AH25" s="64"/>
      <x:c r="AI25" s="64"/>
      <x:c r="AJ25" s="64"/>
      <x:c r="AK25" s="64"/>
      <x:c r="AL25" s="64"/>
      <x:c r="AM25" s="64"/>
      <x:c r="AN25" s="48" t="str">
        <x:v>198</x:v>
      </x:c>
      <x:c r="AO25" s="48" t="str">
        <x:v>MAP_BLANK</x:v>
      </x:c>
      <x:c r="AP25" s="48" t="str">
        <x:v>人工判断为空：不得自动补填结论；人工判断为空；结构完整但原因需人工确认；存在报告证据，但尚未经人工逐项核验；已列依据来源，但未在本阶段逐条核验</x:v>
      </x:c>
      <x:c r="AQ25" s="64"/>
      <x:c r="AR25" s="48" t="str">
        <x:v>industry_classification</x:v>
      </x:c>
      <x:c r="AS25" s="48" t="str">
        <x:v>L3_analysis</x:v>
      </x:c>
      <x:c r="AT25" s="48" t="str">
        <x:v>multi_evidence_synthesis</x:v>
      </x:c>
      <x:c r="AU25" s="48" t="str">
        <x:v>evidence_integration</x:v>
      </x:c>
      <x:c r="AV25" s="48" t="str">
        <x:v>report_grounding；basis_grounding</x:v>
      </x:c>
      <x:c r="AW25" s="48" t="str">
        <x:v>high</x:v>
      </x:c>
      <x:c r="AX25" s="48" t="str">
        <x:v>high</x:v>
      </x:c>
      <x:c r="AY25" s="48" t="str">
        <x:v>cross_section</x:v>
      </x:c>
      <x:c r="AZ25" s="48" t="str">
        <x:v>True</x:v>
      </x:c>
      <x:c r="BA25" s="48"/>
      <x:c r="BB25" s="48" t="str">
        <x:v>auto_default</x:v>
      </x:c>
      <x:c r="BC25" s="48" t="str">
        <x:v>v1</x:v>
      </x:c>
      <x:c r="BD25" s="68"/>
    </x:row>
    <x:row r="26" ht="36" customHeight="1">
      <x:c r="A26" s="47" t="str">
        <x:v>2026-06-25</x:v>
      </x:c>
      <x:c r="B26" s="48" t="str">
        <x:v>PL039</x:v>
      </x:c>
      <x:c r="C26" s="48" t="str">
        <x:v>V01</x:v>
      </x:c>
      <x:c r="D26" s="48" t="str">
        <x:v>年11月14日建设项目环境影响报告受理公告（大良）_1.pdf</x:v>
      </x:c>
      <x:c r="E26" s="48" t="str">
        <x:v>佛山市锦汇塑料制品有限公司新建项目</x:v>
      </x:c>
      <x:c r="F26" s="48" t="str">
        <x:v>PL039_V01_Q01</x:v>
      </x:c>
      <x:c r="G26" s="48" t="str">
        <x:v>1. 塑胶行业样本筛选与国民经济行业分类</x:v>
      </x:c>
      <x:c r="H26" s="48" t="str">
        <x:v>请结合项目产品、原辅材料和生产工艺，判断该报告行业类别是否基本合理。</x:v>
      </x:c>
      <x:c r="I26" s="48" t="str">
        <x:v>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x:v>
      </x:c>
      <x:c r="J26" s="48"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26" s="48" t="str">
        <x:v>《国民经济行业分类》(GB/T 4754—2017)；本任务C292筛选及C17/C18排除规则</x:v>
      </x:c>
      <x:c r="L26" s="48" t="str">
        <x:v>结合本项目行业代码、建设性质、工艺关键词及PDF证据生成，非脱离项目的通用题。</x:v>
      </x:c>
      <x:c r="M26" s="48" t="str">
        <x:v>可依据对应PDF原文、工程分析表格及所列法规标准逐项复核。</x:v>
      </x:c>
      <x:c r="N26" s="48" t="str">
        <x:v>True</x:v>
      </x:c>
      <x:c r="O26" s="48"/>
      <x:c r="P26" s="48"/>
      <x:c r="Q26" s="48"/>
      <x:c r="R26" s="48" t="str">
        <x:v>新增</x:v>
      </x:c>
      <x:c r="S26" s="48" t="str">
        <x:v>是</x:v>
      </x:c>
      <x:c r="T26" s="48" t="str">
        <x:v>自动生成；需人工复核项目参数、公式取值、标准适用范围及PDF文字提取完整性。</x:v>
      </x:c>
      <x:c r="U26" s="48" t="str">
        <x:v>seed_qa_塑胶行业筛选版_30个国民经济行业分类的人工标记</x:v>
      </x:c>
      <x:c r="V26" s="48" t="str">
        <x:v>国民经济行业分类</x:v>
      </x:c>
      <x:c r="W26" s="48"/>
      <x:c r="X26" s="48" t="str">
        <x:v>待判断</x:v>
      </x:c>
      <x:c r="Y26" s="64"/>
      <x:c r="Z26" s="64" t="str">
        <x:v>未复核</x:v>
      </x:c>
      <x:c r="AA26" s="64" t="str">
        <x:v>部分充分</x:v>
      </x:c>
      <x:c r="AB26" s="64" t="str">
        <x:v>待判断</x:v>
      </x:c>
      <x:c r="AC26" s="64" t="str">
        <x:v>部分核验</x:v>
      </x:c>
      <x:c r="AD26" s="64" t="str">
        <x:v>自动默认</x:v>
      </x:c>
      <x:c r="AE26" s="64" t="str">
        <x:v>候选池</x:v>
      </x:c>
      <x:c r="AF26" s="64" t="str">
        <x:v>C_题目或材料问题</x:v>
      </x:c>
      <x:c r="AG26" s="64"/>
      <x:c r="AH26" s="64"/>
      <x:c r="AI26" s="64"/>
      <x:c r="AJ26" s="64"/>
      <x:c r="AK26" s="64"/>
      <x:c r="AL26" s="64"/>
      <x:c r="AM26" s="64"/>
      <x:c r="AN26" s="48" t="str">
        <x:v>200</x:v>
      </x:c>
      <x:c r="AO26" s="48" t="str">
        <x:v>MAP_BLANK</x:v>
      </x:c>
      <x:c r="AP26" s="48" t="str">
        <x:v>人工判断为空：不得自动补填结论；人工判断为空；结构完整但原因需人工确认；存在报告证据，但尚未经人工逐项核验；已列依据来源，但未在本阶段逐条核验</x:v>
      </x:c>
      <x:c r="AQ26" s="64"/>
      <x:c r="AR26" s="48" t="str">
        <x:v>industry_classification</x:v>
      </x:c>
      <x:c r="AS26" s="48" t="str">
        <x:v>L3_analysis</x:v>
      </x:c>
      <x:c r="AT26" s="48" t="str">
        <x:v>multi_evidence_synthesis</x:v>
      </x:c>
      <x:c r="AU26" s="48" t="str">
        <x:v>evidence_integration</x:v>
      </x:c>
      <x:c r="AV26" s="48" t="str">
        <x:v>report_grounding；basis_grounding</x:v>
      </x:c>
      <x:c r="AW26" s="48" t="str">
        <x:v>high</x:v>
      </x:c>
      <x:c r="AX26" s="48" t="str">
        <x:v>high</x:v>
      </x:c>
      <x:c r="AY26" s="48" t="str">
        <x:v>cross_section</x:v>
      </x:c>
      <x:c r="AZ26" s="48" t="str">
        <x:v>True</x:v>
      </x:c>
      <x:c r="BA26" s="48"/>
      <x:c r="BB26" s="48" t="str">
        <x:v>auto_default</x:v>
      </x:c>
      <x:c r="BC26" s="48" t="str">
        <x:v>v1</x:v>
      </x:c>
      <x:c r="BD26" s="68"/>
    </x:row>
    <x:row r="27" ht="36" customHeight="1">
      <x:c r="A27" s="47" t="str">
        <x:v>2026-06-25</x:v>
      </x:c>
      <x:c r="B27" s="48" t="str">
        <x:v>PL040</x:v>
      </x:c>
      <x:c r="C27" s="48" t="str">
        <x:v>V01</x:v>
      </x:c>
      <x:c r="D27" s="48" t="str">
        <x:v>年11月14日建设项目环境影响报告受理公告（大良）_2.pdf</x:v>
      </x:c>
      <x:c r="E27" s="48" t="str">
        <x:v>佛山市海川塑料制品有限公司新建项目</x:v>
      </x:c>
      <x:c r="F27" s="48" t="str">
        <x:v>PL040_V01_Q01</x:v>
      </x:c>
      <x:c r="G27" s="48" t="str">
        <x:v>1. 塑胶行业样本筛选与国民经济行业分类</x:v>
      </x:c>
      <x:c r="H27" s="48" t="str">
        <x:v>请结合项目产品、原辅材料和生产工艺，判断该报告行业类别是否基本合理。</x:v>
      </x:c>
      <x:c r="I27" s="48" t="str">
        <x:v>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x:v>
      </x:c>
      <x:c r="J27" s="48"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27" s="48" t="str">
        <x:v>《国民经济行业分类》(GB/T 4754—2017)；本任务C292筛选及C17/C18排除规则</x:v>
      </x:c>
      <x:c r="L27" s="48" t="str">
        <x:v>结合本项目行业代码、建设性质、工艺关键词及PDF证据生成，非脱离项目的通用题。</x:v>
      </x:c>
      <x:c r="M27" s="48" t="str">
        <x:v>可依据对应PDF原文、工程分析表格及所列法规标准逐项复核。</x:v>
      </x:c>
      <x:c r="N27" s="48" t="str">
        <x:v>True</x:v>
      </x:c>
      <x:c r="O27" s="48"/>
      <x:c r="P27" s="48"/>
      <x:c r="Q27" s="48"/>
      <x:c r="R27" s="48" t="str">
        <x:v>新增</x:v>
      </x:c>
      <x:c r="S27" s="48" t="str">
        <x:v>是</x:v>
      </x:c>
      <x:c r="T27" s="48" t="str">
        <x:v>自动生成；需人工复核项目参数、公式取值、标准适用范围及PDF文字提取完整性。</x:v>
      </x:c>
      <x:c r="U27" s="48" t="str">
        <x:v>seed_qa_塑胶行业筛选版_30个国民经济行业分类的人工标记</x:v>
      </x:c>
      <x:c r="V27" s="48" t="str">
        <x:v>国民经济行业分类</x:v>
      </x:c>
      <x:c r="W27" s="48"/>
      <x:c r="X27" s="48" t="str">
        <x:v>待判断</x:v>
      </x:c>
      <x:c r="Y27" s="64"/>
      <x:c r="Z27" s="64" t="str">
        <x:v>未复核</x:v>
      </x:c>
      <x:c r="AA27" s="64" t="str">
        <x:v>部分充分</x:v>
      </x:c>
      <x:c r="AB27" s="64" t="str">
        <x:v>待判断</x:v>
      </x:c>
      <x:c r="AC27" s="64" t="str">
        <x:v>部分核验</x:v>
      </x:c>
      <x:c r="AD27" s="64" t="str">
        <x:v>自动默认</x:v>
      </x:c>
      <x:c r="AE27" s="64" t="str">
        <x:v>候选池</x:v>
      </x:c>
      <x:c r="AF27" s="64" t="str">
        <x:v>C_题目或材料问题</x:v>
      </x:c>
      <x:c r="AG27" s="64"/>
      <x:c r="AH27" s="64"/>
      <x:c r="AI27" s="64"/>
      <x:c r="AJ27" s="64"/>
      <x:c r="AK27" s="64"/>
      <x:c r="AL27" s="64"/>
      <x:c r="AM27" s="64"/>
      <x:c r="AN27" s="48" t="str">
        <x:v>202</x:v>
      </x:c>
      <x:c r="AO27" s="48" t="str">
        <x:v>MAP_BLANK</x:v>
      </x:c>
      <x:c r="AP27" s="48" t="str">
        <x:v>人工判断为空：不得自动补填结论；人工判断为空；结构完整但原因需人工确认；存在报告证据，但尚未经人工逐项核验；已列依据来源，但未在本阶段逐条核验</x:v>
      </x:c>
      <x:c r="AQ27" s="64"/>
      <x:c r="AR27" s="48" t="str">
        <x:v>industry_classification</x:v>
      </x:c>
      <x:c r="AS27" s="48" t="str">
        <x:v>L3_analysis</x:v>
      </x:c>
      <x:c r="AT27" s="48" t="str">
        <x:v>multi_evidence_synthesis</x:v>
      </x:c>
      <x:c r="AU27" s="48" t="str">
        <x:v>evidence_integration</x:v>
      </x:c>
      <x:c r="AV27" s="48" t="str">
        <x:v>report_grounding；basis_grounding</x:v>
      </x:c>
      <x:c r="AW27" s="48" t="str">
        <x:v>high</x:v>
      </x:c>
      <x:c r="AX27" s="48" t="str">
        <x:v>high</x:v>
      </x:c>
      <x:c r="AY27" s="48" t="str">
        <x:v>cross_section</x:v>
      </x:c>
      <x:c r="AZ27" s="48" t="str">
        <x:v>True</x:v>
      </x:c>
      <x:c r="BA27" s="48"/>
      <x:c r="BB27" s="48" t="str">
        <x:v>auto_default</x:v>
      </x:c>
      <x:c r="BC27" s="48" t="str">
        <x:v>v1</x:v>
      </x:c>
      <x:c r="BD27" s="68"/>
    </x:row>
    <x:row r="28" ht="36" customHeight="1">
      <x:c r="A28" s="47" t="str">
        <x:v>2026-06-25</x:v>
      </x:c>
      <x:c r="B28" s="48" t="str">
        <x:v>PL041</x:v>
      </x:c>
      <x:c r="C28" s="48" t="str">
        <x:v>V01</x:v>
      </x:c>
      <x:c r="D28" s="48" t="str">
        <x:v>年11月15日建设项目环境影响报告书（表）受理公告（佛山市生态环境局顺德分局）_4.pdf</x:v>
      </x:c>
      <x:c r="E28" s="48" t="str">
        <x:v>佛山市创灏五金塑料有限公司年产塑料制品 1250 万件迁改扩建项目</x:v>
      </x:c>
      <x:c r="F28" s="48" t="str">
        <x:v>PL041_V01_Q01</x:v>
      </x:c>
      <x:c r="G28" s="48" t="str">
        <x:v>1. 塑胶行业样本筛选与国民经济行业分类</x:v>
      </x:c>
      <x:c r="H28" s="48" t="str">
        <x:v>请结合项目产品、原辅材料和生产工艺，判断该报告行业类别是否基本合理。</x:v>
      </x:c>
      <x:c r="I28" s="48" t="str">
        <x:v>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x:v>
      </x:c>
      <x:c r="J28" s="48"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28" s="48" t="str">
        <x:v>《国民经济行业分类》(GB/T 4754—2017)；本任务C292筛选及C17/C18排除规则</x:v>
      </x:c>
      <x:c r="L28" s="48" t="str">
        <x:v>结合本项目行业代码、建设性质、工艺关键词及PDF证据生成，非脱离项目的通用题。</x:v>
      </x:c>
      <x:c r="M28" s="48" t="str">
        <x:v>可依据对应PDF原文、工程分析表格及所列法规标准逐项复核。</x:v>
      </x:c>
      <x:c r="N28" s="48" t="str">
        <x:v>True</x:v>
      </x:c>
      <x:c r="O28" s="48"/>
      <x:c r="P28" s="48"/>
      <x:c r="Q28" s="48"/>
      <x:c r="R28" s="48" t="str">
        <x:v>新增</x:v>
      </x:c>
      <x:c r="S28" s="48" t="str">
        <x:v>是</x:v>
      </x:c>
      <x:c r="T28" s="48" t="str">
        <x:v>自动生成；需人工复核项目参数、公式取值、标准适用范围及PDF文字提取完整性。</x:v>
      </x:c>
      <x:c r="U28" s="48" t="str">
        <x:v>seed_qa_塑胶行业筛选版_30个国民经济行业分类的人工标记</x:v>
      </x:c>
      <x:c r="V28" s="48" t="str">
        <x:v>国民经济行业分类</x:v>
      </x:c>
      <x:c r="W28" s="48"/>
      <x:c r="X28" s="48" t="str">
        <x:v>待判断</x:v>
      </x:c>
      <x:c r="Y28" s="64"/>
      <x:c r="Z28" s="64" t="str">
        <x:v>未复核</x:v>
      </x:c>
      <x:c r="AA28" s="64" t="str">
        <x:v>部分充分</x:v>
      </x:c>
      <x:c r="AB28" s="64" t="str">
        <x:v>待判断</x:v>
      </x:c>
      <x:c r="AC28" s="64" t="str">
        <x:v>部分核验</x:v>
      </x:c>
      <x:c r="AD28" s="64" t="str">
        <x:v>自动默认</x:v>
      </x:c>
      <x:c r="AE28" s="64" t="str">
        <x:v>候选池</x:v>
      </x:c>
      <x:c r="AF28" s="64" t="str">
        <x:v>C_题目或材料问题</x:v>
      </x:c>
      <x:c r="AG28" s="64"/>
      <x:c r="AH28" s="64"/>
      <x:c r="AI28" s="64"/>
      <x:c r="AJ28" s="64"/>
      <x:c r="AK28" s="64"/>
      <x:c r="AL28" s="64"/>
      <x:c r="AM28" s="64"/>
      <x:c r="AN28" s="48" t="str">
        <x:v>204</x:v>
      </x:c>
      <x:c r="AO28" s="48" t="str">
        <x:v>MAP_BLANK</x:v>
      </x:c>
      <x:c r="AP28" s="48" t="str">
        <x:v>人工判断为空：不得自动补填结论；人工判断为空；结构完整但原因需人工确认；存在报告证据，但尚未经人工逐项核验；已列依据来源，但未在本阶段逐条核验</x:v>
      </x:c>
      <x:c r="AQ28" s="64"/>
      <x:c r="AR28" s="48" t="str">
        <x:v>industry_classification</x:v>
      </x:c>
      <x:c r="AS28" s="48" t="str">
        <x:v>L3_analysis</x:v>
      </x:c>
      <x:c r="AT28" s="48" t="str">
        <x:v>multi_evidence_synthesis</x:v>
      </x:c>
      <x:c r="AU28" s="48" t="str">
        <x:v>evidence_integration</x:v>
      </x:c>
      <x:c r="AV28" s="48" t="str">
        <x:v>report_grounding；basis_grounding</x:v>
      </x:c>
      <x:c r="AW28" s="48" t="str">
        <x:v>high</x:v>
      </x:c>
      <x:c r="AX28" s="48" t="str">
        <x:v>high</x:v>
      </x:c>
      <x:c r="AY28" s="48" t="str">
        <x:v>cross_section</x:v>
      </x:c>
      <x:c r="AZ28" s="48" t="str">
        <x:v>True</x:v>
      </x:c>
      <x:c r="BA28" s="48"/>
      <x:c r="BB28" s="48" t="str">
        <x:v>auto_default</x:v>
      </x:c>
      <x:c r="BC28" s="48" t="str">
        <x:v>v1</x:v>
      </x:c>
      <x:c r="BD28" s="68"/>
    </x:row>
    <x:row r="29" ht="36" customHeight="1">
      <x:c r="A29" s="47" t="str">
        <x:v>2026-06-25</x:v>
      </x:c>
      <x:c r="B29" s="48" t="str">
        <x:v>PL042</x:v>
      </x:c>
      <x:c r="C29" s="48" t="str">
        <x:v>V01</x:v>
      </x:c>
      <x:c r="D29" s="48" t="str">
        <x:v>年11月19日建设项目环境影响报告书（表）受理公告（佛山市生态环境局顺德分局）_1.pdf</x:v>
      </x:c>
      <x:c r="E29" s="48" t="str">
        <x:v>佛山市顺德区夏瑞塑胶有限公司迁扩建项目</x:v>
      </x:c>
      <x:c r="F29" s="48" t="str">
        <x:v>PL042_V01_Q01</x:v>
      </x:c>
      <x:c r="G29" s="48" t="str">
        <x:v>1. 塑胶行业样本筛选与国民经济行业分类</x:v>
      </x:c>
      <x:c r="H29" s="48" t="str">
        <x:v>请结合项目产品、原辅材料和生产工艺，判断该报告行业类别是否基本合理。</x:v>
      </x:c>
      <x:c r="I29" s="48" t="str">
        <x:v>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x:v>
      </x:c>
      <x:c r="J29" s="48"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29" s="48" t="str">
        <x:v>《国民经济行业分类》(GB/T 4754—2017)；本任务C292筛选及C17/C18排除规则</x:v>
      </x:c>
      <x:c r="L29" s="48" t="str">
        <x:v>结合本项目行业代码、建设性质、工艺关键词及PDF证据生成，非脱离项目的通用题。</x:v>
      </x:c>
      <x:c r="M29" s="48" t="str">
        <x:v>可依据对应PDF原文、工程分析表格及所列法规标准逐项复核。</x:v>
      </x:c>
      <x:c r="N29" s="48" t="str">
        <x:v>True</x:v>
      </x:c>
      <x:c r="O29" s="48"/>
      <x:c r="P29" s="48"/>
      <x:c r="Q29" s="48"/>
      <x:c r="R29" s="48" t="str">
        <x:v>新增</x:v>
      </x:c>
      <x:c r="S29" s="48" t="str">
        <x:v>是</x:v>
      </x:c>
      <x:c r="T29" s="48" t="str">
        <x:v>自动生成；需人工复核项目参数、公式取值、标准适用范围及PDF文字提取完整性。</x:v>
      </x:c>
      <x:c r="U29" s="48" t="str">
        <x:v>seed_qa_塑胶行业筛选版_30个国民经济行业分类的人工标记</x:v>
      </x:c>
      <x:c r="V29" s="48" t="str">
        <x:v>国民经济行业分类</x:v>
      </x:c>
      <x:c r="W29" s="48"/>
      <x:c r="X29" s="48" t="str">
        <x:v>待判断</x:v>
      </x:c>
      <x:c r="Y29" s="64"/>
      <x:c r="Z29" s="64" t="str">
        <x:v>未复核</x:v>
      </x:c>
      <x:c r="AA29" s="64" t="str">
        <x:v>部分充分</x:v>
      </x:c>
      <x:c r="AB29" s="64" t="str">
        <x:v>待判断</x:v>
      </x:c>
      <x:c r="AC29" s="64" t="str">
        <x:v>部分核验</x:v>
      </x:c>
      <x:c r="AD29" s="64" t="str">
        <x:v>自动默认</x:v>
      </x:c>
      <x:c r="AE29" s="64" t="str">
        <x:v>候选池</x:v>
      </x:c>
      <x:c r="AF29" s="64" t="str">
        <x:v>C_题目或材料问题</x:v>
      </x:c>
      <x:c r="AG29" s="64"/>
      <x:c r="AH29" s="64"/>
      <x:c r="AI29" s="64"/>
      <x:c r="AJ29" s="64"/>
      <x:c r="AK29" s="64"/>
      <x:c r="AL29" s="64"/>
      <x:c r="AM29" s="64"/>
      <x:c r="AN29" s="48" t="str">
        <x:v>206</x:v>
      </x:c>
      <x:c r="AO29" s="48" t="str">
        <x:v>MAP_BLANK</x:v>
      </x:c>
      <x:c r="AP29" s="48" t="str">
        <x:v>人工判断为空：不得自动补填结论；人工判断为空；结构完整但原因需人工确认；存在报告证据，但尚未经人工逐项核验；已列依据来源，但未在本阶段逐条核验</x:v>
      </x:c>
      <x:c r="AQ29" s="64"/>
      <x:c r="AR29" s="48" t="str">
        <x:v>industry_classification</x:v>
      </x:c>
      <x:c r="AS29" s="48" t="str">
        <x:v>L3_analysis</x:v>
      </x:c>
      <x:c r="AT29" s="48" t="str">
        <x:v>multi_evidence_synthesis</x:v>
      </x:c>
      <x:c r="AU29" s="48" t="str">
        <x:v>evidence_integration</x:v>
      </x:c>
      <x:c r="AV29" s="48" t="str">
        <x:v>report_grounding；basis_grounding</x:v>
      </x:c>
      <x:c r="AW29" s="48" t="str">
        <x:v>high</x:v>
      </x:c>
      <x:c r="AX29" s="48" t="str">
        <x:v>high</x:v>
      </x:c>
      <x:c r="AY29" s="48" t="str">
        <x:v>cross_section</x:v>
      </x:c>
      <x:c r="AZ29" s="48" t="str">
        <x:v>True</x:v>
      </x:c>
      <x:c r="BA29" s="48"/>
      <x:c r="BB29" s="48" t="str">
        <x:v>auto_default</x:v>
      </x:c>
      <x:c r="BC29" s="48" t="str">
        <x:v>v1</x:v>
      </x:c>
      <x:c r="BD29" s="68"/>
    </x:row>
    <x:row r="30" ht="36" customHeight="1">
      <x:c r="A30" s="47" t="str">
        <x:v>2026-06-25</x:v>
      </x:c>
      <x:c r="B30" s="48" t="str">
        <x:v>PL043</x:v>
      </x:c>
      <x:c r="C30" s="48" t="str">
        <x:v>V01</x:v>
      </x:c>
      <x:c r="D30" s="48" t="str">
        <x:v>年11月21日建设项目环境影响报告受理公告（大良）.pdf</x:v>
      </x:c>
      <x:c r="E30" s="48" t="str">
        <x:v>佛山市益旭电器有限公司新建项目</x:v>
      </x:c>
      <x:c r="F30" s="48" t="str">
        <x:v>PL043_V01_Q01</x:v>
      </x:c>
      <x:c r="G30" s="48" t="str">
        <x:v>1. 塑胶行业样本筛选与国民经济行业分类</x:v>
      </x:c>
      <x:c r="H30" s="48" t="str">
        <x:v>请结合项目产品、原辅材料和生产工艺，判断该报告行业类别是否基本合理。</x:v>
      </x:c>
      <x:c r="I30" s="48" t="str">
        <x:v>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x:v>
      </x:c>
      <x:c r="J30" s="48"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30" s="48" t="str">
        <x:v>《国民经济行业分类》(GB/T 4754—2017)；本任务C292筛选及C17/C18排除规则</x:v>
      </x:c>
      <x:c r="L30" s="48" t="str">
        <x:v>结合本项目行业代码、建设性质、工艺关键词及PDF证据生成，非脱离项目的通用题。</x:v>
      </x:c>
      <x:c r="M30" s="48" t="str">
        <x:v>可依据对应PDF原文、工程分析表格及所列法规标准逐项复核。</x:v>
      </x:c>
      <x:c r="N30" s="48" t="str">
        <x:v>True</x:v>
      </x:c>
      <x:c r="O30" s="48"/>
      <x:c r="P30" s="48"/>
      <x:c r="Q30" s="48"/>
      <x:c r="R30" s="48" t="str">
        <x:v>新增</x:v>
      </x:c>
      <x:c r="S30" s="48" t="str">
        <x:v>是</x:v>
      </x:c>
      <x:c r="T30" s="48" t="str">
        <x:v>自动生成；需人工复核项目参数、公式取值、标准适用范围及PDF文字提取完整性。</x:v>
      </x:c>
      <x:c r="U30" s="48" t="str">
        <x:v>seed_qa_塑胶行业筛选版_30个国民经济行业分类的人工标记</x:v>
      </x:c>
      <x:c r="V30" s="48" t="str">
        <x:v>国民经济行业分类</x:v>
      </x:c>
      <x:c r="W30" s="48"/>
      <x:c r="X30" s="48" t="str">
        <x:v>待判断</x:v>
      </x:c>
      <x:c r="Y30" s="64"/>
      <x:c r="Z30" s="64" t="str">
        <x:v>未复核</x:v>
      </x:c>
      <x:c r="AA30" s="64" t="str">
        <x:v>部分充分</x:v>
      </x:c>
      <x:c r="AB30" s="64" t="str">
        <x:v>待判断</x:v>
      </x:c>
      <x:c r="AC30" s="64" t="str">
        <x:v>部分核验</x:v>
      </x:c>
      <x:c r="AD30" s="64" t="str">
        <x:v>自动默认</x:v>
      </x:c>
      <x:c r="AE30" s="64" t="str">
        <x:v>候选池</x:v>
      </x:c>
      <x:c r="AF30" s="64" t="str">
        <x:v>C_题目或材料问题</x:v>
      </x:c>
      <x:c r="AG30" s="64"/>
      <x:c r="AH30" s="64"/>
      <x:c r="AI30" s="64"/>
      <x:c r="AJ30" s="64"/>
      <x:c r="AK30" s="64"/>
      <x:c r="AL30" s="64"/>
      <x:c r="AM30" s="64"/>
      <x:c r="AN30" s="48" t="str">
        <x:v>208</x:v>
      </x:c>
      <x:c r="AO30" s="48" t="str">
        <x:v>MAP_BLANK</x:v>
      </x:c>
      <x:c r="AP30" s="48" t="str">
        <x:v>人工判断为空：不得自动补填结论；人工判断为空；结构完整但原因需人工确认；存在报告证据，但尚未经人工逐项核验；已列依据来源，但未在本阶段逐条核验</x:v>
      </x:c>
      <x:c r="AQ30" s="64"/>
      <x:c r="AR30" s="48" t="str">
        <x:v>industry_classification</x:v>
      </x:c>
      <x:c r="AS30" s="48" t="str">
        <x:v>L3_analysis</x:v>
      </x:c>
      <x:c r="AT30" s="48" t="str">
        <x:v>multi_evidence_synthesis</x:v>
      </x:c>
      <x:c r="AU30" s="48" t="str">
        <x:v>evidence_integration</x:v>
      </x:c>
      <x:c r="AV30" s="48" t="str">
        <x:v>report_grounding；basis_grounding</x:v>
      </x:c>
      <x:c r="AW30" s="48" t="str">
        <x:v>high</x:v>
      </x:c>
      <x:c r="AX30" s="48" t="str">
        <x:v>high</x:v>
      </x:c>
      <x:c r="AY30" s="48" t="str">
        <x:v>cross_section</x:v>
      </x:c>
      <x:c r="AZ30" s="48" t="str">
        <x:v>True</x:v>
      </x:c>
      <x:c r="BA30" s="48"/>
      <x:c r="BB30" s="48" t="str">
        <x:v>auto_default</x:v>
      </x:c>
      <x:c r="BC30" s="48" t="str">
        <x:v>v1</x:v>
      </x:c>
      <x:c r="BD30" s="68"/>
    </x:row>
    <x:row r="31" ht="36" customHeight="1">
      <x:c r="A31" s="50" t="str">
        <x:v>2026-06-25</x:v>
      </x:c>
      <x:c r="B31" s="51" t="str">
        <x:v>PL044</x:v>
      </x:c>
      <x:c r="C31" s="51" t="str">
        <x:v>V01</x:v>
      </x:c>
      <x:c r="D31" s="51" t="str">
        <x:v>年11月29日建设项目环境影响报告书（表）受理公告（佛山市生态环境局顺德分局）_2.pdf</x:v>
      </x:c>
      <x:c r="E31" s="51" t="str">
        <x:v>佛山市昇汇包装材料有限公司新建项目</x:v>
      </x:c>
      <x:c r="F31" s="51" t="str">
        <x:v>PL044_V01_Q01</x:v>
      </x:c>
      <x:c r="G31" s="51" t="str">
        <x:v>1. 塑胶行业样本筛选与国民经济行业分类</x:v>
      </x:c>
      <x:c r="H31" s="51" t="str">
        <x:v>请结合项目产品、原辅材料和生产工艺，判断该报告行业类别是否基本合理。</x:v>
      </x:c>
      <x:c r="I31" s="51" t="str">
        <x:v>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x:v>
      </x:c>
      <x:c r="J31" s="51"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31" s="51" t="str">
        <x:v>《国民经济行业分类》(GB/T 4754—2017)；本任务C292筛选及C17/C18排除规则</x:v>
      </x:c>
      <x:c r="L31" s="51" t="str">
        <x:v>结合本项目行业代码、建设性质、工艺关键词及PDF证据生成，非脱离项目的通用题。</x:v>
      </x:c>
      <x:c r="M31" s="51" t="str">
        <x:v>可依据对应PDF原文、工程分析表格及所列法规标准逐项复核。</x:v>
      </x:c>
      <x:c r="N31" s="51" t="str">
        <x:v>True</x:v>
      </x:c>
      <x:c r="O31" s="51"/>
      <x:c r="P31" s="51"/>
      <x:c r="Q31" s="51"/>
      <x:c r="R31" s="51" t="str">
        <x:v>新增</x:v>
      </x:c>
      <x:c r="S31" s="51" t="str">
        <x:v>是</x:v>
      </x:c>
      <x:c r="T31" s="51" t="str">
        <x:v>自动生成；需人工复核项目参数、公式取值、标准适用范围及PDF文字提取完整性。</x:v>
      </x:c>
      <x:c r="U31" s="51" t="str">
        <x:v>seed_qa_塑胶行业筛选版_30个国民经济行业分类的人工标记</x:v>
      </x:c>
      <x:c r="V31" s="51" t="str">
        <x:v>国民经济行业分类</x:v>
      </x:c>
      <x:c r="W31" s="51"/>
      <x:c r="X31" s="51" t="str">
        <x:v>待判断</x:v>
      </x:c>
      <x:c r="Y31" s="65"/>
      <x:c r="Z31" s="65" t="str">
        <x:v>未复核</x:v>
      </x:c>
      <x:c r="AA31" s="65" t="str">
        <x:v>部分充分</x:v>
      </x:c>
      <x:c r="AB31" s="65" t="str">
        <x:v>待判断</x:v>
      </x:c>
      <x:c r="AC31" s="65" t="str">
        <x:v>部分核验</x:v>
      </x:c>
      <x:c r="AD31" s="65" t="str">
        <x:v>自动默认</x:v>
      </x:c>
      <x:c r="AE31" s="65" t="str">
        <x:v>候选池</x:v>
      </x:c>
      <x:c r="AF31" s="65" t="str">
        <x:v>C_题目或材料问题</x:v>
      </x:c>
      <x:c r="AG31" s="65"/>
      <x:c r="AH31" s="65"/>
      <x:c r="AI31" s="65"/>
      <x:c r="AJ31" s="65"/>
      <x:c r="AK31" s="65"/>
      <x:c r="AL31" s="65"/>
      <x:c r="AM31" s="65"/>
      <x:c r="AN31" s="51" t="str">
        <x:v>210</x:v>
      </x:c>
      <x:c r="AO31" s="51" t="str">
        <x:v>MAP_BLANK</x:v>
      </x:c>
      <x:c r="AP31" s="51" t="str">
        <x:v>人工判断为空：不得自动补填结论；人工判断为空；结构完整但原因需人工确认；存在报告证据，但尚未经人工逐项核验；已列依据来源，但未在本阶段逐条核验</x:v>
      </x:c>
      <x:c r="AQ31" s="65"/>
      <x:c r="AR31" s="51" t="str">
        <x:v>industry_classification</x:v>
      </x:c>
      <x:c r="AS31" s="51" t="str">
        <x:v>L3_analysis</x:v>
      </x:c>
      <x:c r="AT31" s="51" t="str">
        <x:v>multi_evidence_synthesis</x:v>
      </x:c>
      <x:c r="AU31" s="51" t="str">
        <x:v>evidence_integration</x:v>
      </x:c>
      <x:c r="AV31" s="51" t="str">
        <x:v>report_grounding；basis_grounding</x:v>
      </x:c>
      <x:c r="AW31" s="51" t="str">
        <x:v>high</x:v>
      </x:c>
      <x:c r="AX31" s="51" t="str">
        <x:v>high</x:v>
      </x:c>
      <x:c r="AY31" s="51" t="str">
        <x:v>cross_section</x:v>
      </x:c>
      <x:c r="AZ31" s="51" t="str">
        <x:v>True</x:v>
      </x:c>
      <x:c r="BA31" s="51"/>
      <x:c r="BB31" s="51" t="str">
        <x:v>auto_default</x:v>
      </x:c>
      <x:c r="BC31" s="51" t="str">
        <x:v>v1</x:v>
      </x:c>
      <x:c r="BD31" s="69"/>
    </x:row>
  </x:sheetData>
  <x:conditionalFormatting sqref="AP2:AP31">
    <x:cfRule type="expression" dxfId="3" priority="1">
      <x:formula>LEN(AP2)&gt;0</x:formula>
    </x:cfRule>
  </x:conditionalFormatting>
  <x:conditionalFormatting sqref="AA2:AA31">
    <x:cfRule type="cellIs" dxfId="4" priority="2" operator="equal">
      <x:formula>"不足"</x:formula>
    </x:cfRule>
  </x:conditionalFormatting>
  <x:conditionalFormatting sqref="Z2:Z31">
    <x:cfRule type="cellIs" dxfId="5" priority="3" operator="equal">
      <x:formula>"已冻结"</x:formula>
    </x:cfRule>
  </x:conditionalFormatting>
  <x:dataValidations count="8">
    <x:dataValidation type="list" sqref="Y2:Y31">
      <x:formula1>"无误,存在错误,存在缺漏,证据不足,需人工复核,待判断"</x:formula1>
    </x:dataValidation>
    <x:dataValidation type="list" sqref="Z2:Z31">
      <x:formula1>"未复核,一审完成,二审完成,已裁决,已冻结,排除"</x:formula1>
    </x:dataValidation>
    <x:dataValidation type="list" sqref="AA2:AA31">
      <x:formula1>"充分,部分充分,不足,原始材料缺失,待判断"</x:formula1>
    </x:dataValidation>
    <x:dataValidation type="list" sqref="AB2:AB31">
      <x:formula1>"有效,表述歧义,字段错位,题答不匹配,重复,原始材料缺失,排除,待判断"</x:formula1>
    </x:dataValidation>
    <x:dataValidation type="list" sqref="AC2:AC31">
      <x:formula1>"已核验,部分核验,未核验,不需要外部依据,待判断"</x:formula1>
    </x:dataValidation>
    <x:dataValidation type="list" sqref="AD2:AD31">
      <x:formula1>"自动默认,人工确认,人工覆盖"</x:formula1>
    </x:dataValidation>
    <x:dataValidation type="list" sqref="AE2:AE31">
      <x:formula1>"候选池,趋势实验候选,趋势实验冻结,正式实验候选,正式实验冻结,排除"</x:formula1>
    </x:dataValidation>
    <x:dataValidation type="list" sqref="AF2:AF31">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174fb7916cba4a2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2026-07-28</x:v>
      </x:c>
      <x:c r="B2" s="48" t="str">
        <x:v>PL001</x:v>
      </x:c>
      <x:c r="C2" s="48" t="str">
        <x:v>V01</x:v>
      </x:c>
      <x:c r="D2" s="48" t="str">
        <x:v>佛山市亮正新材料有限公司新建项目环境影响报告表</x:v>
      </x:c>
      <x:c r="E2" s="48" t="str">
        <x:v>佛山市亮正新材料有限公司新建项目</x:v>
      </x:c>
      <x:c r="F2" s="48" t="str">
        <x:v>PL001_EnvQuality_Q01</x:v>
      </x:c>
      <x:c r="G2" s="48" t="str">
        <x:v>大气及地表水环境质量现状数据引用</x:v>
      </x:c>
      <x:c r="H2" s="48" t="str">
        <x:v>请根据报告引用的环境质量公报及现状数据，判断大气和地表水环境质量现状数据引用是否准确。</x:v>
      </x:c>
      <x:c r="I2"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2" s="48" t="str">
        <x:v>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2" s="48" t="str">
        <x:v>生态环境状况公报知识库; 收纳水体地表水执行标准</x:v>
      </x:c>
      <x:c r="L2" s="48" t="str">
        <x:v>2</x:v>
      </x:c>
      <x:c r="M2" s="48" t="str">
        <x:v>2</x:v>
      </x:c>
      <x:c r="N2" s="48" t="str">
        <x:v>False</x:v>
      </x:c>
      <x:c r="O2" s="48" t="str">
        <x:v>正确</x:v>
      </x:c>
      <x:c r="P2" s="48" t="str">
        <x:v>大气:正确; 地表水:正确; 报告日期:2023-07</x:v>
      </x:c>
      <x:c r="Q2" s="48"/>
      <x:c r="R2" s="48"/>
      <x:c r="S2" s="48" t="str">
        <x:v>是</x:v>
      </x:c>
      <x:c r="T2" s="48" t="str">
        <x:v>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x:v>
      </x:c>
      <x:c r="U2" s="48" t="str">
        <x:v>30个环评_大气及地表水环境质量现状数据引用复核QA</x:v>
      </x:c>
      <x:c r="V2" s="48" t="str">
        <x:v>环境质量数据引用</x:v>
      </x:c>
      <x:c r="W2" s="48" t="str">
        <x:v>正确</x:v>
      </x:c>
      <x:c r="X2" s="48" t="str">
        <x:v>无误</x:v>
      </x:c>
      <x:c r="Y2" s="64"/>
      <x:c r="Z2" s="64" t="str">
        <x:v>未复核</x:v>
      </x:c>
      <x:c r="AA2" s="64" t="str">
        <x:v>部分充分</x:v>
      </x:c>
      <x:c r="AB2" s="64" t="str">
        <x:v>有效</x:v>
      </x:c>
      <x:c r="AC2" s="64" t="str">
        <x:v>部分核验</x:v>
      </x:c>
      <x:c r="AD2" s="64" t="str">
        <x:v>自动默认</x:v>
      </x:c>
      <x:c r="AE2" s="64" t="str">
        <x:v>候选池</x:v>
      </x:c>
      <x:c r="AF2" s="64" t="str">
        <x:v>A_仅待终审</x:v>
      </x:c>
      <x:c r="AG2" s="64"/>
      <x:c r="AH2" s="64"/>
      <x:c r="AI2" s="64"/>
      <x:c r="AJ2" s="64"/>
      <x:c r="AK2" s="64"/>
      <x:c r="AL2" s="64"/>
      <x:c r="AM2" s="64"/>
      <x:c r="AN2" s="48" t="str">
        <x:v>4</x:v>
      </x:c>
      <x:c r="AO2" s="48" t="str">
        <x:v>MAP_正确</x:v>
      </x:c>
      <x:c r="AP2" s="48" t="str">
        <x:v>存在报告证据，但尚未经人工逐项核验；已列依据来源，但未在本阶段逐条核验</x:v>
      </x:c>
      <x:c r="AQ2" s="64"/>
      <x:c r="AR2" s="48" t="str">
        <x:v>environmental_quality_data</x:v>
      </x:c>
      <x:c r="AS2" s="48" t="str">
        <x:v>L3_analysis</x:v>
      </x:c>
      <x:c r="AT2" s="48" t="str">
        <x:v>consistency_comparison</x:v>
      </x:c>
      <x:c r="AU2" s="48" t="str">
        <x:v>evidence_integration</x:v>
      </x:c>
      <x:c r="AV2" s="48" t="str">
        <x:v>report_grounding；basis_grounding</x:v>
      </x:c>
      <x:c r="AW2" s="48" t="str">
        <x:v>high</x:v>
      </x:c>
      <x:c r="AX2" s="48" t="str">
        <x:v>high</x:v>
      </x:c>
      <x:c r="AY2" s="48" t="str">
        <x:v>report_plus_external</x:v>
      </x:c>
      <x:c r="AZ2" s="48" t="str">
        <x:v>True</x:v>
      </x:c>
      <x:c r="BA2" s="48"/>
      <x:c r="BB2" s="48" t="str">
        <x:v>auto_default</x:v>
      </x:c>
      <x:c r="BC2" s="48" t="str">
        <x:v>v1</x:v>
      </x:c>
      <x:c r="BD2" s="68"/>
    </x:row>
    <x:row r="3" ht="36" customHeight="1">
      <x:c r="A3" s="47" t="str">
        <x:v>2026-07-27</x:v>
      </x:c>
      <x:c r="B3" s="48" t="str">
        <x:v>PL001</x:v>
      </x:c>
      <x:c r="C3" s="48" t="str">
        <x:v>V01</x:v>
      </x:c>
      <x:c r="D3" s="48" t="str">
        <x:v>PL001_佛山市亮正新材料有限公司新建项目_01_核查材料.docx</x:v>
      </x:c>
      <x:c r="E3" s="48" t="str">
        <x:v>佛山市亮正新材料有限公司新建项目</x:v>
      </x:c>
      <x:c r="F3" s="48" t="str">
        <x:v>PL001_Emission_大气</x:v>
      </x:c>
      <x:c r="G3" s="48" t="str">
        <x:v>污染物排放标准-大气污染物排放标准</x:v>
      </x:c>
      <x:c r="H3" s="48" t="str">
        <x:v>请根据项目行业类别、生产工艺和污染因子，判断大气污染物排放标准选取是否合理。要求分析：污染源覆盖是否完整（列出所有大气污染源及对应标准），是否存在缺漏的污染源或标准。</x:v>
      </x:c>
      <x:c r="I3" s="48" t="str">
        <x:v>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x:v>
      </x:c>
      <x:c r="J3" s="48" t="str">
        <x:v>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x:v>
      </x:c>
      <x:c r="K3" s="48" t="str">
        <x:v>emission-standard-kb.jsonl; DB44/26-2001; DB44/2367-2022; GB31572-2015; GB14554-93; GB12348-2008; GB18597-2023; GB18599-2020</x:v>
      </x:c>
      <x:c r="L3" s="48" t="str">
        <x:v>2</x:v>
      </x:c>
      <x:c r="M3" s="48" t="str">
        <x:v>2</x:v>
      </x:c>
      <x:c r="N3" s="48" t="str">
        <x:v>False</x:v>
      </x:c>
      <x:c r="O3" s="48" t="str">
        <x:v>存在缺漏</x:v>
      </x:c>
      <x:c r="P3" s="48" t="str">
        <x:v>水:存在错误；气:存在缺漏；噪声:存在缺漏；固废:存在缺漏</x:v>
      </x:c>
      <x:c r="Q3" s="48"/>
      <x:c r="R3" s="48"/>
      <x:c r="S3" s="48" t="str">
        <x:v>是</x:v>
      </x:c>
      <x:c r="T3" s="48" t="str">
        <x:v>原综合排放标准问答对拆分而来</x:v>
      </x:c>
      <x:c r="U3" s="48" t="str">
        <x:v>30份环评_污染物排放控制执行标准复核QA(拆分版)</x:v>
      </x:c>
      <x:c r="V3" s="48" t="str">
        <x:v>大气污染物排放标准</x:v>
      </x:c>
      <x:c r="W3" s="48" t="str">
        <x:v>存在缺漏</x:v>
      </x:c>
      <x:c r="X3" s="48" t="str">
        <x:v>存在缺漏</x:v>
      </x:c>
      <x:c r="Y3" s="64"/>
      <x:c r="Z3" s="64" t="str">
        <x:v>未复核</x:v>
      </x:c>
      <x:c r="AA3" s="64" t="str">
        <x:v>部分充分</x:v>
      </x:c>
      <x:c r="AB3" s="64" t="str">
        <x:v>有效</x:v>
      </x:c>
      <x:c r="AC3" s="64" t="str">
        <x:v>部分核验</x:v>
      </x:c>
      <x:c r="AD3" s="64" t="str">
        <x:v>自动默认</x:v>
      </x:c>
      <x:c r="AE3" s="64" t="str">
        <x:v>候选池</x:v>
      </x:c>
      <x:c r="AF3" s="64" t="str">
        <x:v>A_仅待终审</x:v>
      </x:c>
      <x:c r="AG3" s="64"/>
      <x:c r="AH3" s="64"/>
      <x:c r="AI3" s="64"/>
      <x:c r="AJ3" s="64"/>
      <x:c r="AK3" s="64"/>
      <x:c r="AL3" s="64"/>
      <x:c r="AM3" s="64"/>
      <x:c r="AN3" s="48" t="str">
        <x:v>6</x:v>
      </x:c>
      <x:c r="AO3" s="48" t="str">
        <x:v>MAP_存在缺漏</x:v>
      </x:c>
      <x:c r="AP3" s="48" t="str">
        <x:v>存在报告证据，但尚未经人工逐项核验；已列依据来源，但未在本阶段逐条核验</x:v>
      </x:c>
      <x:c r="AQ3" s="64"/>
      <x:c r="AR3" s="48" t="str">
        <x:v>air_emission_standard</x:v>
      </x:c>
      <x:c r="AS3" s="48" t="str">
        <x:v>L3_analysis</x:v>
      </x:c>
      <x:c r="AT3" s="48" t="str">
        <x:v>multi_evidence_synthesis</x:v>
      </x:c>
      <x:c r="AU3" s="48" t="str">
        <x:v>basis_grounding</x:v>
      </x:c>
      <x:c r="AV3" s="48" t="str">
        <x:v>report_grounding；evidence_integration</x:v>
      </x:c>
      <x:c r="AW3" s="48" t="str">
        <x:v>high</x:v>
      </x:c>
      <x:c r="AX3" s="48" t="str">
        <x:v>high</x:v>
      </x:c>
      <x:c r="AY3" s="48" t="str">
        <x:v>report_plus_external</x:v>
      </x:c>
      <x:c r="AZ3" s="48" t="str">
        <x:v>True</x:v>
      </x:c>
      <x:c r="BA3" s="48"/>
      <x:c r="BB3" s="48" t="str">
        <x:v>auto_default</x:v>
      </x:c>
      <x:c r="BC3" s="48" t="str">
        <x:v>v1</x:v>
      </x:c>
      <x:c r="BD3" s="68"/>
    </x:row>
    <x:row r="4" ht="36" customHeight="1">
      <x:c r="A4" s="47" t="str">
        <x:v>2026-07-28</x:v>
      </x:c>
      <x:c r="B4" s="48" t="str">
        <x:v>PL002</x:v>
      </x:c>
      <x:c r="C4" s="48" t="str">
        <x:v>V01</x:v>
      </x:c>
      <x:c r="D4" s="48" t="str">
        <x:v>佛山市顺德区启卓工程塑料实业有限公司搬迁项目环境影响报告表</x:v>
      </x:c>
      <x:c r="E4" s="48" t="str">
        <x:v>佛山市顺德区启卓工程塑料实业有限公司搬迁项目</x:v>
      </x:c>
      <x:c r="F4" s="48" t="str">
        <x:v>PL002_EnvQuality_Q01</x:v>
      </x:c>
      <x:c r="G4" s="48" t="str">
        <x:v>大气及地表水环境质量现状数据引用</x:v>
      </x:c>
      <x:c r="H4" s="48" t="str">
        <x:v>请根据报告引用的环境质量公报及现状数据，判断大气和地表水环境质量现状数据引用是否准确。</x:v>
      </x:c>
      <x:c r="I4"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 s="4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4" s="48" t="str">
        <x:v>生态环境状况公报知识库; 收纳水体地表水执行标准</x:v>
      </x:c>
      <x:c r="L4" s="48" t="str">
        <x:v>2</x:v>
      </x:c>
      <x:c r="M4" s="48" t="str">
        <x:v>2</x:v>
      </x:c>
      <x:c r="N4" s="48" t="str">
        <x:v>False</x:v>
      </x:c>
      <x:c r="O4" s="48" t="str">
        <x:v>正确</x:v>
      </x:c>
      <x:c r="P4" s="48" t="str">
        <x:v>大气:正确; 地表水:正确; 报告日期:2023-07</x:v>
      </x:c>
      <x:c r="Q4" s="48"/>
      <x:c r="R4" s="48"/>
      <x:c r="S4" s="48" t="str">
        <x:v>是</x:v>
      </x:c>
      <x:c r="T4" s="48" t="str">
        <x:v>各项引用数据与公报一致，无需修正</x:v>
      </x:c>
      <x:c r="U4" s="48" t="str">
        <x:v>30个环评_大气及地表水环境质量现状数据引用复核QA</x:v>
      </x:c>
      <x:c r="V4" s="48" t="str">
        <x:v>环境质量数据引用</x:v>
      </x:c>
      <x:c r="W4" s="48" t="str">
        <x:v>正确</x:v>
      </x:c>
      <x:c r="X4" s="48" t="str">
        <x:v>无误</x:v>
      </x:c>
      <x:c r="Y4" s="64"/>
      <x:c r="Z4" s="64" t="str">
        <x:v>未复核</x:v>
      </x:c>
      <x:c r="AA4" s="64" t="str">
        <x:v>部分充分</x:v>
      </x:c>
      <x:c r="AB4" s="64" t="str">
        <x:v>有效</x:v>
      </x:c>
      <x:c r="AC4" s="64" t="str">
        <x:v>部分核验</x:v>
      </x:c>
      <x:c r="AD4" s="64" t="str">
        <x:v>自动默认</x:v>
      </x:c>
      <x:c r="AE4" s="64" t="str">
        <x:v>候选池</x:v>
      </x:c>
      <x:c r="AF4" s="64" t="str">
        <x:v>A_仅待终审</x:v>
      </x:c>
      <x:c r="AG4" s="64"/>
      <x:c r="AH4" s="64"/>
      <x:c r="AI4" s="64"/>
      <x:c r="AJ4" s="64"/>
      <x:c r="AK4" s="64"/>
      <x:c r="AL4" s="64"/>
      <x:c r="AM4" s="64"/>
      <x:c r="AN4" s="48" t="str">
        <x:v>11</x:v>
      </x:c>
      <x:c r="AO4" s="48" t="str">
        <x:v>MAP_正确</x:v>
      </x:c>
      <x:c r="AP4" s="48" t="str">
        <x:v>存在报告证据，但尚未经人工逐项核验；已列依据来源，但未在本阶段逐条核验</x:v>
      </x:c>
      <x:c r="AQ4" s="64"/>
      <x:c r="AR4" s="48" t="str">
        <x:v>environmental_quality_data</x:v>
      </x:c>
      <x:c r="AS4" s="48" t="str">
        <x:v>L3_analysis</x:v>
      </x:c>
      <x:c r="AT4" s="48" t="str">
        <x:v>consistency_comparison</x:v>
      </x:c>
      <x:c r="AU4" s="48" t="str">
        <x:v>evidence_integration</x:v>
      </x:c>
      <x:c r="AV4" s="48" t="str">
        <x:v>report_grounding；basis_grounding</x:v>
      </x:c>
      <x:c r="AW4" s="48" t="str">
        <x:v>high</x:v>
      </x:c>
      <x:c r="AX4" s="48" t="str">
        <x:v>high</x:v>
      </x:c>
      <x:c r="AY4" s="48" t="str">
        <x:v>report_plus_external</x:v>
      </x:c>
      <x:c r="AZ4" s="48" t="str">
        <x:v>True</x:v>
      </x:c>
      <x:c r="BA4" s="48"/>
      <x:c r="BB4" s="48" t="str">
        <x:v>auto_default</x:v>
      </x:c>
      <x:c r="BC4" s="48" t="str">
        <x:v>v1</x:v>
      </x:c>
      <x:c r="BD4" s="68"/>
    </x:row>
    <x:row r="5" ht="36" customHeight="1">
      <x:c r="A5" s="47" t="str">
        <x:v>2026-07-28</x:v>
      </x:c>
      <x:c r="B5" s="48" t="str">
        <x:v>PL003</x:v>
      </x:c>
      <x:c r="C5" s="48" t="str">
        <x:v>V01</x:v>
      </x:c>
      <x:c r="D5" s="48" t="str">
        <x:v>佛山市顺德区康明新材料厂新建项目环境影响报告表</x:v>
      </x:c>
      <x:c r="E5" s="48" t="str">
        <x:v>佛山市顺德区康明新材料厂新建项目</x:v>
      </x:c>
      <x:c r="F5" s="48" t="str">
        <x:v>PL003_EnvQuality_Q01</x:v>
      </x:c>
      <x:c r="G5" s="48" t="str">
        <x:v>大气及地表水环境质量现状数据引用</x:v>
      </x:c>
      <x:c r="H5" s="48" t="str">
        <x:v>请根据报告引用的环境质量公报及现状数据，判断大气和地表水环境质量现状数据引用是否准确。</x:v>
      </x:c>
      <x:c r="I5" s="4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多处误写为'环境质量状况公报'或'生态环境质量状况公报'（正确为'生态环境状况公报'），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5" s="48" t="str">
        <x:v>证据位置:大气：表2第0行第1列（大气环境段落）；地表水：表2第0行第1列（地表水环境段落）; 大气公报:《佛山市生态环境局顺德分局关于发布2022年度佛山市顺德区生态环境状况公报的通知（报告误写为佛顺环函〔2023〕26号，正确为佛环顺函〔2023〕26号）》; 地表水资料:《佛山市生态环境局顺德分局关于发布2022年度佛山市顺德区生态环境状况公报的通知（报告误写文号）》</x:v>
      </x:c>
      <x:c r="K5" s="48" t="str">
        <x:v>生态环境状况公报知识库; 收纳水体地表水执行标准</x:v>
      </x:c>
      <x:c r="L5" s="48" t="str">
        <x:v>2</x:v>
      </x:c>
      <x:c r="M5" s="48" t="str">
        <x:v>2</x:v>
      </x:c>
      <x:c r="N5" s="48" t="str">
        <x:v>False</x:v>
      </x:c>
      <x:c r="O5" s="48" t="str">
        <x:v>正确</x:v>
      </x:c>
      <x:c r="P5" s="48" t="str">
        <x:v>大气:正确; 地表水:正确; 报告日期:2024-03</x:v>
      </x:c>
      <x:c r="Q5" s="48"/>
      <x:c r="R5" s="48"/>
      <x:c r="S5" s="48" t="str">
        <x:v>是</x:v>
      </x:c>
      <x:c r="T5" s="48" t="str">
        <x:v>各项引用数据与公报一致（报告多处将公报名称误写为'环境质量状况公报'（缺'生态'）或'生态环境质量状况公报'（多'质量'），正确名称为'2022年度佛山市顺德区生态环境状况公报'，属笔误；报告将文号误写为'佛顺环函'，正确为'佛环顺函'，字序颠倒，属笔误）</x:v>
      </x:c>
      <x:c r="U5" s="48" t="str">
        <x:v>30个环评_大气及地表水环境质量现状数据引用复核QA</x:v>
      </x:c>
      <x:c r="V5" s="48" t="str">
        <x:v>环境质量数据引用</x:v>
      </x:c>
      <x:c r="W5" s="48" t="str">
        <x:v>正确</x:v>
      </x:c>
      <x:c r="X5" s="48" t="str">
        <x:v>无误</x:v>
      </x:c>
      <x:c r="Y5" s="64"/>
      <x:c r="Z5" s="64" t="str">
        <x:v>未复核</x:v>
      </x:c>
      <x:c r="AA5" s="64" t="str">
        <x:v>部分充分</x:v>
      </x:c>
      <x:c r="AB5" s="64" t="str">
        <x:v>有效</x:v>
      </x:c>
      <x:c r="AC5" s="64" t="str">
        <x:v>部分核验</x:v>
      </x:c>
      <x:c r="AD5" s="64" t="str">
        <x:v>自动默认</x:v>
      </x:c>
      <x:c r="AE5" s="64" t="str">
        <x:v>候选池</x:v>
      </x:c>
      <x:c r="AF5" s="64" t="str">
        <x:v>A_仅待终审</x:v>
      </x:c>
      <x:c r="AG5" s="64"/>
      <x:c r="AH5" s="64"/>
      <x:c r="AI5" s="64"/>
      <x:c r="AJ5" s="64"/>
      <x:c r="AK5" s="64"/>
      <x:c r="AL5" s="64"/>
      <x:c r="AM5" s="64"/>
      <x:c r="AN5" s="48" t="str">
        <x:v>18</x:v>
      </x:c>
      <x:c r="AO5" s="48" t="str">
        <x:v>MAP_正确</x:v>
      </x:c>
      <x:c r="AP5" s="48" t="str">
        <x:v>存在报告证据，但尚未经人工逐项核验；已列依据来源，但未在本阶段逐条核验</x:v>
      </x:c>
      <x:c r="AQ5" s="64"/>
      <x:c r="AR5" s="48" t="str">
        <x:v>environmental_quality_data</x:v>
      </x:c>
      <x:c r="AS5" s="48" t="str">
        <x:v>L3_analysis</x:v>
      </x:c>
      <x:c r="AT5" s="48" t="str">
        <x:v>consistency_comparison</x:v>
      </x:c>
      <x:c r="AU5" s="48" t="str">
        <x:v>evidence_integration</x:v>
      </x:c>
      <x:c r="AV5" s="48" t="str">
        <x:v>report_grounding；basis_grounding</x:v>
      </x:c>
      <x:c r="AW5" s="48" t="str">
        <x:v>high</x:v>
      </x:c>
      <x:c r="AX5" s="48" t="str">
        <x:v>high</x:v>
      </x:c>
      <x:c r="AY5" s="48" t="str">
        <x:v>report_plus_external</x:v>
      </x:c>
      <x:c r="AZ5" s="48" t="str">
        <x:v>True</x:v>
      </x:c>
      <x:c r="BA5" s="48"/>
      <x:c r="BB5" s="48" t="str">
        <x:v>auto_default</x:v>
      </x:c>
      <x:c r="BC5" s="48" t="str">
        <x:v>v1</x:v>
      </x:c>
      <x:c r="BD5" s="68"/>
    </x:row>
    <x:row r="6" ht="36" customHeight="1">
      <x:c r="A6" s="47" t="str">
        <x:v>2026-07-27</x:v>
      </x:c>
      <x:c r="B6" s="48" t="str">
        <x:v>PL003</x:v>
      </x:c>
      <x:c r="C6" s="48" t="str">
        <x:v>V01</x:v>
      </x:c>
      <x:c r="D6" s="48" t="str">
        <x:v>PL003_佛山市顺德区康明新材料厂新建项目_01_核查材料.docx</x:v>
      </x:c>
      <x:c r="E6" s="48" t="str">
        <x:v>佛山市顺德区康明新材料厂新建项目</x:v>
      </x:c>
      <x:c r="F6" s="48" t="str">
        <x:v>PL003_Emission_大气</x:v>
      </x:c>
      <x:c r="G6" s="48" t="str">
        <x:v>污染物排放标准-大气污染物排放标准</x:v>
      </x:c>
      <x:c r="H6" s="48" t="str">
        <x:v>请根据项目行业类别、生产工艺和污染因子，判断大气污染物排放标准选取是否合理。要求分析：污染源覆盖是否完整（列出所有大气污染源及对应标准），是否存在缺漏的污染源或标准。</x:v>
      </x:c>
      <x:c r="I6" s="48" t="str">
        <x:v>1、污染排放标准分析污染源内容：不完整；
2、大气污染物排放标准分析：存在错误。吹膜工序非甲烷总烃执行GB31572-2015表5特别排放限值及表9，合理；涂布和烘干工序非甲烷总烃执行DB44/2367-2022表1，合理；臭气浓度执行GB14554-93，合理。但涂布和烘干工序产生的总VOCs执行广东省《家具制造行业挥发性有机化合物排放标准》（DB44/814-2010），明显错误。本项目行业类别为C2921塑料薄膜制造，不属于家具制造行业，涂布工序使用的保护胶涂布胶也非家具制造行业物料，不应适用家具制造行业排放标准。总VOCs应执行DB44/2367-2022《固定污染源挥发性有机物综合排放标准》表1大气污染物排放限值及表3厂区内VOCs无组织排放限值。报告在非甲烷总烃部分已引用DB44/2367-2022，但总VOCs却转用家具行业标准，标准选取存在行业适用性错误。此外，吹膜、涂布和烘干工序通过同一排气筒排放，报告对非甲烷总烃执行GB31572-2015表5和DB44/2367-2022表1较严值的处理方式合理。</x:v>
      </x:c>
      <x:c r="J6" s="48" t="str">
        <x:v>大气标准原文（错误项）："项目保护胶涂布胶涂布和烘干过程产生的总VOCs有组织排放执行广东省《家具制造行业挥发性有机化合物排放标准》（DB44/814-2010）表1 排气筒VOCs排放限值Ⅱ时段排放标准；无组织排放执行广东省《家具制造行业挥发性有机化合物排放标准》（DB44/814-2010）表2 无组织排放监控点浓度限值。"</x:v>
      </x:c>
      <x:c r="K6" s="48" t="str">
        <x:v>emission-standard-kb.jsonl; DB44/26-2001; DB44/2367-2022; GB31572-2015; GB14554-93; GB12348-2008; GB18597-2023; GB18599-2020</x:v>
      </x:c>
      <x:c r="L6" s="48" t="str">
        <x:v>2</x:v>
      </x:c>
      <x:c r="M6" s="48" t="str">
        <x:v>2</x:v>
      </x:c>
      <x:c r="N6" s="48" t="str">
        <x:v>False</x:v>
      </x:c>
      <x:c r="O6" s="48" t="str">
        <x:v>存在错误</x:v>
      </x:c>
      <x:c r="P6" s="48" t="str">
        <x:v>水:无误；气:存在错误；噪声:无误；固废:存在缺漏</x:v>
      </x:c>
      <x:c r="Q6" s="48"/>
      <x:c r="R6" s="48"/>
      <x:c r="S6" s="48" t="str">
        <x:v>是</x:v>
      </x:c>
      <x:c r="T6" s="48" t="str">
        <x:v>原综合排放标准问答对拆分而来</x:v>
      </x:c>
      <x:c r="U6" s="48" t="str">
        <x:v>30份环评_污染物排放控制执行标准复核QA(拆分版)</x:v>
      </x:c>
      <x:c r="V6" s="48" t="str">
        <x:v>大气污染物排放标准</x:v>
      </x:c>
      <x:c r="W6" s="48" t="str">
        <x:v>存在错误</x:v>
      </x:c>
      <x:c r="X6" s="48" t="str">
        <x:v>存在错误</x:v>
      </x:c>
      <x:c r="Y6" s="64"/>
      <x:c r="Z6" s="64" t="str">
        <x:v>未复核</x:v>
      </x:c>
      <x:c r="AA6" s="64" t="str">
        <x:v>部分充分</x:v>
      </x:c>
      <x:c r="AB6" s="64" t="str">
        <x:v>有效</x:v>
      </x:c>
      <x:c r="AC6" s="64" t="str">
        <x:v>部分核验</x:v>
      </x:c>
      <x:c r="AD6" s="64" t="str">
        <x:v>自动默认</x:v>
      </x:c>
      <x:c r="AE6" s="64" t="str">
        <x:v>候选池</x:v>
      </x:c>
      <x:c r="AF6" s="64" t="str">
        <x:v>A_仅待终审</x:v>
      </x:c>
      <x:c r="AG6" s="64"/>
      <x:c r="AH6" s="64"/>
      <x:c r="AI6" s="64"/>
      <x:c r="AJ6" s="64"/>
      <x:c r="AK6" s="64"/>
      <x:c r="AL6" s="64"/>
      <x:c r="AM6" s="64"/>
      <x:c r="AN6" s="48" t="str">
        <x:v>20</x:v>
      </x:c>
      <x:c r="AO6" s="48" t="str">
        <x:v>MAP_存在错误</x:v>
      </x:c>
      <x:c r="AP6" s="48" t="str">
        <x:v>存在报告证据，但尚未经人工逐项核验；已列依据来源，但未在本阶段逐条核验</x:v>
      </x:c>
      <x:c r="AQ6" s="64"/>
      <x:c r="AR6" s="48" t="str">
        <x:v>air_emission_standard</x:v>
      </x:c>
      <x:c r="AS6" s="48" t="str">
        <x:v>L3_analysis</x:v>
      </x:c>
      <x:c r="AT6" s="48" t="str">
        <x:v>multi_evidence_synthesis</x:v>
      </x:c>
      <x:c r="AU6" s="48" t="str">
        <x:v>basis_grounding</x:v>
      </x:c>
      <x:c r="AV6" s="48" t="str">
        <x:v>report_grounding；evidence_integration</x:v>
      </x:c>
      <x:c r="AW6" s="48" t="str">
        <x:v>high</x:v>
      </x:c>
      <x:c r="AX6" s="48" t="str">
        <x:v>high</x:v>
      </x:c>
      <x:c r="AY6" s="48" t="str">
        <x:v>report_plus_external</x:v>
      </x:c>
      <x:c r="AZ6" s="48" t="str">
        <x:v>True</x:v>
      </x:c>
      <x:c r="BA6" s="48"/>
      <x:c r="BB6" s="48" t="str">
        <x:v>auto_default</x:v>
      </x:c>
      <x:c r="BC6" s="48" t="str">
        <x:v>v1</x:v>
      </x:c>
      <x:c r="BD6" s="68"/>
    </x:row>
    <x:row r="7" ht="36" customHeight="1">
      <x:c r="A7" s="47" t="str">
        <x:v>2026-07-28</x:v>
      </x:c>
      <x:c r="B7" s="48" t="str">
        <x:v>PL004</x:v>
      </x:c>
      <x:c r="C7" s="48" t="str">
        <x:v>V01</x:v>
      </x:c>
      <x:c r="D7" s="48" t="str">
        <x:v>恒励新材料科技(佛山)有限公司新建项目环境影响报告表</x:v>
      </x:c>
      <x:c r="E7" s="48" t="str">
        <x:v>恒励新材料科技(佛山)有限公司新建项目</x:v>
      </x:c>
      <x:c r="F7" s="48" t="str">
        <x:v>PL004_EnvQuality_Q01</x:v>
      </x:c>
      <x:c r="G7" s="48" t="str">
        <x:v>大气及地表水环境质量现状数据引用</x:v>
      </x:c>
      <x:c r="H7" s="48" t="str">
        <x:v>请根据报告引用的环境质量公报及现状数据，判断大气和地表水环境质量现状数据引用是否准确。</x:v>
      </x:c>
      <x:c r="I7"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7" s="48" t="str">
        <x:v>证据位置:大气：表6第0行第1列（大气环境段落）；地表水：表6第0行第1列（地表水环境段落）;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7" s="48" t="str">
        <x:v>生态环境状况公报知识库; 收纳水体地表水执行标准</x:v>
      </x:c>
      <x:c r="L7" s="48" t="str">
        <x:v>2</x:v>
      </x:c>
      <x:c r="M7" s="48" t="str">
        <x:v>2</x:v>
      </x:c>
      <x:c r="N7" s="48" t="str">
        <x:v>False</x:v>
      </x:c>
      <x:c r="O7" s="48" t="str">
        <x:v>正确</x:v>
      </x:c>
      <x:c r="P7" s="48" t="str">
        <x:v>大气:正确; 地表水:正确; 报告日期:2023-07</x:v>
      </x:c>
      <x:c r="Q7" s="48"/>
      <x:c r="R7" s="48"/>
      <x:c r="S7" s="48" t="str">
        <x:v>是</x:v>
      </x:c>
      <x:c r="T7" s="48" t="str">
        <x:v>各项引用数据与公报一致，无需修正</x:v>
      </x:c>
      <x:c r="U7" s="48" t="str">
        <x:v>30个环评_大气及地表水环境质量现状数据引用复核QA</x:v>
      </x:c>
      <x:c r="V7" s="48" t="str">
        <x:v>环境质量数据引用</x:v>
      </x:c>
      <x:c r="W7" s="48" t="str">
        <x:v>正确</x:v>
      </x:c>
      <x:c r="X7" s="48" t="str">
        <x:v>无误</x:v>
      </x:c>
      <x:c r="Y7" s="64"/>
      <x:c r="Z7" s="64" t="str">
        <x:v>未复核</x:v>
      </x:c>
      <x:c r="AA7" s="64" t="str">
        <x:v>部分充分</x:v>
      </x:c>
      <x:c r="AB7" s="64" t="str">
        <x:v>有效</x:v>
      </x:c>
      <x:c r="AC7" s="64" t="str">
        <x:v>部分核验</x:v>
      </x:c>
      <x:c r="AD7" s="64" t="str">
        <x:v>自动默认</x:v>
      </x:c>
      <x:c r="AE7" s="64" t="str">
        <x:v>候选池</x:v>
      </x:c>
      <x:c r="AF7" s="64" t="str">
        <x:v>A_仅待终审</x:v>
      </x:c>
      <x:c r="AG7" s="64"/>
      <x:c r="AH7" s="64"/>
      <x:c r="AI7" s="64"/>
      <x:c r="AJ7" s="64"/>
      <x:c r="AK7" s="64"/>
      <x:c r="AL7" s="64"/>
      <x:c r="AM7" s="64"/>
      <x:c r="AN7" s="48" t="str">
        <x:v>25</x:v>
      </x:c>
      <x:c r="AO7" s="48" t="str">
        <x:v>MAP_正确</x:v>
      </x:c>
      <x:c r="AP7" s="48" t="str">
        <x:v>存在报告证据，但尚未经人工逐项核验；已列依据来源，但未在本阶段逐条核验</x:v>
      </x:c>
      <x:c r="AQ7" s="64"/>
      <x:c r="AR7" s="48" t="str">
        <x:v>environmental_quality_data</x:v>
      </x:c>
      <x:c r="AS7" s="48" t="str">
        <x:v>L3_analysis</x:v>
      </x:c>
      <x:c r="AT7" s="48" t="str">
        <x:v>consistency_comparison</x:v>
      </x:c>
      <x:c r="AU7" s="48" t="str">
        <x:v>evidence_integration</x:v>
      </x:c>
      <x:c r="AV7" s="48" t="str">
        <x:v>report_grounding；basis_grounding</x:v>
      </x:c>
      <x:c r="AW7" s="48" t="str">
        <x:v>high</x:v>
      </x:c>
      <x:c r="AX7" s="48" t="str">
        <x:v>high</x:v>
      </x:c>
      <x:c r="AY7" s="48" t="str">
        <x:v>report_plus_external</x:v>
      </x:c>
      <x:c r="AZ7" s="48" t="str">
        <x:v>True</x:v>
      </x:c>
      <x:c r="BA7" s="48"/>
      <x:c r="BB7" s="48" t="str">
        <x:v>auto_default</x:v>
      </x:c>
      <x:c r="BC7" s="48" t="str">
        <x:v>v1</x:v>
      </x:c>
      <x:c r="BD7" s="68"/>
    </x:row>
    <x:row r="8" ht="36" customHeight="1">
      <x:c r="A8" s="47" t="str">
        <x:v>2026-07-27</x:v>
      </x:c>
      <x:c r="B8" s="48" t="str">
        <x:v>PL004</x:v>
      </x:c>
      <x:c r="C8" s="48" t="str">
        <x:v>V01</x:v>
      </x:c>
      <x:c r="D8" s="48" t="str">
        <x:v>PL004_恒励新材料科技(佛山)有限公司新建项目_01_核查材料.docx</x:v>
      </x:c>
      <x:c r="E8" s="48" t="str">
        <x:v>恒励新材料科技(佛山)有限公司新建项目</x:v>
      </x:c>
      <x:c r="F8" s="48" t="str">
        <x:v>PL004_Emission_大气</x:v>
      </x:c>
      <x:c r="G8" s="48" t="str">
        <x:v>污染物排放标准-大气污染物排放标准</x:v>
      </x:c>
      <x:c r="H8" s="48" t="str">
        <x:v>请根据项目行业类别、生产工艺和污染因子，判断大气污染物排放标准选取是否合理。要求分析：污染源覆盖是否完整（列出所有大气污染源及对应标准），是否存在缺漏的污染源或标准。</x:v>
      </x:c>
      <x:c r="I8" s="48" t="str">
        <x:v>1、污染排放标准分析污染源内容：不完整；
2、大气污染物排放标准分析：存在缺漏。投料混料颗粒物执行GB31572-2015表9企业边界浓度限值，合理。臭气浓度执行GB14554-93，合理。厂区内VOCs无组织执行DB44/2367-2022表3，合理。但挤出工序非甲烷总烃执行GB31572-2015表4大气污染物排放限值（常规排放限值），存在缺漏。顺德区属珠三角重点区域，根据环境保护部公告，重点区域应执行GB31572-2015表5大气污染物特别排放限值。同区域同类项目（PL002、PL003）均执行表5特别排放限值，本项目执行表4常规排放限值与区域要求不一致，应执行更严的表5特别排放限值。</x:v>
      </x:c>
      <x:c r="J8" s="48" t="str">
        <x:v>大气标准原文："挤出工序产生的非甲烷总烃执行《合成树脂工业污染物排放标准》（GB31572-2015）表4大气污染物排放限值要求及表9企业边界大气污染物浓度限值要求。"</x:v>
      </x:c>
      <x:c r="K8" s="48" t="str">
        <x:v>emission-standard-kb.jsonl; DB44/26-2001; DB44/2367-2022; GB31572-2015; GB14554-93; GB12348-2008; GB18597-2023; GB18599-2020</x:v>
      </x:c>
      <x:c r="L8" s="48" t="str">
        <x:v>2</x:v>
      </x:c>
      <x:c r="M8" s="48" t="str">
        <x:v>2</x:v>
      </x:c>
      <x:c r="N8" s="48" t="str">
        <x:v>False</x:v>
      </x:c>
      <x:c r="O8" s="48" t="str">
        <x:v>存在缺漏</x:v>
      </x:c>
      <x:c r="P8" s="48" t="str">
        <x:v>水:无误；气:存在缺漏；噪声:无误；固废:存在缺漏</x:v>
      </x:c>
      <x:c r="Q8" s="48"/>
      <x:c r="R8" s="48"/>
      <x:c r="S8" s="48" t="str">
        <x:v>是</x:v>
      </x:c>
      <x:c r="T8" s="48" t="str">
        <x:v>原综合排放标准问答对拆分而来</x:v>
      </x:c>
      <x:c r="U8" s="48" t="str">
        <x:v>30份环评_污染物排放控制执行标准复核QA(拆分版)</x:v>
      </x:c>
      <x:c r="V8" s="48" t="str">
        <x:v>大气污染物排放标准</x:v>
      </x:c>
      <x:c r="W8" s="48" t="str">
        <x:v>存在缺漏</x:v>
      </x:c>
      <x:c r="X8" s="48" t="str">
        <x:v>存在缺漏</x:v>
      </x:c>
      <x:c r="Y8" s="64"/>
      <x:c r="Z8" s="64" t="str">
        <x:v>未复核</x:v>
      </x:c>
      <x:c r="AA8" s="64" t="str">
        <x:v>部分充分</x:v>
      </x:c>
      <x:c r="AB8" s="64" t="str">
        <x:v>有效</x:v>
      </x:c>
      <x:c r="AC8" s="64" t="str">
        <x:v>部分核验</x:v>
      </x:c>
      <x:c r="AD8" s="64" t="str">
        <x:v>自动默认</x:v>
      </x:c>
      <x:c r="AE8" s="64" t="str">
        <x:v>候选池</x:v>
      </x:c>
      <x:c r="AF8" s="64" t="str">
        <x:v>A_仅待终审</x:v>
      </x:c>
      <x:c r="AG8" s="64"/>
      <x:c r="AH8" s="64"/>
      <x:c r="AI8" s="64"/>
      <x:c r="AJ8" s="64"/>
      <x:c r="AK8" s="64"/>
      <x:c r="AL8" s="64"/>
      <x:c r="AM8" s="64"/>
      <x:c r="AN8" s="48" t="str">
        <x:v>27</x:v>
      </x:c>
      <x:c r="AO8" s="48" t="str">
        <x:v>MAP_存在缺漏</x:v>
      </x:c>
      <x:c r="AP8" s="48" t="str">
        <x:v>存在报告证据，但尚未经人工逐项核验；已列依据来源，但未在本阶段逐条核验</x:v>
      </x:c>
      <x:c r="AQ8" s="64"/>
      <x:c r="AR8" s="48" t="str">
        <x:v>air_emission_standard</x:v>
      </x:c>
      <x:c r="AS8" s="48" t="str">
        <x:v>L3_analysis</x:v>
      </x:c>
      <x:c r="AT8" s="48" t="str">
        <x:v>multi_evidence_synthesis</x:v>
      </x:c>
      <x:c r="AU8" s="48" t="str">
        <x:v>basis_grounding</x:v>
      </x:c>
      <x:c r="AV8" s="48" t="str">
        <x:v>report_grounding；evidence_integration</x:v>
      </x:c>
      <x:c r="AW8" s="48" t="str">
        <x:v>high</x:v>
      </x:c>
      <x:c r="AX8" s="48" t="str">
        <x:v>high</x:v>
      </x:c>
      <x:c r="AY8" s="48" t="str">
        <x:v>report_plus_external</x:v>
      </x:c>
      <x:c r="AZ8" s="48" t="str">
        <x:v>True</x:v>
      </x:c>
      <x:c r="BA8" s="48"/>
      <x:c r="BB8" s="48" t="str">
        <x:v>auto_default</x:v>
      </x:c>
      <x:c r="BC8" s="48" t="str">
        <x:v>v1</x:v>
      </x:c>
      <x:c r="BD8" s="68"/>
    </x:row>
    <x:row r="9" ht="36" customHeight="1">
      <x:c r="A9" s="47" t="str">
        <x:v>2026-07-28</x:v>
      </x:c>
      <x:c r="B9" s="48" t="str">
        <x:v>PL005</x:v>
      </x:c>
      <x:c r="C9" s="48" t="str">
        <x:v>V01</x:v>
      </x:c>
      <x:c r="D9" s="48" t="str">
        <x:v>佛山市润特龙清洁用品有限公司新建项目环境影响报告表</x:v>
      </x:c>
      <x:c r="E9" s="48" t="str">
        <x:v>佛山市润特龙清洁用品有限公司新建项目</x:v>
      </x:c>
      <x:c r="F9" s="48" t="str">
        <x:v>PL005_EnvQuality_Q01</x:v>
      </x:c>
      <x:c r="G9" s="48" t="str">
        <x:v>大气及地表水环境质量现状数据引用</x:v>
      </x:c>
      <x:c r="H9" s="48" t="str">
        <x:v>请根据报告引用的环境质量公报及现状数据，判断大气和地表水环境质量现状数据引用是否准确。</x:v>
      </x:c>
      <x:c r="I9" s="48" t="str">
        <x:v>1、大气及地表水环境质量引用数据正确（报告公报名称存在笔误）；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存在笔误（详见大气部分说明），需人工核实更正。经检索，截至审核日该地区最新的环境状况公报为《2024年度佛山市顺德区生态环境状况公报》，可供参考。</x:v>
      </x:c>
      <x:c r="J9" s="48" t="str">
        <x:v>证据位置:大气：表3第0行第1列（空气环境质量现状段落）；地表水：表3第0行第1列（地表水环境质量现状段落）; 大气公报:《佛山市生态环境局顺德分局关于发布2022年度佛山市顺德区环境质量状况公报的通知（佛环顺函〔2023〕26号）——报告公报名称缺'生态'二字》; 地表水资料:《佛山市生态环境局顺德分局关于发布2022年度佛山市顺德区环境质量状况公报的通知（佛环顺函〔2023〕26号）——报告公报名称缺'生态'二字》</x:v>
      </x:c>
      <x:c r="K9" s="48" t="str">
        <x:v>生态环境状况公报知识库; 收纳水体地表水执行标准</x:v>
      </x:c>
      <x:c r="L9" s="48" t="str">
        <x:v>2</x:v>
      </x:c>
      <x:c r="M9" s="48" t="str">
        <x:v>2</x:v>
      </x:c>
      <x:c r="N9" s="48" t="str">
        <x:v>False</x:v>
      </x:c>
      <x:c r="O9" s="48" t="str">
        <x:v>正确</x:v>
      </x:c>
      <x:c r="P9" s="48" t="str">
        <x:v>大气:正确; 地表水:正确; 报告日期:2024-03</x:v>
      </x:c>
      <x:c r="Q9" s="48"/>
      <x:c r="R9" s="48"/>
      <x:c r="S9" s="48" t="str">
        <x:v>是</x:v>
      </x:c>
      <x:c r="T9" s="48" t="str">
        <x:v>各项引用数据与公报一致（报告公报名称缺'生态'二字，正确为'生态环境状况公报'，属笔误）</x:v>
      </x:c>
      <x:c r="U9" s="48" t="str">
        <x:v>30个环评_大气及地表水环境质量现状数据引用复核QA</x:v>
      </x:c>
      <x:c r="V9" s="48" t="str">
        <x:v>环境质量数据引用</x:v>
      </x:c>
      <x:c r="W9" s="48" t="str">
        <x:v>正确</x:v>
      </x:c>
      <x:c r="X9" s="48" t="str">
        <x:v>无误</x:v>
      </x:c>
      <x:c r="Y9" s="64"/>
      <x:c r="Z9" s="64" t="str">
        <x:v>未复核</x:v>
      </x:c>
      <x:c r="AA9" s="64" t="str">
        <x:v>部分充分</x:v>
      </x:c>
      <x:c r="AB9" s="64" t="str">
        <x:v>有效</x:v>
      </x:c>
      <x:c r="AC9" s="64" t="str">
        <x:v>部分核验</x:v>
      </x:c>
      <x:c r="AD9" s="64" t="str">
        <x:v>自动默认</x:v>
      </x:c>
      <x:c r="AE9" s="64" t="str">
        <x:v>候选池</x:v>
      </x:c>
      <x:c r="AF9" s="64" t="str">
        <x:v>A_仅待终审</x:v>
      </x:c>
      <x:c r="AG9" s="64"/>
      <x:c r="AH9" s="64"/>
      <x:c r="AI9" s="64"/>
      <x:c r="AJ9" s="64"/>
      <x:c r="AK9" s="64"/>
      <x:c r="AL9" s="64"/>
      <x:c r="AM9" s="64"/>
      <x:c r="AN9" s="48" t="str">
        <x:v>30</x:v>
      </x:c>
      <x:c r="AO9" s="48" t="str">
        <x:v>MAP_正确</x:v>
      </x:c>
      <x:c r="AP9" s="48" t="str">
        <x:v>存在报告证据，但尚未经人工逐项核验；已列依据来源，但未在本阶段逐条核验</x:v>
      </x:c>
      <x:c r="AQ9" s="64"/>
      <x:c r="AR9" s="48" t="str">
        <x:v>environmental_quality_data</x:v>
      </x:c>
      <x:c r="AS9" s="48" t="str">
        <x:v>L3_analysis</x:v>
      </x:c>
      <x:c r="AT9" s="48" t="str">
        <x:v>consistency_comparison</x:v>
      </x:c>
      <x:c r="AU9" s="48" t="str">
        <x:v>evidence_integration</x:v>
      </x:c>
      <x:c r="AV9" s="48" t="str">
        <x:v>report_grounding；basis_grounding</x:v>
      </x:c>
      <x:c r="AW9" s="48" t="str">
        <x:v>high</x:v>
      </x:c>
      <x:c r="AX9" s="48" t="str">
        <x:v>high</x:v>
      </x:c>
      <x:c r="AY9" s="48" t="str">
        <x:v>report_plus_external</x:v>
      </x:c>
      <x:c r="AZ9" s="48" t="str">
        <x:v>True</x:v>
      </x:c>
      <x:c r="BA9" s="48"/>
      <x:c r="BB9" s="48" t="str">
        <x:v>auto_default</x:v>
      </x:c>
      <x:c r="BC9" s="48" t="str">
        <x:v>v1</x:v>
      </x:c>
      <x:c r="BD9" s="68"/>
    </x:row>
    <x:row r="10" ht="36" customHeight="1">
      <x:c r="A10" s="47" t="str">
        <x:v>2026-07-27</x:v>
      </x:c>
      <x:c r="B10" s="48" t="str">
        <x:v>PL005</x:v>
      </x:c>
      <x:c r="C10" s="48" t="str">
        <x:v>V01</x:v>
      </x:c>
      <x:c r="D10" s="48" t="str">
        <x:v>PL005_佛山市润特龙清洁用品有限公司新建项目_01_核查材料.docx</x:v>
      </x:c>
      <x:c r="E10" s="48" t="str">
        <x:v>佛山市润特龙清洁用品有限公司新建项目</x:v>
      </x:c>
      <x:c r="F10" s="48" t="str">
        <x:v>PL005_Emission_大气</x:v>
      </x:c>
      <x:c r="G10" s="48" t="str">
        <x:v>污染物排放标准-大气污染物排放标准</x:v>
      </x:c>
      <x:c r="H10" s="48" t="str">
        <x:v>请根据项目行业类别、生产工艺和污染因子，判断大气污染物排放标准选取是否合理。要求分析：污染源覆盖是否完整（列出所有大气污染源及对应标准），是否存在缺漏的污染源或标准。</x:v>
      </x:c>
      <x:c r="I10" s="48" t="str">
        <x:v>1、污染排放标准分析污染源内容：不完整；
2、大气污染物排放标准分析：存在缺漏。挤出、烘干定型工序非甲烷总烃执行GB31572-2015表4大气污染物排放限值及表9企业边界浓度限值，存在缺漏。顺德区属珠三角重点区域，应执行GB31572-2015表5大气污染物特别排放限值，同区域同类项目（PL002、PL003）均执行表5，本项目执行表4常规排放限值与区域要求不一致。破碎工序颗粒物执行GB31572-2015表9，合理。臭气浓度执行GB14554-93表2和表1二级新扩改建标准，合理。厂区内VOCs无组织排放执行DB44/2367-2022表3，合理。此外，报告中标准名称存在书写错误，多处将"《合成树脂工业污染物排放标准》"误写为"《合成树脂工业污染排放标准》"，缺少"物"字，标准名称引用不规范。</x:v>
      </x:c>
      <x:c r="J10" s="48" t="str">
        <x:v>大气标准原文："项目挤出、烘干定型工序产生的非甲烷总烃有组织排放执行《合成树脂工业污染排放标准》（GB 31572-2015）中表4大气污染物排放限值；无组织排放执行表9企业边界大气污染物浓度限值。"</x:v>
      </x:c>
      <x:c r="K10" s="48" t="str">
        <x:v>emission-standard-kb.jsonl; DB44/26-2001; DB44/2367-2022; GB31572-2015; GB14554-93; GB12348-2008; GB18597-2023; GB18599-2020</x:v>
      </x:c>
      <x:c r="L10" s="48" t="str">
        <x:v>2</x:v>
      </x:c>
      <x:c r="M10" s="48" t="str">
        <x:v>2</x:v>
      </x:c>
      <x:c r="N10" s="48" t="str">
        <x:v>False</x:v>
      </x:c>
      <x:c r="O10" s="48" t="str">
        <x:v>存在缺漏</x:v>
      </x:c>
      <x:c r="P10" s="48" t="str">
        <x:v>水:无误；气:存在缺漏；噪声:无误；固废:存在缺漏</x:v>
      </x:c>
      <x:c r="Q10" s="48"/>
      <x:c r="R10" s="48"/>
      <x:c r="S10" s="48" t="str">
        <x:v>是</x:v>
      </x:c>
      <x:c r="T10" s="48" t="str">
        <x:v>原综合排放标准问答对拆分而来</x:v>
      </x:c>
      <x:c r="U10" s="48" t="str">
        <x:v>30份环评_污染物排放控制执行标准复核QA(拆分版)</x:v>
      </x:c>
      <x:c r="V10" s="48" t="str">
        <x:v>大气污染物排放标准</x:v>
      </x:c>
      <x:c r="W10" s="48" t="str">
        <x:v>存在缺漏</x:v>
      </x:c>
      <x:c r="X10" s="48" t="str">
        <x:v>存在缺漏</x:v>
      </x:c>
      <x:c r="Y10" s="64"/>
      <x:c r="Z10" s="64" t="str">
        <x:v>未复核</x:v>
      </x:c>
      <x:c r="AA10" s="64" t="str">
        <x:v>部分充分</x:v>
      </x:c>
      <x:c r="AB10" s="64" t="str">
        <x:v>有效</x:v>
      </x:c>
      <x:c r="AC10" s="64" t="str">
        <x:v>部分核验</x:v>
      </x:c>
      <x:c r="AD10" s="64" t="str">
        <x:v>自动默认</x:v>
      </x:c>
      <x:c r="AE10" s="64" t="str">
        <x:v>候选池</x:v>
      </x:c>
      <x:c r="AF10" s="64" t="str">
        <x:v>A_仅待终审</x:v>
      </x:c>
      <x:c r="AG10" s="64"/>
      <x:c r="AH10" s="64"/>
      <x:c r="AI10" s="64"/>
      <x:c r="AJ10" s="64"/>
      <x:c r="AK10" s="64"/>
      <x:c r="AL10" s="64"/>
      <x:c r="AM10" s="64"/>
      <x:c r="AN10" s="48" t="str">
        <x:v>32</x:v>
      </x:c>
      <x:c r="AO10" s="48" t="str">
        <x:v>MAP_存在缺漏</x:v>
      </x:c>
      <x:c r="AP10" s="48" t="str">
        <x:v>存在报告证据，但尚未经人工逐项核验；已列依据来源，但未在本阶段逐条核验</x:v>
      </x:c>
      <x:c r="AQ10" s="64"/>
      <x:c r="AR10" s="48" t="str">
        <x:v>air_emission_standard</x:v>
      </x:c>
      <x:c r="AS10" s="48" t="str">
        <x:v>L3_analysis</x:v>
      </x:c>
      <x:c r="AT10" s="48" t="str">
        <x:v>multi_evidence_synthesis</x:v>
      </x:c>
      <x:c r="AU10" s="48" t="str">
        <x:v>basis_grounding</x:v>
      </x:c>
      <x:c r="AV10" s="48" t="str">
        <x:v>report_grounding；evidence_integration</x:v>
      </x:c>
      <x:c r="AW10" s="48" t="str">
        <x:v>high</x:v>
      </x:c>
      <x:c r="AX10" s="48" t="str">
        <x:v>high</x:v>
      </x:c>
      <x:c r="AY10" s="48" t="str">
        <x:v>report_plus_external</x:v>
      </x:c>
      <x:c r="AZ10" s="48" t="str">
        <x:v>True</x:v>
      </x:c>
      <x:c r="BA10" s="48"/>
      <x:c r="BB10" s="48" t="str">
        <x:v>auto_default</x:v>
      </x:c>
      <x:c r="BC10" s="48" t="str">
        <x:v>v1</x:v>
      </x:c>
      <x:c r="BD10" s="68"/>
    </x:row>
    <x:row r="11" ht="36" customHeight="1">
      <x:c r="A11" s="47" t="str">
        <x:v>2026-07-28</x:v>
      </x:c>
      <x:c r="B11" s="48" t="str">
        <x:v>PL006</x:v>
      </x:c>
      <x:c r="C11" s="48" t="str">
        <x:v>V01</x:v>
      </x:c>
      <x:c r="D11" s="48" t="str">
        <x:v>佛山市顺德区乐鲸科技有限公司年产五金拉手300万个新建项目环境影响报告表</x:v>
      </x:c>
      <x:c r="E11" s="48" t="str">
        <x:v>佛山市顺德区乐鲸科技有限公司年产五金拉手300万个新建项目</x:v>
      </x:c>
      <x:c r="F11" s="48" t="str">
        <x:v>PL006_EnvQuality_Q01</x:v>
      </x:c>
      <x:c r="G11" s="48" t="str">
        <x:v>大气及地表水环境质量现状数据引用</x:v>
      </x:c>
      <x:c r="H11" s="48" t="str">
        <x:v>请根据报告引用的环境质量公报及现状数据，判断大气和地表水环境质量现状数据引用是否准确。</x:v>
      </x:c>
      <x:c r="I11" s="4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11" s="48" t="str">
        <x:v>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x:v>
      </x:c>
      <x:c r="K11" s="48" t="str">
        <x:v>生态环境状况公报知识库; 收纳水体地表水执行标准</x:v>
      </x:c>
      <x:c r="L11" s="48" t="str">
        <x:v>2</x:v>
      </x:c>
      <x:c r="M11" s="48" t="str">
        <x:v>2</x:v>
      </x:c>
      <x:c r="N11" s="48" t="str">
        <x:v>False</x:v>
      </x:c>
      <x:c r="O11" s="48" t="str">
        <x:v>正确</x:v>
      </x:c>
      <x:c r="P11" s="48" t="str">
        <x:v>大气:正确; 地表水:正确; 报告日期:2024-03</x:v>
      </x:c>
      <x:c r="Q11" s="48"/>
      <x:c r="R11" s="48"/>
      <x:c r="S11" s="48" t="str">
        <x:v>是</x:v>
      </x:c>
      <x:c r="T11" s="48" t="str">
        <x:v>各项引用数据与公报一致，无需修正</x:v>
      </x:c>
      <x:c r="U11" s="48" t="str">
        <x:v>30个环评_大气及地表水环境质量现状数据引用复核QA</x:v>
      </x:c>
      <x:c r="V11" s="48" t="str">
        <x:v>环境质量数据引用</x:v>
      </x:c>
      <x:c r="W11" s="48" t="str">
        <x:v>正确</x:v>
      </x:c>
      <x:c r="X11" s="48" t="str">
        <x:v>无误</x:v>
      </x:c>
      <x:c r="Y11" s="64"/>
      <x:c r="Z11" s="64" t="str">
        <x:v>未复核</x:v>
      </x:c>
      <x:c r="AA11" s="64" t="str">
        <x:v>部分充分</x:v>
      </x:c>
      <x:c r="AB11" s="64" t="str">
        <x:v>有效</x:v>
      </x:c>
      <x:c r="AC11" s="64" t="str">
        <x:v>部分核验</x:v>
      </x:c>
      <x:c r="AD11" s="64" t="str">
        <x:v>自动默认</x:v>
      </x:c>
      <x:c r="AE11" s="64" t="str">
        <x:v>候选池</x:v>
      </x:c>
      <x:c r="AF11" s="64" t="str">
        <x:v>A_仅待终审</x:v>
      </x:c>
      <x:c r="AG11" s="64"/>
      <x:c r="AH11" s="64"/>
      <x:c r="AI11" s="64"/>
      <x:c r="AJ11" s="64"/>
      <x:c r="AK11" s="64"/>
      <x:c r="AL11" s="64"/>
      <x:c r="AM11" s="64"/>
      <x:c r="AN11" s="48" t="str">
        <x:v>35</x:v>
      </x:c>
      <x:c r="AO11" s="48" t="str">
        <x:v>MAP_正确</x:v>
      </x:c>
      <x:c r="AP11" s="48" t="str">
        <x:v>存在报告证据，但尚未经人工逐项核验；已列依据来源，但未在本阶段逐条核验</x:v>
      </x:c>
      <x:c r="AQ11" s="64"/>
      <x:c r="AR11" s="48" t="str">
        <x:v>environmental_quality_data</x:v>
      </x:c>
      <x:c r="AS11" s="48" t="str">
        <x:v>L3_analysis</x:v>
      </x:c>
      <x:c r="AT11" s="48" t="str">
        <x:v>consistency_comparison</x:v>
      </x:c>
      <x:c r="AU11" s="48" t="str">
        <x:v>evidence_integration</x:v>
      </x:c>
      <x:c r="AV11" s="48" t="str">
        <x:v>report_grounding；basis_grounding</x:v>
      </x:c>
      <x:c r="AW11" s="48" t="str">
        <x:v>high</x:v>
      </x:c>
      <x:c r="AX11" s="48" t="str">
        <x:v>high</x:v>
      </x:c>
      <x:c r="AY11" s="48" t="str">
        <x:v>report_plus_external</x:v>
      </x:c>
      <x:c r="AZ11" s="48" t="str">
        <x:v>True</x:v>
      </x:c>
      <x:c r="BA11" s="48"/>
      <x:c r="BB11" s="48" t="str">
        <x:v>auto_default</x:v>
      </x:c>
      <x:c r="BC11" s="48" t="str">
        <x:v>v1</x:v>
      </x:c>
      <x:c r="BD11" s="68"/>
    </x:row>
    <x:row r="12" ht="36" customHeight="1">
      <x:c r="A12" s="47" t="str">
        <x:v>2026-07-27</x:v>
      </x:c>
      <x:c r="B12" s="48" t="str">
        <x:v>PL006</x:v>
      </x:c>
      <x:c r="C12" s="48" t="str">
        <x:v>V01</x:v>
      </x:c>
      <x:c r="D12" s="48" t="str">
        <x:v>PL006_佛山市顺德区乐鲸科技有限公司年产五金拉手300万个新建项目_01_修改评估意见.docx</x:v>
      </x:c>
      <x:c r="E12" s="48" t="str">
        <x:v>佛山市顺德区乐鲸科技有限公司年产五金拉手300万个新建项目</x:v>
      </x:c>
      <x:c r="F12" s="48" t="str">
        <x:v>PL006_Emission_水污</x:v>
      </x:c>
      <x:c r="G12" s="48" t="str">
        <x:v>污染物排放标准-水污染物排放标准</x:v>
      </x:c>
      <x:c r="H1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2" s="48" t="str">
        <x:v>1、水污染物排放标准中生活污水排放执行标准：存在缺漏；
2、水污染物排放标准结论的过程分析内容：存在缺漏。项目属C3389其他金属制日用品制造，生活污水经三级化粪池预处理后由市政管网引至杏坛污水处理厂处理。报告仅提及杏坛污水处理厂出水达到《城镇污水处理污染物排放标准》（GB 18918-2002）一级A标准和广东省地方标准《水污染物排放限值》（DB44/26-2001）第二时段一级标准中的较严者，但未明确填报企业生活污水排口执行标准（应为DB44/26-2001第二时段三级标准）。知识库记录ESK-DOMESTIC-SEWAGE-LIMITS-002证实企业生活污水排口应执行DB44/26-2001第二时段三级标准（COD 500mg/L），报告缺少该企业排口标准的明确表述。此外，报告将标准名称写为“城镇污水处理污染物排放标准”，遗漏“厂”字，正确名称应为《城镇污水处理厂污染物排放标准》（GB18918-2002），存在标准名称书写错误。知识库记录ESK-SHUNDE-WWTP-MAPPING-012证实杏坛污水处理厂尾水执行GB18918-2002一级A标准及DB44/26-2001第二时段一级标准的较严值，尾水去向为北马涌→顺德水道，报告所述顺德支流与知识库记录的受纳水体名称存在差异，需进一步确认。</x:v>
      </x:c>
      <x:c r="J12"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x:v>
      </x:c>
      <x:c r="K12" s="48" t="str">
        <x:v>emission-standard-kb.jsonl; DB44/26-2001; DB44/2367-2022; GB31572-2015; GB14554-93; GB12348-2008; GB18597-2023; GB18599-2020</x:v>
      </x:c>
      <x:c r="L12" s="48" t="str">
        <x:v>2</x:v>
      </x:c>
      <x:c r="M12" s="48" t="str">
        <x:v>2</x:v>
      </x:c>
      <x:c r="N12" s="48" t="str">
        <x:v>False</x:v>
      </x:c>
      <x:c r="O12" s="48" t="str">
        <x:v>存在缺漏</x:v>
      </x:c>
      <x:c r="P12" s="48" t="str">
        <x:v>水：存在缺漏——企业排口标准未填报，标准名称遗漏“厂”字；大气：存在缺漏——喷涂/烘干工序VOCs和颗粒物排放标准全部缺失；噪声：存在缺漏——厂界噪声排放标准未编制；固废：存在缺漏——一般固废和危废控制标准均未编制。</x:v>
      </x:c>
      <x:c r="Q12" s="48"/>
      <x:c r="R12" s="48"/>
      <x:c r="S12" s="48" t="str">
        <x:v>是</x:v>
      </x:c>
      <x:c r="T12" s="48" t="str">
        <x:v>原综合排放标准问答对拆分而来</x:v>
      </x:c>
      <x:c r="U12" s="48" t="str">
        <x:v>30份环评_污染物排放控制执行标准复核QA(拆分版)</x:v>
      </x:c>
      <x:c r="V12" s="48" t="str">
        <x:v>水污染物排放标准</x:v>
      </x:c>
      <x:c r="W12" s="48" t="str">
        <x:v>存在缺漏</x:v>
      </x:c>
      <x:c r="X12" s="48" t="str">
        <x:v>存在缺漏</x:v>
      </x:c>
      <x:c r="Y12" s="64"/>
      <x:c r="Z12" s="64" t="str">
        <x:v>未复核</x:v>
      </x:c>
      <x:c r="AA12" s="64" t="str">
        <x:v>部分充分</x:v>
      </x:c>
      <x:c r="AB12" s="64" t="str">
        <x:v>有效</x:v>
      </x:c>
      <x:c r="AC12" s="64" t="str">
        <x:v>部分核验</x:v>
      </x:c>
      <x:c r="AD12" s="64" t="str">
        <x:v>自动默认</x:v>
      </x:c>
      <x:c r="AE12" s="64" t="str">
        <x:v>候选池</x:v>
      </x:c>
      <x:c r="AF12" s="64" t="str">
        <x:v>A_仅待终审</x:v>
      </x:c>
      <x:c r="AG12" s="64"/>
      <x:c r="AH12" s="64"/>
      <x:c r="AI12" s="64"/>
      <x:c r="AJ12" s="64"/>
      <x:c r="AK12" s="64"/>
      <x:c r="AL12" s="64"/>
      <x:c r="AM12" s="64"/>
      <x:c r="AN12" s="48" t="str">
        <x:v>36</x:v>
      </x:c>
      <x:c r="AO12" s="48" t="str">
        <x:v>MAP_存在缺漏</x:v>
      </x:c>
      <x:c r="AP12" s="48" t="str">
        <x:v>存在报告证据，但尚未经人工逐项核验；已列依据来源，但未在本阶段逐条核验</x:v>
      </x:c>
      <x:c r="AQ12" s="64"/>
      <x:c r="AR12" s="48" t="str">
        <x:v>water_emission_standard</x:v>
      </x:c>
      <x:c r="AS12" s="48" t="str">
        <x:v>L3_analysis</x:v>
      </x:c>
      <x:c r="AT12" s="48" t="str">
        <x:v>rule_applicability</x:v>
      </x:c>
      <x:c r="AU12" s="48" t="str">
        <x:v>basis_grounding</x:v>
      </x:c>
      <x:c r="AV12" s="48" t="str">
        <x:v>report_grounding；procedural_reasoning</x:v>
      </x:c>
      <x:c r="AW12" s="48" t="str">
        <x:v>high</x:v>
      </x:c>
      <x:c r="AX12" s="48" t="str">
        <x:v>high</x:v>
      </x:c>
      <x:c r="AY12" s="48" t="str">
        <x:v>report_plus_external</x:v>
      </x:c>
      <x:c r="AZ12" s="48" t="str">
        <x:v>True</x:v>
      </x:c>
      <x:c r="BA12" s="48"/>
      <x:c r="BB12" s="48" t="str">
        <x:v>auto_default</x:v>
      </x:c>
      <x:c r="BC12" s="48" t="str">
        <x:v>v1</x:v>
      </x:c>
      <x:c r="BD12" s="68"/>
    </x:row>
    <x:row r="13" ht="36" customHeight="1">
      <x:c r="A13" s="47" t="str">
        <x:v>2026-07-27</x:v>
      </x:c>
      <x:c r="B13" s="48" t="str">
        <x:v>PL006</x:v>
      </x:c>
      <x:c r="C13" s="48" t="str">
        <x:v>V01</x:v>
      </x:c>
      <x:c r="D13" s="48" t="str">
        <x:v>PL006_佛山市顺德区乐鲸科技有限公司年产五金拉手300万个新建项目_01_修改评估意见.docx</x:v>
      </x:c>
      <x:c r="E13" s="48" t="str">
        <x:v>佛山市顺德区乐鲸科技有限公司年产五金拉手300万个新建项目</x:v>
      </x:c>
      <x:c r="F13" s="48" t="str">
        <x:v>PL006_Emission_大气</x:v>
      </x:c>
      <x:c r="G13" s="48" t="str">
        <x:v>污染物排放标准-大气污染物排放标准</x:v>
      </x:c>
      <x:c r="H13" s="48" t="str">
        <x:v>请根据项目行业类别、生产工艺和污染因子，判断大气污染物排放标准选取是否合理。要求分析：污染源覆盖是否完整（列出所有大气污染源及对应标准），是否存在缺漏的污染源或标准。</x:v>
      </x:c>
      <x:c r="I13" s="48" t="str">
        <x:v>1、污染排放标准分析污染源内容：不完整；
2、大气污染物排放标准分析：存在缺漏。项目涉及喷纳米油、烘干工序，产生有机废气（VOCs）和颗粒物，经“水帘柜+喷淋塔+干式过滤器+二级活性炭吸附”处理后通过28米排气筒DA001排放。但排放标准章节文本中未列出任何大气污染物排放执行标准的名称、编号、表号或限值，未区分有组织排放、厂界无组织排放和厂区内VOCs无组织排放监控要求。项目作为金属制品喷涂工序，应编制VOCs有组织排放标准（如DB44/2367-2022表1或相关行业标准）、颗粒物有组织及无组织排放标准、厂区内VOCs无组织排放限值等，报告均缺失。</x:v>
      </x:c>
      <x:c r="J13" s="48" t="str">
        <x:v>大气】“本项目喷纳米油、烘干产生的有机废气、颗粒物收集后通过‘水帘柜+喷淋塔+干式过滤器+二级活性炭吸附’进行处理，处理达标后通过28米排气筒DA001排放”（但未列出具体执行标准）。【噪声/</x:v>
      </x:c>
      <x:c r="K13" s="48" t="str">
        <x:v>emission-standard-kb.jsonl; DB44/26-2001; DB44/2367-2022; GB31572-2015; GB14554-93; GB12348-2008; GB18597-2023; GB18599-2020</x:v>
      </x:c>
      <x:c r="L13" s="48" t="str">
        <x:v>2</x:v>
      </x:c>
      <x:c r="M13" s="48" t="str">
        <x:v>2</x:v>
      </x:c>
      <x:c r="N13" s="48" t="str">
        <x:v>False</x:v>
      </x:c>
      <x:c r="O13" s="48" t="str">
        <x:v>存在缺漏</x:v>
      </x:c>
      <x:c r="P13" s="48" t="str">
        <x:v>水：存在缺漏——企业排口标准未填报，标准名称遗漏“厂”字；大气：存在缺漏——喷涂/烘干工序VOCs和颗粒物排放标准全部缺失；噪声：存在缺漏——厂界噪声排放标准未编制；固废：存在缺漏——一般固废和危废控制标准均未编制。</x:v>
      </x:c>
      <x:c r="Q13" s="48"/>
      <x:c r="R13" s="48"/>
      <x:c r="S13" s="48" t="str">
        <x:v>是</x:v>
      </x:c>
      <x:c r="T13" s="48" t="str">
        <x:v>原综合排放标准问答对拆分而来</x:v>
      </x:c>
      <x:c r="U13" s="48" t="str">
        <x:v>30份环评_污染物排放控制执行标准复核QA(拆分版)</x:v>
      </x:c>
      <x:c r="V13" s="48" t="str">
        <x:v>大气污染物排放标准</x:v>
      </x:c>
      <x:c r="W13" s="48" t="str">
        <x:v>存在缺漏</x:v>
      </x:c>
      <x:c r="X13" s="48" t="str">
        <x:v>存在缺漏</x:v>
      </x:c>
      <x:c r="Y13" s="64"/>
      <x:c r="Z13" s="64" t="str">
        <x:v>未复核</x:v>
      </x:c>
      <x:c r="AA13" s="64" t="str">
        <x:v>部分充分</x:v>
      </x:c>
      <x:c r="AB13" s="64" t="str">
        <x:v>有效</x:v>
      </x:c>
      <x:c r="AC13" s="64" t="str">
        <x:v>部分核验</x:v>
      </x:c>
      <x:c r="AD13" s="64" t="str">
        <x:v>自动默认</x:v>
      </x:c>
      <x:c r="AE13" s="64" t="str">
        <x:v>候选池</x:v>
      </x:c>
      <x:c r="AF13" s="64" t="str">
        <x:v>A_仅待终审</x:v>
      </x:c>
      <x:c r="AG13" s="64"/>
      <x:c r="AH13" s="64"/>
      <x:c r="AI13" s="64"/>
      <x:c r="AJ13" s="64"/>
      <x:c r="AK13" s="64"/>
      <x:c r="AL13" s="64"/>
      <x:c r="AM13" s="64"/>
      <x:c r="AN13" s="48" t="str">
        <x:v>37</x:v>
      </x:c>
      <x:c r="AO13" s="48" t="str">
        <x:v>MAP_存在缺漏</x:v>
      </x:c>
      <x:c r="AP13" s="48" t="str">
        <x:v>存在报告证据，但尚未经人工逐项核验；已列依据来源，但未在本阶段逐条核验</x:v>
      </x:c>
      <x:c r="AQ13" s="64"/>
      <x:c r="AR13" s="48" t="str">
        <x:v>air_emission_standard</x:v>
      </x:c>
      <x:c r="AS13" s="48" t="str">
        <x:v>L3_analysis</x:v>
      </x:c>
      <x:c r="AT13" s="48" t="str">
        <x:v>multi_evidence_synthesis</x:v>
      </x:c>
      <x:c r="AU13" s="48" t="str">
        <x:v>basis_grounding</x:v>
      </x:c>
      <x:c r="AV13" s="48" t="str">
        <x:v>report_grounding；evidence_integration</x:v>
      </x:c>
      <x:c r="AW13" s="48" t="str">
        <x:v>high</x:v>
      </x:c>
      <x:c r="AX13" s="48" t="str">
        <x:v>high</x:v>
      </x:c>
      <x:c r="AY13" s="48" t="str">
        <x:v>report_plus_external</x:v>
      </x:c>
      <x:c r="AZ13" s="48" t="str">
        <x:v>True</x:v>
      </x:c>
      <x:c r="BA13" s="48"/>
      <x:c r="BB13" s="48" t="str">
        <x:v>auto_default</x:v>
      </x:c>
      <x:c r="BC13" s="48" t="str">
        <x:v>v1</x:v>
      </x:c>
      <x:c r="BD13" s="68"/>
    </x:row>
    <x:row r="14" ht="36" customHeight="1">
      <x:c r="A14" s="47" t="str">
        <x:v>2026-07-27</x:v>
      </x:c>
      <x:c r="B14" s="48" t="str">
        <x:v>PL006</x:v>
      </x:c>
      <x:c r="C14" s="48" t="str">
        <x:v>V01</x:v>
      </x:c>
      <x:c r="D14" s="48" t="str">
        <x:v>PL006_佛山市顺德区乐鲸科技有限公司年产五金拉手300万个新建项目_01_修改评估意见.docx</x:v>
      </x:c>
      <x:c r="E14" s="48" t="str">
        <x:v>佛山市顺德区乐鲸科技有限公司年产五金拉手300万个新建项目</x:v>
      </x:c>
      <x:c r="F14" s="48" t="str">
        <x:v>PL006_Emission_噪声</x:v>
      </x:c>
      <x:c r="G14" s="48" t="str">
        <x:v>污染物排放标准-噪声排放标准</x:v>
      </x:c>
      <x:c r="H14" s="48" t="str">
        <x:v>请根据项目所属声环境功能区类别，判断噪声排放标准选取是否合理。要求总结声功能区类型、厂界执行标准（GB12348-2008）及昼夜限值，并与环评编制内容进行一致性分析。</x:v>
      </x:c>
      <x:c r="I14" s="48" t="str">
        <x:v>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x:v>
      </x:c>
      <x:c r="J14"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x:v>
      </x:c>
      <x:c r="K14" s="48" t="str">
        <x:v>emission-standard-kb.jsonl; DB44/26-2001; DB44/2367-2022; GB31572-2015; GB14554-93; GB12348-2008; GB18597-2023; GB18599-2020</x:v>
      </x:c>
      <x:c r="L14" s="48" t="str">
        <x:v>2</x:v>
      </x:c>
      <x:c r="M14" s="48" t="str">
        <x:v>2</x:v>
      </x:c>
      <x:c r="N14" s="48" t="str">
        <x:v>False</x:v>
      </x:c>
      <x:c r="O14" s="48" t="str">
        <x:v>存在缺漏</x:v>
      </x:c>
      <x:c r="P14" s="48" t="str">
        <x:v>水：存在缺漏——企业排口标准未填报，标准名称遗漏“厂”字；大气：存在缺漏——喷涂/烘干工序VOCs和颗粒物排放标准全部缺失；噪声：存在缺漏——厂界噪声排放标准未编制；固废：存在缺漏——一般固废和危废控制标准均未编制。</x:v>
      </x:c>
      <x:c r="Q14" s="48"/>
      <x:c r="R14" s="48"/>
      <x:c r="S14" s="48" t="str">
        <x:v>是</x:v>
      </x:c>
      <x:c r="T14" s="48" t="str">
        <x:v>原综合排放标准问答对拆分而来</x:v>
      </x:c>
      <x:c r="U14" s="48" t="str">
        <x:v>30份环评_污染物排放控制执行标准复核QA(拆分版)</x:v>
      </x:c>
      <x:c r="V14" s="48" t="str">
        <x:v>噪声排放标准</x:v>
      </x:c>
      <x:c r="W14" s="48" t="str">
        <x:v>存在缺漏</x:v>
      </x:c>
      <x:c r="X14" s="48" t="str">
        <x:v>存在缺漏</x:v>
      </x:c>
      <x:c r="Y14" s="64"/>
      <x:c r="Z14" s="64" t="str">
        <x:v>未复核</x:v>
      </x:c>
      <x:c r="AA14" s="64" t="str">
        <x:v>部分充分</x:v>
      </x:c>
      <x:c r="AB14" s="64" t="str">
        <x:v>有效</x:v>
      </x:c>
      <x:c r="AC14" s="64" t="str">
        <x:v>部分核验</x:v>
      </x:c>
      <x:c r="AD14" s="64" t="str">
        <x:v>自动默认</x:v>
      </x:c>
      <x:c r="AE14" s="64" t="str">
        <x:v>候选池</x:v>
      </x:c>
      <x:c r="AF14" s="64" t="str">
        <x:v>A_仅待终审</x:v>
      </x:c>
      <x:c r="AG14" s="64"/>
      <x:c r="AH14" s="64"/>
      <x:c r="AI14" s="64"/>
      <x:c r="AJ14" s="64"/>
      <x:c r="AK14" s="64"/>
      <x:c r="AL14" s="64"/>
      <x:c r="AM14" s="64"/>
      <x:c r="AN14" s="48" t="str">
        <x:v>38</x:v>
      </x:c>
      <x:c r="AO14" s="48" t="str">
        <x:v>MAP_存在缺漏</x:v>
      </x:c>
      <x:c r="AP14" s="48" t="str">
        <x:v>存在报告证据，但尚未经人工逐项核验；已列依据来源，但未在本阶段逐条核验</x:v>
      </x:c>
      <x:c r="AQ14" s="64"/>
      <x:c r="AR14" s="48" t="str">
        <x:v>noise_emission_standard</x:v>
      </x:c>
      <x:c r="AS14" s="48" t="str">
        <x:v>L2_application</x:v>
      </x:c>
      <x:c r="AT14" s="48" t="str">
        <x:v>rule_applicability</x:v>
      </x:c>
      <x:c r="AU14" s="48" t="str">
        <x:v>basis_grounding</x:v>
      </x:c>
      <x:c r="AV14" s="48" t="str">
        <x:v>report_grounding</x:v>
      </x:c>
      <x:c r="AW14" s="48" t="str">
        <x:v>high</x:v>
      </x:c>
      <x:c r="AX14" s="48" t="str">
        <x:v>medium</x:v>
      </x:c>
      <x:c r="AY14" s="48" t="str">
        <x:v>report_plus_external</x:v>
      </x:c>
      <x:c r="AZ14" s="48" t="str">
        <x:v>True</x:v>
      </x:c>
      <x:c r="BA14" s="48"/>
      <x:c r="BB14" s="48" t="str">
        <x:v>auto_default</x:v>
      </x:c>
      <x:c r="BC14" s="48" t="str">
        <x:v>v1</x:v>
      </x:c>
      <x:c r="BD14" s="68"/>
    </x:row>
    <x:row r="15" ht="36" customHeight="1">
      <x:c r="A15" s="47" t="str">
        <x:v>2026-07-28</x:v>
      </x:c>
      <x:c r="B15" s="48" t="str">
        <x:v>PL008</x:v>
      </x:c>
      <x:c r="C15" s="48" t="str">
        <x:v>V01</x:v>
      </x:c>
      <x:c r="D15" s="48" t="str">
        <x:v>佛山市顺德区亚马逊涂料有限公司迁扩建项目环境影响报告表</x:v>
      </x:c>
      <x:c r="E15" s="48" t="str">
        <x:v>佛山市顺德区亚马逊涂料有限公司迁扩建项目</x:v>
      </x:c>
      <x:c r="F15" s="48" t="str">
        <x:v>PL008_EnvQuality_Q01</x:v>
      </x:c>
      <x:c r="G15" s="48" t="str">
        <x:v>大气及地表水环境质量现状数据引用</x:v>
      </x:c>
      <x:c r="H15" s="48" t="str">
        <x:v>请根据报告引用的环境质量公报及现状数据，判断大气和地表水环境质量现状数据引用是否准确。</x:v>
      </x:c>
      <x:c r="I15"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15"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15" s="48" t="str">
        <x:v>生态环境状况公报知识库; 收纳水体地表水执行标准</x:v>
      </x:c>
      <x:c r="L15" s="48" t="str">
        <x:v>2</x:v>
      </x:c>
      <x:c r="M15" s="48" t="str">
        <x:v>2</x:v>
      </x:c>
      <x:c r="N15" s="48" t="str">
        <x:v>False</x:v>
      </x:c>
      <x:c r="O15" s="48" t="str">
        <x:v>正确</x:v>
      </x:c>
      <x:c r="P15" s="48" t="str">
        <x:v>大气:正确; 地表水:正确; 报告日期:2023-06</x:v>
      </x:c>
      <x:c r="Q15" s="48"/>
      <x:c r="R15" s="48"/>
      <x:c r="S15" s="48" t="str">
        <x:v>是</x:v>
      </x:c>
      <x:c r="T15" s="48" t="str">
        <x:v>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x:v>
      </x:c>
      <x:c r="U15" s="48" t="str">
        <x:v>30个环评_大气及地表水环境质量现状数据引用复核QA</x:v>
      </x:c>
      <x:c r="V15" s="48" t="str">
        <x:v>环境质量数据引用</x:v>
      </x:c>
      <x:c r="W15" s="48" t="str">
        <x:v>正确</x:v>
      </x:c>
      <x:c r="X15" s="48" t="str">
        <x:v>无误</x:v>
      </x:c>
      <x:c r="Y15" s="64"/>
      <x:c r="Z15" s="64" t="str">
        <x:v>未复核</x:v>
      </x:c>
      <x:c r="AA15" s="64" t="str">
        <x:v>部分充分</x:v>
      </x:c>
      <x:c r="AB15" s="64" t="str">
        <x:v>有效</x:v>
      </x:c>
      <x:c r="AC15" s="64" t="str">
        <x:v>部分核验</x:v>
      </x:c>
      <x:c r="AD15" s="64" t="str">
        <x:v>自动默认</x:v>
      </x:c>
      <x:c r="AE15" s="64" t="str">
        <x:v>候选池</x:v>
      </x:c>
      <x:c r="AF15" s="64" t="str">
        <x:v>A_仅待终审</x:v>
      </x:c>
      <x:c r="AG15" s="64"/>
      <x:c r="AH15" s="64"/>
      <x:c r="AI15" s="64"/>
      <x:c r="AJ15" s="64"/>
      <x:c r="AK15" s="64"/>
      <x:c r="AL15" s="64"/>
      <x:c r="AM15" s="64"/>
      <x:c r="AN15" s="48" t="str">
        <x:v>45</x:v>
      </x:c>
      <x:c r="AO15" s="48" t="str">
        <x:v>MAP_正确</x:v>
      </x:c>
      <x:c r="AP15" s="48" t="str">
        <x:v>存在报告证据，但尚未经人工逐项核验；已列依据来源，但未在本阶段逐条核验</x:v>
      </x:c>
      <x:c r="AQ15" s="64"/>
      <x:c r="AR15" s="48" t="str">
        <x:v>environmental_quality_data</x:v>
      </x:c>
      <x:c r="AS15" s="48" t="str">
        <x:v>L3_analysis</x:v>
      </x:c>
      <x:c r="AT15" s="48" t="str">
        <x:v>consistency_comparison</x:v>
      </x:c>
      <x:c r="AU15" s="48" t="str">
        <x:v>evidence_integration</x:v>
      </x:c>
      <x:c r="AV15" s="48" t="str">
        <x:v>report_grounding；basis_grounding</x:v>
      </x:c>
      <x:c r="AW15" s="48" t="str">
        <x:v>high</x:v>
      </x:c>
      <x:c r="AX15" s="48" t="str">
        <x:v>high</x:v>
      </x:c>
      <x:c r="AY15" s="48" t="str">
        <x:v>report_plus_external</x:v>
      </x:c>
      <x:c r="AZ15" s="48" t="str">
        <x:v>True</x:v>
      </x:c>
      <x:c r="BA15" s="48"/>
      <x:c r="BB15" s="48" t="str">
        <x:v>auto_default</x:v>
      </x:c>
      <x:c r="BC15" s="48" t="str">
        <x:v>v1</x:v>
      </x:c>
      <x:c r="BD15" s="68"/>
    </x:row>
    <x:row r="16" ht="36" customHeight="1">
      <x:c r="A16" s="47" t="str">
        <x:v>2026-07-28</x:v>
      </x:c>
      <x:c r="B16" s="48" t="str">
        <x:v>PL009</x:v>
      </x:c>
      <x:c r="C16" s="48" t="str">
        <x:v>V01</x:v>
      </x:c>
      <x:c r="D16" s="48" t="str">
        <x:v>广东威诺高科技股份有限公司搬迁项目环境影响报告表</x:v>
      </x:c>
      <x:c r="E16" s="48" t="str">
        <x:v>广东威诺高科技股份有限公司搬迁项目</x:v>
      </x:c>
      <x:c r="F16" s="48" t="str">
        <x:v>PL009_EnvQuality_Q01</x:v>
      </x:c>
      <x:c r="G16" s="48" t="str">
        <x:v>大气及地表水环境质量现状数据引用</x:v>
      </x:c>
      <x:c r="H16" s="48" t="str">
        <x:v>请根据报告引用的环境质量公报及现状数据，判断大气和地表水环境质量现状数据引用是否准确。</x:v>
      </x:c>
      <x:c r="I16"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16"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16" s="48" t="str">
        <x:v>生态环境状况公报知识库; 收纳水体地表水执行标准</x:v>
      </x:c>
      <x:c r="L16" s="48" t="str">
        <x:v>2</x:v>
      </x:c>
      <x:c r="M16" s="48" t="str">
        <x:v>2</x:v>
      </x:c>
      <x:c r="N16" s="48" t="str">
        <x:v>False</x:v>
      </x:c>
      <x:c r="O16" s="48" t="str">
        <x:v>正确</x:v>
      </x:c>
      <x:c r="P16" s="48" t="str">
        <x:v>大气:正确; 地表水:正确; 报告日期:2023-08</x:v>
      </x:c>
      <x:c r="Q16" s="48"/>
      <x:c r="R16" s="48"/>
      <x:c r="S16" s="48" t="str">
        <x:v>是</x:v>
      </x:c>
      <x:c r="T16" s="48" t="str">
        <x:v>各项引用数据与公报一致（水质类别Ⅲ类与公报2022年度一致，但报告文字误写'2021年'，实际应为2022年；不影响达标结论；水质类别Ⅲ类与公报2022年度一致，但报告文字误写'2021年'，实际应为2022年；不影响达标结论）</x:v>
      </x:c>
      <x:c r="U16" s="48" t="str">
        <x:v>30个环评_大气及地表水环境质量现状数据引用复核QA</x:v>
      </x:c>
      <x:c r="V16" s="48" t="str">
        <x:v>环境质量数据引用</x:v>
      </x:c>
      <x:c r="W16" s="48" t="str">
        <x:v>正确</x:v>
      </x:c>
      <x:c r="X16" s="48" t="str">
        <x:v>无误</x:v>
      </x:c>
      <x:c r="Y16" s="64"/>
      <x:c r="Z16" s="64" t="str">
        <x:v>未复核</x:v>
      </x:c>
      <x:c r="AA16" s="64" t="str">
        <x:v>部分充分</x:v>
      </x:c>
      <x:c r="AB16" s="64" t="str">
        <x:v>有效</x:v>
      </x:c>
      <x:c r="AC16" s="64" t="str">
        <x:v>部分核验</x:v>
      </x:c>
      <x:c r="AD16" s="64" t="str">
        <x:v>自动默认</x:v>
      </x:c>
      <x:c r="AE16" s="64" t="str">
        <x:v>候选池</x:v>
      </x:c>
      <x:c r="AF16" s="64" t="str">
        <x:v>A_仅待终审</x:v>
      </x:c>
      <x:c r="AG16" s="64"/>
      <x:c r="AH16" s="64"/>
      <x:c r="AI16" s="64"/>
      <x:c r="AJ16" s="64"/>
      <x:c r="AK16" s="64"/>
      <x:c r="AL16" s="64"/>
      <x:c r="AM16" s="64"/>
      <x:c r="AN16" s="48" t="str">
        <x:v>50</x:v>
      </x:c>
      <x:c r="AO16" s="48" t="str">
        <x:v>MAP_正确</x:v>
      </x:c>
      <x:c r="AP16" s="48" t="str">
        <x:v>存在报告证据，但尚未经人工逐项核验；已列依据来源，但未在本阶段逐条核验</x:v>
      </x:c>
      <x:c r="AQ16" s="64"/>
      <x:c r="AR16" s="48" t="str">
        <x:v>environmental_quality_data</x:v>
      </x:c>
      <x:c r="AS16" s="48" t="str">
        <x:v>L3_analysis</x:v>
      </x:c>
      <x:c r="AT16" s="48" t="str">
        <x:v>consistency_comparison</x:v>
      </x:c>
      <x:c r="AU16" s="48" t="str">
        <x:v>evidence_integration</x:v>
      </x:c>
      <x:c r="AV16" s="48" t="str">
        <x:v>report_grounding；basis_grounding</x:v>
      </x:c>
      <x:c r="AW16" s="48" t="str">
        <x:v>high</x:v>
      </x:c>
      <x:c r="AX16" s="48" t="str">
        <x:v>high</x:v>
      </x:c>
      <x:c r="AY16" s="48" t="str">
        <x:v>report_plus_external</x:v>
      </x:c>
      <x:c r="AZ16" s="48" t="str">
        <x:v>True</x:v>
      </x:c>
      <x:c r="BA16" s="48"/>
      <x:c r="BB16" s="48" t="str">
        <x:v>auto_default</x:v>
      </x:c>
      <x:c r="BC16" s="48" t="str">
        <x:v>v1</x:v>
      </x:c>
      <x:c r="BD16" s="68"/>
    </x:row>
    <x:row r="17" ht="36" customHeight="1">
      <x:c r="A17" s="47" t="str">
        <x:v>2026-07-27</x:v>
      </x:c>
      <x:c r="B17" s="48" t="str">
        <x:v>PL009</x:v>
      </x:c>
      <x:c r="C17" s="48" t="str">
        <x:v>V01</x:v>
      </x:c>
      <x:c r="D17" s="48" t="str">
        <x:v>PL009_广东威诺高科技股份有限公司搬迁项目_01_修改评估意见.docx</x:v>
      </x:c>
      <x:c r="E17" s="48" t="str">
        <x:v>广东威诺高科技股份有限公司搬迁项目</x:v>
      </x:c>
      <x:c r="F17" s="48" t="str">
        <x:v>PL009_Emission_大气</x:v>
      </x:c>
      <x:c r="G17" s="48" t="str">
        <x:v>污染物排放标准-大气污染物排放标准</x:v>
      </x:c>
      <x:c r="H17" s="48" t="str">
        <x:v>请根据项目行业类别、生产工艺和污染因子，判断大气污染物排放标准选取是否合理。要求分析：污染源覆盖是否完整（列出所有大气污染源及对应标准），是否存在缺漏的污染源或标准。</x:v>
      </x:c>
      <x:c r="I17" s="48" t="str">
        <x:v>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x:v>
      </x:c>
      <x:c r="J17" s="4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x:v>
      </x:c>
      <x:c r="K17" s="48" t="str">
        <x:v>emission-standard-kb.jsonl; DB44/26-2001; DB44/2367-2022; GB31572-2015; GB14554-93; GB12348-2008; GB18597-2023; GB18599-2020</x:v>
      </x:c>
      <x:c r="L17" s="48" t="str">
        <x:v>2</x:v>
      </x:c>
      <x:c r="M17" s="48" t="str">
        <x:v>2</x:v>
      </x:c>
      <x:c r="N17" s="48" t="str">
        <x:v>False</x:v>
      </x:c>
      <x:c r="O17" s="48" t="str">
        <x:v>存在错误</x:v>
      </x:c>
      <x:c r="P17"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17" s="48"/>
      <x:c r="R17" s="48"/>
      <x:c r="S17" s="48" t="str">
        <x:v>是</x:v>
      </x:c>
      <x:c r="T17" s="48" t="str">
        <x:v>原综合排放标准问答对拆分而来</x:v>
      </x:c>
      <x:c r="U17" s="48" t="str">
        <x:v>30份环评_污染物排放控制执行标准复核QA(拆分版)</x:v>
      </x:c>
      <x:c r="V17" s="48" t="str">
        <x:v>大气污染物排放标准</x:v>
      </x:c>
      <x:c r="W17" s="48" t="str">
        <x:v>存在错误</x:v>
      </x:c>
      <x:c r="X17" s="48" t="str">
        <x:v>存在错误</x:v>
      </x:c>
      <x:c r="Y17" s="64"/>
      <x:c r="Z17" s="64" t="str">
        <x:v>未复核</x:v>
      </x:c>
      <x:c r="AA17" s="64" t="str">
        <x:v>部分充分</x:v>
      </x:c>
      <x:c r="AB17" s="64" t="str">
        <x:v>有效</x:v>
      </x:c>
      <x:c r="AC17" s="64" t="str">
        <x:v>部分核验</x:v>
      </x:c>
      <x:c r="AD17" s="64" t="str">
        <x:v>自动默认</x:v>
      </x:c>
      <x:c r="AE17" s="64" t="str">
        <x:v>候选池</x:v>
      </x:c>
      <x:c r="AF17" s="64" t="str">
        <x:v>A_仅待终审</x:v>
      </x:c>
      <x:c r="AG17" s="64"/>
      <x:c r="AH17" s="64"/>
      <x:c r="AI17" s="64"/>
      <x:c r="AJ17" s="64"/>
      <x:c r="AK17" s="64"/>
      <x:c r="AL17" s="64"/>
      <x:c r="AM17" s="64"/>
      <x:c r="AN17" s="48" t="str">
        <x:v>52</x:v>
      </x:c>
      <x:c r="AO17" s="48" t="str">
        <x:v>MAP_存在错误</x:v>
      </x:c>
      <x:c r="AP17" s="48" t="str">
        <x:v>存在报告证据，但尚未经人工逐项核验；已列依据来源，但未在本阶段逐条核验</x:v>
      </x:c>
      <x:c r="AQ17" s="64"/>
      <x:c r="AR17" s="48" t="str">
        <x:v>air_emission_standard</x:v>
      </x:c>
      <x:c r="AS17" s="48" t="str">
        <x:v>L3_analysis</x:v>
      </x:c>
      <x:c r="AT17" s="48" t="str">
        <x:v>multi_evidence_synthesis</x:v>
      </x:c>
      <x:c r="AU17" s="48" t="str">
        <x:v>basis_grounding</x:v>
      </x:c>
      <x:c r="AV17" s="48" t="str">
        <x:v>report_grounding；evidence_integration</x:v>
      </x:c>
      <x:c r="AW17" s="48" t="str">
        <x:v>high</x:v>
      </x:c>
      <x:c r="AX17" s="48" t="str">
        <x:v>high</x:v>
      </x:c>
      <x:c r="AY17" s="48" t="str">
        <x:v>report_plus_external</x:v>
      </x:c>
      <x:c r="AZ17" s="48" t="str">
        <x:v>True</x:v>
      </x:c>
      <x:c r="BA17" s="48"/>
      <x:c r="BB17" s="48" t="str">
        <x:v>auto_default</x:v>
      </x:c>
      <x:c r="BC17" s="48" t="str">
        <x:v>v1</x:v>
      </x:c>
      <x:c r="BD17" s="68"/>
    </x:row>
    <x:row r="18" ht="36" customHeight="1">
      <x:c r="A18" s="47" t="str">
        <x:v>2026-07-28</x:v>
      </x:c>
      <x:c r="B18" s="48" t="str">
        <x:v>PL010</x:v>
      </x:c>
      <x:c r="C18" s="48" t="str">
        <x:v>V01</x:v>
      </x:c>
      <x:c r="D18" s="48" t="str">
        <x:v>悍高集团股份有限公司功能拉篮车间搬迁扩建项目环境影响报告表</x:v>
      </x:c>
      <x:c r="E18" s="48" t="str">
        <x:v>悍高集团股份有限公司功能拉篮车间搬迁扩建项目</x:v>
      </x:c>
      <x:c r="F18" s="48" t="str">
        <x:v>PL010_EnvQuality_Q01</x:v>
      </x:c>
      <x:c r="G18" s="48" t="str">
        <x:v>大气及地表水环境质量现状数据引用</x:v>
      </x:c>
      <x:c r="H18" s="48" t="str">
        <x:v>请根据报告引用的环境质量公报及现状数据，判断大气和地表水环境质量现状数据引用是否准确。</x:v>
      </x:c>
      <x:c r="I18"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18" s="48" t="str">
        <x:v>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18" s="48" t="str">
        <x:v>生态环境状况公报知识库; 收纳水体地表水执行标准</x:v>
      </x:c>
      <x:c r="L18" s="48" t="str">
        <x:v>2</x:v>
      </x:c>
      <x:c r="M18" s="48" t="str">
        <x:v>2</x:v>
      </x:c>
      <x:c r="N18" s="48" t="str">
        <x:v>False</x:v>
      </x:c>
      <x:c r="O18" s="48" t="str">
        <x:v>正确</x:v>
      </x:c>
      <x:c r="P18" s="48" t="str">
        <x:v>大气:正确; 地表水:正确; 报告日期:2023-10</x:v>
      </x:c>
      <x:c r="Q18" s="48"/>
      <x:c r="R18" s="48"/>
      <x:c r="S18" s="48" t="str">
        <x:v>是</x:v>
      </x:c>
      <x:c r="T18" s="48" t="str">
        <x:v>各项引用数据与公报一致，无需修正</x:v>
      </x:c>
      <x:c r="U18" s="48" t="str">
        <x:v>30个环评_大气及地表水环境质量现状数据引用复核QA</x:v>
      </x:c>
      <x:c r="V18" s="48" t="str">
        <x:v>环境质量数据引用</x:v>
      </x:c>
      <x:c r="W18" s="48" t="str">
        <x:v>正确</x:v>
      </x:c>
      <x:c r="X18" s="48" t="str">
        <x:v>无误</x:v>
      </x:c>
      <x:c r="Y18" s="64"/>
      <x:c r="Z18" s="64" t="str">
        <x:v>未复核</x:v>
      </x:c>
      <x:c r="AA18" s="64" t="str">
        <x:v>部分充分</x:v>
      </x:c>
      <x:c r="AB18" s="64" t="str">
        <x:v>有效</x:v>
      </x:c>
      <x:c r="AC18" s="64" t="str">
        <x:v>部分核验</x:v>
      </x:c>
      <x:c r="AD18" s="64" t="str">
        <x:v>自动默认</x:v>
      </x:c>
      <x:c r="AE18" s="64" t="str">
        <x:v>候选池</x:v>
      </x:c>
      <x:c r="AF18" s="64" t="str">
        <x:v>A_仅待终审</x:v>
      </x:c>
      <x:c r="AG18" s="64"/>
      <x:c r="AH18" s="64"/>
      <x:c r="AI18" s="64"/>
      <x:c r="AJ18" s="64"/>
      <x:c r="AK18" s="64"/>
      <x:c r="AL18" s="64"/>
      <x:c r="AM18" s="64"/>
      <x:c r="AN18" s="48" t="str">
        <x:v>55</x:v>
      </x:c>
      <x:c r="AO18" s="48" t="str">
        <x:v>MAP_正确</x:v>
      </x:c>
      <x:c r="AP18" s="48" t="str">
        <x:v>存在报告证据，但尚未经人工逐项核验；已列依据来源，但未在本阶段逐条核验</x:v>
      </x:c>
      <x:c r="AQ18" s="64"/>
      <x:c r="AR18" s="48" t="str">
        <x:v>environmental_quality_data</x:v>
      </x:c>
      <x:c r="AS18" s="48" t="str">
        <x:v>L3_analysis</x:v>
      </x:c>
      <x:c r="AT18" s="48" t="str">
        <x:v>consistency_comparison</x:v>
      </x:c>
      <x:c r="AU18" s="48" t="str">
        <x:v>evidence_integration</x:v>
      </x:c>
      <x:c r="AV18" s="48" t="str">
        <x:v>report_grounding；basis_grounding</x:v>
      </x:c>
      <x:c r="AW18" s="48" t="str">
        <x:v>high</x:v>
      </x:c>
      <x:c r="AX18" s="48" t="str">
        <x:v>high</x:v>
      </x:c>
      <x:c r="AY18" s="48" t="str">
        <x:v>report_plus_external</x:v>
      </x:c>
      <x:c r="AZ18" s="48" t="str">
        <x:v>True</x:v>
      </x:c>
      <x:c r="BA18" s="48"/>
      <x:c r="BB18" s="48" t="str">
        <x:v>auto_default</x:v>
      </x:c>
      <x:c r="BC18" s="48" t="str">
        <x:v>v1</x:v>
      </x:c>
      <x:c r="BD18" s="68"/>
    </x:row>
    <x:row r="19" ht="36" customHeight="1">
      <x:c r="A19" s="47" t="str">
        <x:v>2026-07-27</x:v>
      </x:c>
      <x:c r="B19" s="48" t="str">
        <x:v>PL010</x:v>
      </x:c>
      <x:c r="C19" s="48" t="str">
        <x:v>V01</x:v>
      </x:c>
      <x:c r="D19" s="48" t="str">
        <x:v>PL010_悍高集团股份有限公司功能拉篮车间搬迁扩建项目_01_修改评估意见.docx</x:v>
      </x:c>
      <x:c r="E19" s="48" t="str">
        <x:v>悍高集团股份有限公司功能拉篮车间搬迁扩建项目</x:v>
      </x:c>
      <x:c r="F19" s="48" t="str">
        <x:v>PL010_Emission_水污</x:v>
      </x:c>
      <x:c r="G19" s="48" t="str">
        <x:v>污染物排放标准-水污染物排放标准</x:v>
      </x:c>
      <x:c r="H1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9" s="48" t="str">
        <x:v>1、水污染物排放标准中生活污水排放执行标准：存在缺漏；
2、水污染物排放标准结论的过程分析内容：存在缺漏。项目属金属制品制造业，营运期产生生活废水和生产废水。报告提及“生活废水经三级化粪池处理，生产废水经污水处理站处理后均排入杏坛污水处理厂处理”，杏坛污水处理厂尾水执行GB18918-2002一级A标准及DB44/26-2001较严值（知识库ESK-SHUNDE-WWTP-MAPPING-012可佐证）。但报告未明确填报企业生活污水排口执行标准（应为DB44/26-2001第二时段三级标准），也未填报生产废水经自建污水处理站处理后的企业排口执行标准及限值。DB44/26-2001未注明时段和级别，WWTP尾水标准表述中“DB44/26-2001的较严值”未写明“第二时段一级标准”。生产废水排放标准的缺失是主要问题。</x:v>
      </x:c>
      <x:c r="J19" s="48" t="str">
        <x:v>水】“项目营运期产生的生活废水经三级化粪池处理，生产废水经污水处理站处理后均排入杏坛污水处理厂处理”“尾水应执行《城镇污水处理厂污染物排放标准》（GB18918-2002）一级A标准及《广东省水污染物排放限值》（DB44/26-2001）的较严值”（未明确企业排口标准及DB44/26-2001时段级别）</x:v>
      </x:c>
      <x:c r="K19" s="48" t="str">
        <x:v>emission-standard-kb.jsonl; DB44/26-2001; DB44/2367-2022; GB31572-2015; GB14554-93; GB12348-2008; GB18597-2023; GB18599-2020</x:v>
      </x:c>
      <x:c r="L19" s="48" t="str">
        <x:v>2</x:v>
      </x:c>
      <x:c r="M19" s="48" t="str">
        <x:v>2</x:v>
      </x:c>
      <x:c r="N19" s="48" t="str">
        <x:v>False</x:v>
      </x:c>
      <x:c r="O19" s="48" t="str">
        <x:v>存在缺漏</x:v>
      </x:c>
      <x:c r="P19"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19" s="48"/>
      <x:c r="R19" s="48"/>
      <x:c r="S19" s="48" t="str">
        <x:v>是</x:v>
      </x:c>
      <x:c r="T19" s="48" t="str">
        <x:v>原综合排放标准问答对拆分而来</x:v>
      </x:c>
      <x:c r="U19" s="48" t="str">
        <x:v>30份环评_污染物排放控制执行标准复核QA(拆分版)</x:v>
      </x:c>
      <x:c r="V19" s="48" t="str">
        <x:v>水污染物排放标准</x:v>
      </x:c>
      <x:c r="W19" s="48" t="str">
        <x:v>存在缺漏</x:v>
      </x:c>
      <x:c r="X19" s="48" t="str">
        <x:v>存在缺漏</x:v>
      </x:c>
      <x:c r="Y19" s="64"/>
      <x:c r="Z19" s="64" t="str">
        <x:v>未复核</x:v>
      </x:c>
      <x:c r="AA19" s="64" t="str">
        <x:v>部分充分</x:v>
      </x:c>
      <x:c r="AB19" s="64" t="str">
        <x:v>有效</x:v>
      </x:c>
      <x:c r="AC19" s="64" t="str">
        <x:v>部分核验</x:v>
      </x:c>
      <x:c r="AD19" s="64" t="str">
        <x:v>自动默认</x:v>
      </x:c>
      <x:c r="AE19" s="64" t="str">
        <x:v>候选池</x:v>
      </x:c>
      <x:c r="AF19" s="64" t="str">
        <x:v>A_仅待终审</x:v>
      </x:c>
      <x:c r="AG19" s="64"/>
      <x:c r="AH19" s="64"/>
      <x:c r="AI19" s="64"/>
      <x:c r="AJ19" s="64"/>
      <x:c r="AK19" s="64"/>
      <x:c r="AL19" s="64"/>
      <x:c r="AM19" s="64"/>
      <x:c r="AN19" s="48" t="str">
        <x:v>56</x:v>
      </x:c>
      <x:c r="AO19" s="48" t="str">
        <x:v>MAP_存在缺漏</x:v>
      </x:c>
      <x:c r="AP19" s="48" t="str">
        <x:v>存在报告证据，但尚未经人工逐项核验；已列依据来源，但未在本阶段逐条核验</x:v>
      </x:c>
      <x:c r="AQ19" s="64"/>
      <x:c r="AR19" s="48" t="str">
        <x:v>water_emission_standard</x:v>
      </x:c>
      <x:c r="AS19" s="48" t="str">
        <x:v>L3_analysis</x:v>
      </x:c>
      <x:c r="AT19" s="48" t="str">
        <x:v>rule_applicability</x:v>
      </x:c>
      <x:c r="AU19" s="48" t="str">
        <x:v>basis_grounding</x:v>
      </x:c>
      <x:c r="AV19" s="48" t="str">
        <x:v>report_grounding；procedural_reasoning</x:v>
      </x:c>
      <x:c r="AW19" s="48" t="str">
        <x:v>high</x:v>
      </x:c>
      <x:c r="AX19" s="48" t="str">
        <x:v>high</x:v>
      </x:c>
      <x:c r="AY19" s="48" t="str">
        <x:v>report_plus_external</x:v>
      </x:c>
      <x:c r="AZ19" s="48" t="str">
        <x:v>True</x:v>
      </x:c>
      <x:c r="BA19" s="48"/>
      <x:c r="BB19" s="48" t="str">
        <x:v>auto_default</x:v>
      </x:c>
      <x:c r="BC19" s="48" t="str">
        <x:v>v1</x:v>
      </x:c>
      <x:c r="BD19" s="68"/>
    </x:row>
    <x:row r="20" ht="36" customHeight="1">
      <x:c r="A20" s="47" t="str">
        <x:v>2026-07-27</x:v>
      </x:c>
      <x:c r="B20" s="48" t="str">
        <x:v>PL010</x:v>
      </x:c>
      <x:c r="C20" s="48" t="str">
        <x:v>V01</x:v>
      </x:c>
      <x:c r="D20" s="48" t="str">
        <x:v>PL010_悍高集团股份有限公司功能拉篮车间搬迁扩建项目_01_修改评估意见.docx</x:v>
      </x:c>
      <x:c r="E20" s="48" t="str">
        <x:v>悍高集团股份有限公司功能拉篮车间搬迁扩建项目</x:v>
      </x:c>
      <x:c r="F20" s="48" t="str">
        <x:v>PL010_Emission_大气</x:v>
      </x:c>
      <x:c r="G20" s="48" t="str">
        <x:v>污染物排放标准-大气污染物排放标准</x:v>
      </x:c>
      <x:c r="H20" s="48" t="str">
        <x:v>请根据项目行业类别、生产工艺和污染因子，判断大气污染物排放标准选取是否合理。要求分析：污染源覆盖是否完整（列出所有大气污染源及对应标准），是否存在缺漏的污染源或标准。</x:v>
      </x:c>
      <x:c r="I20" s="48" t="str">
        <x:v>1、污染排放标准分析污染源内容：不完整；
2、大气污染物排放标准分析：存在缺漏。项目为金属制品制造业，涉及功能拉篮生产。排放标准章节文本中未列出任何大气污染物排放执行标准的名称、编号、表号或限值。报告在“三线一单”相符性分析中提及“本项目生产过程不属于使用高VOCs含量原辅材料”，暗示项目存在一定VOCs排放，但未编制相应的VOCs有组织/无组织排放标准、颗粒物排放标准等。</x:v>
      </x:c>
      <x:c r="J20" s="48" t="str">
        <x:v>大气】排放标准章节文本中未检出大气污染物排放标准的编制内容。</x:v>
      </x:c>
      <x:c r="K20" s="48" t="str">
        <x:v>emission-standard-kb.jsonl; DB44/26-2001; DB44/2367-2022; GB31572-2015; GB14554-93; GB12348-2008; GB18597-2023; GB18599-2020</x:v>
      </x:c>
      <x:c r="L20" s="48" t="str">
        <x:v>2</x:v>
      </x:c>
      <x:c r="M20" s="48" t="str">
        <x:v>2</x:v>
      </x:c>
      <x:c r="N20" s="48" t="str">
        <x:v>False</x:v>
      </x:c>
      <x:c r="O20" s="48" t="str">
        <x:v>存在缺漏</x:v>
      </x:c>
      <x:c r="P20"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20" s="48"/>
      <x:c r="R20" s="48"/>
      <x:c r="S20" s="48" t="str">
        <x:v>是</x:v>
      </x:c>
      <x:c r="T20" s="48" t="str">
        <x:v>原综合排放标准问答对拆分而来</x:v>
      </x:c>
      <x:c r="U20" s="48" t="str">
        <x:v>30份环评_污染物排放控制执行标准复核QA(拆分版)</x:v>
      </x:c>
      <x:c r="V20" s="48" t="str">
        <x:v>大气污染物排放标准</x:v>
      </x:c>
      <x:c r="W20" s="48" t="str">
        <x:v>存在缺漏</x:v>
      </x:c>
      <x:c r="X20" s="48" t="str">
        <x:v>存在缺漏</x:v>
      </x:c>
      <x:c r="Y20" s="64"/>
      <x:c r="Z20" s="64" t="str">
        <x:v>未复核</x:v>
      </x:c>
      <x:c r="AA20" s="64" t="str">
        <x:v>部分充分</x:v>
      </x:c>
      <x:c r="AB20" s="64" t="str">
        <x:v>有效</x:v>
      </x:c>
      <x:c r="AC20" s="64" t="str">
        <x:v>部分核验</x:v>
      </x:c>
      <x:c r="AD20" s="64" t="str">
        <x:v>自动默认</x:v>
      </x:c>
      <x:c r="AE20" s="64" t="str">
        <x:v>候选池</x:v>
      </x:c>
      <x:c r="AF20" s="64" t="str">
        <x:v>A_仅待终审</x:v>
      </x:c>
      <x:c r="AG20" s="64"/>
      <x:c r="AH20" s="64"/>
      <x:c r="AI20" s="64"/>
      <x:c r="AJ20" s="64"/>
      <x:c r="AK20" s="64"/>
      <x:c r="AL20" s="64"/>
      <x:c r="AM20" s="64"/>
      <x:c r="AN20" s="48" t="str">
        <x:v>57</x:v>
      </x:c>
      <x:c r="AO20" s="48" t="str">
        <x:v>MAP_存在缺漏</x:v>
      </x:c>
      <x:c r="AP20" s="48" t="str">
        <x:v>存在报告证据，但尚未经人工逐项核验；已列依据来源，但未在本阶段逐条核验</x:v>
      </x:c>
      <x:c r="AQ20" s="64"/>
      <x:c r="AR20" s="48" t="str">
        <x:v>air_emission_standard</x:v>
      </x:c>
      <x:c r="AS20" s="48" t="str">
        <x:v>L3_analysis</x:v>
      </x:c>
      <x:c r="AT20" s="48" t="str">
        <x:v>multi_evidence_synthesis</x:v>
      </x:c>
      <x:c r="AU20" s="48" t="str">
        <x:v>basis_grounding</x:v>
      </x:c>
      <x:c r="AV20" s="48" t="str">
        <x:v>report_grounding；evidence_integration</x:v>
      </x:c>
      <x:c r="AW20" s="48" t="str">
        <x:v>high</x:v>
      </x:c>
      <x:c r="AX20" s="48" t="str">
        <x:v>high</x:v>
      </x:c>
      <x:c r="AY20" s="48" t="str">
        <x:v>report_plus_external</x:v>
      </x:c>
      <x:c r="AZ20" s="48" t="str">
        <x:v>True</x:v>
      </x:c>
      <x:c r="BA20" s="48"/>
      <x:c r="BB20" s="48" t="str">
        <x:v>auto_default</x:v>
      </x:c>
      <x:c r="BC20" s="48" t="str">
        <x:v>v1</x:v>
      </x:c>
      <x:c r="BD20" s="68"/>
    </x:row>
    <x:row r="21" ht="36" customHeight="1">
      <x:c r="A21" s="47" t="str">
        <x:v>2026-07-27</x:v>
      </x:c>
      <x:c r="B21" s="48" t="str">
        <x:v>PL010</x:v>
      </x:c>
      <x:c r="C21" s="48" t="str">
        <x:v>V01</x:v>
      </x:c>
      <x:c r="D21" s="48" t="str">
        <x:v>PL010_悍高集团股份有限公司功能拉篮车间搬迁扩建项目_01_修改评估意见.docx</x:v>
      </x:c>
      <x:c r="E21" s="48" t="str">
        <x:v>悍高集团股份有限公司功能拉篮车间搬迁扩建项目</x:v>
      </x:c>
      <x:c r="F21" s="48" t="str">
        <x:v>PL010_Emission_噪声</x:v>
      </x:c>
      <x:c r="G21" s="48" t="str">
        <x:v>污染物排放标准-噪声排放标准</x:v>
      </x:c>
      <x:c r="H21" s="48" t="str">
        <x:v>请根据项目所属声环境功能区类别，判断噪声排放标准选取是否合理。要求总结声功能区类型、厂界执行标准（GB12348-2008）及昼夜限值，并与环评编制内容进行一致性分析。</x:v>
      </x:c>
      <x:c r="I21" s="48" t="str">
        <x:v>1、噪声排放标准中执行标准与排放限值内容：存在缺漏；
2、存在缺漏。排放标准章节文本中未列出厂界噪声排放执行标准的名称、编号、声功能区类别及昼夜限值。项目位于工业区域，应执行GB12348-2008相应类别标准，但报告未编制。</x:v>
      </x:c>
      <x:c r="J21" s="48" t="str">
        <x:v>噪声】排放标准章节文本中未检出噪声排放标准的编制内容。</x:v>
      </x:c>
      <x:c r="K21" s="48" t="str">
        <x:v>emission-standard-kb.jsonl; DB44/26-2001; DB44/2367-2022; GB31572-2015; GB14554-93; GB12348-2008; GB18597-2023; GB18599-2020</x:v>
      </x:c>
      <x:c r="L21" s="48" t="str">
        <x:v>2</x:v>
      </x:c>
      <x:c r="M21" s="48" t="str">
        <x:v>2</x:v>
      </x:c>
      <x:c r="N21" s="48" t="str">
        <x:v>False</x:v>
      </x:c>
      <x:c r="O21" s="48" t="str">
        <x:v>存在缺漏</x:v>
      </x:c>
      <x:c r="P21"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21" s="48"/>
      <x:c r="R21" s="48"/>
      <x:c r="S21" s="48" t="str">
        <x:v>是</x:v>
      </x:c>
      <x:c r="T21" s="48" t="str">
        <x:v>原综合排放标准问答对拆分而来</x:v>
      </x:c>
      <x:c r="U21" s="48" t="str">
        <x:v>30份环评_污染物排放控制执行标准复核QA(拆分版)</x:v>
      </x:c>
      <x:c r="V21" s="48" t="str">
        <x:v>噪声排放标准</x:v>
      </x:c>
      <x:c r="W21" s="48" t="str">
        <x:v>存在缺漏</x:v>
      </x:c>
      <x:c r="X21" s="48" t="str">
        <x:v>存在缺漏</x:v>
      </x:c>
      <x:c r="Y21" s="64"/>
      <x:c r="Z21" s="64" t="str">
        <x:v>未复核</x:v>
      </x:c>
      <x:c r="AA21" s="64" t="str">
        <x:v>部分充分</x:v>
      </x:c>
      <x:c r="AB21" s="64" t="str">
        <x:v>有效</x:v>
      </x:c>
      <x:c r="AC21" s="64" t="str">
        <x:v>部分核验</x:v>
      </x:c>
      <x:c r="AD21" s="64" t="str">
        <x:v>自动默认</x:v>
      </x:c>
      <x:c r="AE21" s="64" t="str">
        <x:v>候选池</x:v>
      </x:c>
      <x:c r="AF21" s="64" t="str">
        <x:v>A_仅待终审</x:v>
      </x:c>
      <x:c r="AG21" s="64"/>
      <x:c r="AH21" s="64"/>
      <x:c r="AI21" s="64"/>
      <x:c r="AJ21" s="64"/>
      <x:c r="AK21" s="64"/>
      <x:c r="AL21" s="64"/>
      <x:c r="AM21" s="64"/>
      <x:c r="AN21" s="48" t="str">
        <x:v>58</x:v>
      </x:c>
      <x:c r="AO21" s="48" t="str">
        <x:v>MAP_存在缺漏</x:v>
      </x:c>
      <x:c r="AP21" s="48" t="str">
        <x:v>存在报告证据，但尚未经人工逐项核验；已列依据来源，但未在本阶段逐条核验</x:v>
      </x:c>
      <x:c r="AQ21" s="64"/>
      <x:c r="AR21" s="48" t="str">
        <x:v>noise_emission_standard</x:v>
      </x:c>
      <x:c r="AS21" s="48" t="str">
        <x:v>L2_application</x:v>
      </x:c>
      <x:c r="AT21" s="48" t="str">
        <x:v>rule_applicability</x:v>
      </x:c>
      <x:c r="AU21" s="48" t="str">
        <x:v>basis_grounding</x:v>
      </x:c>
      <x:c r="AV21" s="48" t="str">
        <x:v>report_grounding</x:v>
      </x:c>
      <x:c r="AW21" s="48" t="str">
        <x:v>high</x:v>
      </x:c>
      <x:c r="AX21" s="48" t="str">
        <x:v>medium</x:v>
      </x:c>
      <x:c r="AY21" s="48" t="str">
        <x:v>report_plus_external</x:v>
      </x:c>
      <x:c r="AZ21" s="48" t="str">
        <x:v>True</x:v>
      </x:c>
      <x:c r="BA21" s="48"/>
      <x:c r="BB21" s="48" t="str">
        <x:v>auto_default</x:v>
      </x:c>
      <x:c r="BC21" s="48" t="str">
        <x:v>v1</x:v>
      </x:c>
      <x:c r="BD21" s="68"/>
    </x:row>
    <x:row r="22" ht="36" customHeight="1">
      <x:c r="A22" s="47" t="str">
        <x:v>2026-07-28</x:v>
      </x:c>
      <x:c r="B22" s="48" t="str">
        <x:v>PL011</x:v>
      </x:c>
      <x:c r="C22" s="48" t="str">
        <x:v>V01</x:v>
      </x:c>
      <x:c r="D22" s="48" t="str">
        <x:v>广东潜龙化工有限公司新建项目环境影响报告表</x:v>
      </x:c>
      <x:c r="E22" s="48" t="str">
        <x:v>广东潜龙化工有限公司新建项目</x:v>
      </x:c>
      <x:c r="F22" s="48" t="str">
        <x:v>PL011_EnvQuality_Q01</x:v>
      </x:c>
      <x:c r="G22" s="48" t="str">
        <x:v>大气及地表水环境质量现状数据引用</x:v>
      </x:c>
      <x:c r="H22" s="48" t="str">
        <x:v>请根据报告引用的环境质量公报及现状数据，判断大气和地表水环境质量现状数据引用是否准确。</x:v>
      </x:c>
      <x:c r="I22"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22"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22" s="48" t="str">
        <x:v>生态环境状况公报知识库; 收纳水体地表水执行标准</x:v>
      </x:c>
      <x:c r="L22" s="48" t="str">
        <x:v>2</x:v>
      </x:c>
      <x:c r="M22" s="48" t="str">
        <x:v>2</x:v>
      </x:c>
      <x:c r="N22" s="48" t="str">
        <x:v>False</x:v>
      </x:c>
      <x:c r="O22" s="48" t="str">
        <x:v>正确</x:v>
      </x:c>
      <x:c r="P22" s="48" t="str">
        <x:v>大气:正确; 地表水:正确; 报告日期:2024-04</x:v>
      </x:c>
      <x:c r="Q22" s="48"/>
      <x:c r="R22" s="48"/>
      <x:c r="S22" s="48" t="str">
        <x:v>是</x:v>
      </x:c>
      <x:c r="T22" s="48" t="str">
        <x:v>各项引用数据与公报一致，无需修正</x:v>
      </x:c>
      <x:c r="U22" s="48" t="str">
        <x:v>30个环评_大气及地表水环境质量现状数据引用复核QA</x:v>
      </x:c>
      <x:c r="V22" s="48" t="str">
        <x:v>环境质量数据引用</x:v>
      </x:c>
      <x:c r="W22" s="48" t="str">
        <x:v>正确</x:v>
      </x:c>
      <x:c r="X22" s="48" t="str">
        <x:v>无误</x:v>
      </x:c>
      <x:c r="Y22" s="64"/>
      <x:c r="Z22" s="64" t="str">
        <x:v>未复核</x:v>
      </x:c>
      <x:c r="AA22" s="64" t="str">
        <x:v>部分充分</x:v>
      </x:c>
      <x:c r="AB22" s="64" t="str">
        <x:v>有效</x:v>
      </x:c>
      <x:c r="AC22" s="64" t="str">
        <x:v>部分核验</x:v>
      </x:c>
      <x:c r="AD22" s="64" t="str">
        <x:v>自动默认</x:v>
      </x:c>
      <x:c r="AE22" s="64" t="str">
        <x:v>候选池</x:v>
      </x:c>
      <x:c r="AF22" s="64" t="str">
        <x:v>A_仅待终审</x:v>
      </x:c>
      <x:c r="AG22" s="64"/>
      <x:c r="AH22" s="64"/>
      <x:c r="AI22" s="64"/>
      <x:c r="AJ22" s="64"/>
      <x:c r="AK22" s="64"/>
      <x:c r="AL22" s="64"/>
      <x:c r="AM22" s="64"/>
      <x:c r="AN22" s="48" t="str">
        <x:v>60</x:v>
      </x:c>
      <x:c r="AO22" s="48" t="str">
        <x:v>MAP_正确</x:v>
      </x:c>
      <x:c r="AP22" s="48" t="str">
        <x:v>存在报告证据，但尚未经人工逐项核验；已列依据来源，但未在本阶段逐条核验</x:v>
      </x:c>
      <x:c r="AQ22" s="64"/>
      <x:c r="AR22" s="48" t="str">
        <x:v>environmental_quality_data</x:v>
      </x:c>
      <x:c r="AS22" s="48" t="str">
        <x:v>L3_analysis</x:v>
      </x:c>
      <x:c r="AT22" s="48" t="str">
        <x:v>consistency_comparison</x:v>
      </x:c>
      <x:c r="AU22" s="48" t="str">
        <x:v>evidence_integration</x:v>
      </x:c>
      <x:c r="AV22" s="48" t="str">
        <x:v>report_grounding；basis_grounding</x:v>
      </x:c>
      <x:c r="AW22" s="48" t="str">
        <x:v>high</x:v>
      </x:c>
      <x:c r="AX22" s="48" t="str">
        <x:v>high</x:v>
      </x:c>
      <x:c r="AY22" s="48" t="str">
        <x:v>report_plus_external</x:v>
      </x:c>
      <x:c r="AZ22" s="48" t="str">
        <x:v>True</x:v>
      </x:c>
      <x:c r="BA22" s="48"/>
      <x:c r="BB22" s="48" t="str">
        <x:v>auto_default</x:v>
      </x:c>
      <x:c r="BC22" s="48" t="str">
        <x:v>v1</x:v>
      </x:c>
      <x:c r="BD22" s="68"/>
    </x:row>
    <x:row r="23" ht="36" customHeight="1">
      <x:c r="A23" s="47" t="str">
        <x:v>2026-07-28</x:v>
      </x:c>
      <x:c r="B23" s="48" t="str">
        <x:v>PL012</x:v>
      </x:c>
      <x:c r="C23" s="48" t="str">
        <x:v>V01</x:v>
      </x:c>
      <x:c r="D23" s="48" t="str">
        <x:v>PL012_佛山市瀚铭新材料有限公司新建项目_01_修改评估意见.docx</x:v>
      </x:c>
      <x:c r="E23" s="48" t="str">
        <x:v>佛山市瀚铭新材料有限公司新建项目</x:v>
      </x:c>
      <x:c r="F23" s="48" t="str">
        <x:v>PL012_EnvQuality_Q01</x:v>
      </x:c>
      <x:c r="G23" s="48" t="str">
        <x:v>大气及地表水环境质量现状数据引用</x:v>
      </x:c>
      <x:c r="H23" s="48" t="str">
        <x:v>请根据报告引用的环境质量公报及现状数据，判断大气和地表水环境质量现状数据引用是否准确。</x:v>
      </x:c>
      <x:c r="I23" s="48" t="str">
        <x:v>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引用2022年顺德区空气质量综合指数为3.27，比2021年下降6.0%，在全市五区中排名第二，O3浓度超过《环境空气质量标准》（GB3095-2012）二级标准限值，SO2、NO2、PM10、PM2.5、CO五项污染物年评价浓度达到二级标准，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x:v>
      </x:c>
      <x:c r="J23" s="48" t="str">
        <x:v>证据位置:大气：报告第1168行引用2022年公报综合指数3.27、排名第2；第1203行O3超标、属不达标区；第1714行五项达标O3未达标。地表水：报告第1205-1206行引用2022年公报顺德支流新涌断面Ⅲ类，杏坛污水处理厂尾水排入顺德支流。; 大气公报:《2022年度佛山市顺德区生态环境状况公报》; 地表水资料:《2022年度佛山市顺德区生态环境状况公报》</x:v>
      </x:c>
      <x:c r="K23" s="48" t="str">
        <x:v>生态环境状况公报知识库; 收纳水体地表水执行标准</x:v>
      </x:c>
      <x:c r="L23" s="48" t="str">
        <x:v>2</x:v>
      </x:c>
      <x:c r="M23" s="48" t="str">
        <x:v>2</x:v>
      </x:c>
      <x:c r="N23" s="48" t="str">
        <x:v>False</x:v>
      </x:c>
      <x:c r="O23" s="48" t="str">
        <x:v>不正确</x:v>
      </x:c>
      <x:c r="P23" s="48" t="str">
        <x:v>大气:正确; 地表水:不正确; 报告日期:2023</x:v>
      </x:c>
      <x:c r="Q23" s="48"/>
      <x:c r="R23" s="48"/>
      <x:c r="S23" s="48" t="str">
        <x:v>是</x:v>
      </x:c>
      <x:c r="T23" s="48" t="str">
        <x:v>杏坛污水处理厂尾水受纳河道报告称为顺德支流，与官方登记的顺德水道不一致；执行标准报告称为Ⅲ类，与官方登记的II类不一致。顺德支流与顺德水道为不同水体。</x:v>
      </x:c>
      <x:c r="U23" s="48" t="str">
        <x:v>30个环评_大气及地表水环境质量现状数据引用复核QA</x:v>
      </x:c>
      <x:c r="V23" s="48" t="str">
        <x:v>环境质量数据引用</x:v>
      </x:c>
      <x:c r="W23" s="48" t="str">
        <x:v>不正确</x:v>
      </x:c>
      <x:c r="X23" s="48" t="str">
        <x:v>待判断</x:v>
      </x:c>
      <x:c r="Y23" s="64"/>
      <x:c r="Z23" s="64" t="str">
        <x:v>未复核</x:v>
      </x:c>
      <x:c r="AA23" s="64" t="str">
        <x:v>部分充分</x:v>
      </x:c>
      <x:c r="AB23" s="64" t="str">
        <x:v>有效</x:v>
      </x:c>
      <x:c r="AC23" s="64" t="str">
        <x:v>部分核验</x:v>
      </x:c>
      <x:c r="AD23" s="64" t="str">
        <x:v>自动默认</x:v>
      </x:c>
      <x:c r="AE23" s="64" t="str">
        <x:v>候选池</x:v>
      </x:c>
      <x:c r="AF23" s="64" t="str">
        <x:v>A_仅待终审</x:v>
      </x:c>
      <x:c r="AG23" s="64"/>
      <x:c r="AH23" s="64"/>
      <x:c r="AI23" s="64"/>
      <x:c r="AJ23" s="64"/>
      <x:c r="AK23" s="64"/>
      <x:c r="AL23" s="64"/>
      <x:c r="AM23" s="64"/>
      <x:c r="AN23" s="48" t="str">
        <x:v>65</x:v>
      </x:c>
      <x:c r="AO23" s="48" t="str">
        <x:v>MAP_不正确</x:v>
      </x:c>
      <x:c r="AP23" s="48" t="str">
        <x:v>需人工区分存在错误或存在缺漏；存在报告证据，但尚未经人工逐项核验；已列依据来源，但未在本阶段逐条核验</x:v>
      </x:c>
      <x:c r="AQ23" s="64"/>
      <x:c r="AR23" s="48" t="str">
        <x:v>environmental_quality_data</x:v>
      </x:c>
      <x:c r="AS23" s="48" t="str">
        <x:v>L3_analysis</x:v>
      </x:c>
      <x:c r="AT23" s="48" t="str">
        <x:v>consistency_comparison</x:v>
      </x:c>
      <x:c r="AU23" s="48" t="str">
        <x:v>evidence_integration</x:v>
      </x:c>
      <x:c r="AV23" s="48" t="str">
        <x:v>report_grounding；basis_grounding</x:v>
      </x:c>
      <x:c r="AW23" s="48" t="str">
        <x:v>high</x:v>
      </x:c>
      <x:c r="AX23" s="48" t="str">
        <x:v>high</x:v>
      </x:c>
      <x:c r="AY23" s="48" t="str">
        <x:v>report_plus_external</x:v>
      </x:c>
      <x:c r="AZ23" s="48" t="str">
        <x:v>True</x:v>
      </x:c>
      <x:c r="BA23" s="48"/>
      <x:c r="BB23" s="48" t="str">
        <x:v>auto_default</x:v>
      </x:c>
      <x:c r="BC23" s="48" t="str">
        <x:v>v1</x:v>
      </x:c>
      <x:c r="BD23" s="68"/>
    </x:row>
    <x:row r="24" ht="36" customHeight="1">
      <x:c r="A24" s="47" t="str">
        <x:v>2026-07-27</x:v>
      </x:c>
      <x:c r="B24" s="48" t="str">
        <x:v>PL012</x:v>
      </x:c>
      <x:c r="C24" s="48" t="str">
        <x:v>V01</x:v>
      </x:c>
      <x:c r="D24" s="48" t="str">
        <x:v>PL012_佛山市瀚铭新材料有限公司新建项目_01_修改评估意见.docx</x:v>
      </x:c>
      <x:c r="E24" s="48" t="str">
        <x:v>佛山市瀚铭新材料有限公司新建项目</x:v>
      </x:c>
      <x:c r="F24" s="48" t="str">
        <x:v>PL012_Emission_大气</x:v>
      </x:c>
      <x:c r="G24" s="48" t="str">
        <x:v>污染物排放标准-大气污染物排放标准</x:v>
      </x:c>
      <x:c r="H24" s="48" t="str">
        <x:v>请根据项目行业类别、生产工艺和污染因子，判断大气污染物排放标准选取是否合理。要求分析：污染源覆盖是否完整（列出所有大气污染源及对应标准），是否存在缺漏的污染源或标准。</x:v>
      </x:c>
      <x:c r="I24" s="48" t="str">
        <x:v>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x:v>
      </x:c>
      <x:c r="J24" s="48" t="str">
        <x:v>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x:v>
      </x:c>
      <x:c r="K24" s="48" t="str">
        <x:v>emission-standard-kb.jsonl; DB44/26-2001; DB44/2367-2022; GB31572-2015; GB14554-93; GB12348-2008; GB18597-2023; GB18599-2020</x:v>
      </x:c>
      <x:c r="L24" s="48" t="str">
        <x:v>2</x:v>
      </x:c>
      <x:c r="M24" s="48" t="str">
        <x:v>2</x:v>
      </x:c>
      <x:c r="N24" s="48" t="str">
        <x:v>False</x:v>
      </x:c>
      <x:c r="O24" s="48" t="str">
        <x:v>存在缺漏</x:v>
      </x:c>
      <x:c r="P24"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24" s="48"/>
      <x:c r="R24" s="48"/>
      <x:c r="S24" s="48" t="str">
        <x:v>是</x:v>
      </x:c>
      <x:c r="T24" s="48" t="str">
        <x:v>原综合排放标准问答对拆分而来</x:v>
      </x:c>
      <x:c r="U24" s="48" t="str">
        <x:v>30份环评_污染物排放控制执行标准复核QA(拆分版)</x:v>
      </x:c>
      <x:c r="V24" s="48" t="str">
        <x:v>大气污染物排放标准</x:v>
      </x:c>
      <x:c r="W24" s="48" t="str">
        <x:v>存在缺漏</x:v>
      </x:c>
      <x:c r="X24" s="48" t="str">
        <x:v>存在缺漏</x:v>
      </x:c>
      <x:c r="Y24" s="64"/>
      <x:c r="Z24" s="64" t="str">
        <x:v>未复核</x:v>
      </x:c>
      <x:c r="AA24" s="64" t="str">
        <x:v>部分充分</x:v>
      </x:c>
      <x:c r="AB24" s="64" t="str">
        <x:v>有效</x:v>
      </x:c>
      <x:c r="AC24" s="64" t="str">
        <x:v>部分核验</x:v>
      </x:c>
      <x:c r="AD24" s="64" t="str">
        <x:v>自动默认</x:v>
      </x:c>
      <x:c r="AE24" s="64" t="str">
        <x:v>候选池</x:v>
      </x:c>
      <x:c r="AF24" s="64" t="str">
        <x:v>A_仅待终审</x:v>
      </x:c>
      <x:c r="AG24" s="64"/>
      <x:c r="AH24" s="64"/>
      <x:c r="AI24" s="64"/>
      <x:c r="AJ24" s="64"/>
      <x:c r="AK24" s="64"/>
      <x:c r="AL24" s="64"/>
      <x:c r="AM24" s="64"/>
      <x:c r="AN24" s="48" t="str">
        <x:v>67</x:v>
      </x:c>
      <x:c r="AO24" s="48" t="str">
        <x:v>MAP_存在缺漏</x:v>
      </x:c>
      <x:c r="AP24" s="48" t="str">
        <x:v>存在报告证据，但尚未经人工逐项核验；已列依据来源，但未在本阶段逐条核验</x:v>
      </x:c>
      <x:c r="AQ24" s="64"/>
      <x:c r="AR24" s="48" t="str">
        <x:v>air_emission_standard</x:v>
      </x:c>
      <x:c r="AS24" s="48" t="str">
        <x:v>L3_analysis</x:v>
      </x:c>
      <x:c r="AT24" s="48" t="str">
        <x:v>multi_evidence_synthesis</x:v>
      </x:c>
      <x:c r="AU24" s="48" t="str">
        <x:v>basis_grounding</x:v>
      </x:c>
      <x:c r="AV24" s="48" t="str">
        <x:v>report_grounding；evidence_integration</x:v>
      </x:c>
      <x:c r="AW24" s="48" t="str">
        <x:v>high</x:v>
      </x:c>
      <x:c r="AX24" s="48" t="str">
        <x:v>high</x:v>
      </x:c>
      <x:c r="AY24" s="48" t="str">
        <x:v>report_plus_external</x:v>
      </x:c>
      <x:c r="AZ24" s="48" t="str">
        <x:v>True</x:v>
      </x:c>
      <x:c r="BA24" s="48"/>
      <x:c r="BB24" s="48" t="str">
        <x:v>auto_default</x:v>
      </x:c>
      <x:c r="BC24" s="48" t="str">
        <x:v>v1</x:v>
      </x:c>
      <x:c r="BD24" s="68"/>
    </x:row>
    <x:row r="25" ht="36" customHeight="1">
      <x:c r="A25" s="47" t="str">
        <x:v>2026-07-28</x:v>
      </x:c>
      <x:c r="B25" s="48" t="str">
        <x:v>PL013</x:v>
      </x:c>
      <x:c r="C25" s="48" t="str">
        <x:v>V01</x:v>
      </x:c>
      <x:c r="D25" s="48" t="str">
        <x:v>PL013_佛山市顺德区百洛电器有限公司迁扩建项目_01_修改评估意见.docx</x:v>
      </x:c>
      <x:c r="E25" s="48" t="str">
        <x:v>佛山市顺德区百洛电器有限公司迁扩建项目</x:v>
      </x:c>
      <x:c r="F25" s="48" t="str">
        <x:v>PL013_EnvQuality_Q01</x:v>
      </x:c>
      <x:c r="G25" s="48" t="str">
        <x:v>大气及地表水环境质量现状数据引用</x:v>
      </x:c>
      <x:c r="H25" s="48" t="str">
        <x:v>请根据报告引用的环境质量公报及现状数据，判断大气和地表水环境质量现状数据引用是否准确。</x:v>
      </x:c>
      <x:c r="I25" s="48" t="str">
        <x:v>1、大气及地表水环境质量引用数据正确；
2、项目大气环境质量引用《2022年度佛山市顺德区生态环境状况公报》。环评对大气环境质量分析内容与《2022年度佛山市顺德区生态环境状况公报》中大气环境状况描述一致，报告引用2022年全区空气质量综合指数为3.27，比2021年下降6.0%，在全市五区中排名第二，六项污染物指标中臭氧浓度超标，其余指标浓度均达到《环境空气质量标准》（GB3095-2012）及2018年修改单中的二级标准限值，属不达标区，与公报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2022年全区4个饮用水源全优，2个国控断面（乌洲、顺德港）、3个省控断面（杨滘、海凌、飞鹅山）均达到相应的水质目标，项目纳污水体李家沙水道五沙断面水质达到Ⅲ类标准要求（公报中五沙断面实际定类为Ⅱ类，优于Ⅲ类），与公报一致。项目污水处理厂尾水受纳河道为李家沙水道，执行标准为Ⅲ类，与官方登记一致。</x:v>
      </x:c>
      <x:c r="J25" s="48" t="str">
        <x:v>证据位置:大气：报告第1387行引用2022年公报综合指数3.27、排名第2；第1419行臭氧超标、属不达标区。地表水：报告第1421-1422行引用2022年公报4个饮用水源全优、国控省控断面达标、李家沙水道五沙断面水质达Ⅲ类标准；伦教污水处理厂尾水排入李家沙水道。; 大气公报:《2022年度佛山市顺德区生态环境状况公报》; 地表水资料:《2022年度佛山市顺德区生态环境状况公报》</x:v>
      </x:c>
      <x:c r="K25" s="48" t="str">
        <x:v>生态环境状况公报知识库; 收纳水体地表水执行标准</x:v>
      </x:c>
      <x:c r="L25" s="48" t="str">
        <x:v>2</x:v>
      </x:c>
      <x:c r="M25" s="48" t="str">
        <x:v>2</x:v>
      </x:c>
      <x:c r="N25" s="48" t="str">
        <x:v>False</x:v>
      </x:c>
      <x:c r="O25" s="48" t="str">
        <x:v>正确</x:v>
      </x:c>
      <x:c r="P25" s="48" t="str">
        <x:v>大气:正确; 地表水:正确; 报告日期:2023</x:v>
      </x:c>
      <x:c r="Q25" s="48"/>
      <x:c r="R25" s="48"/>
      <x:c r="S25" s="48" t="str">
        <x:v>是</x:v>
      </x:c>
      <x:c r="T25" s="48" t="str">
        <x:v>未发现实质性问题。报告大气和地表水环境质量引用数据与2022年度公报一致，伦教污水处理厂受纳水体李家沙水道及执行标准Ⅲ类与官方登记一致。</x:v>
      </x:c>
      <x:c r="U25" s="48" t="str">
        <x:v>30个环评_大气及地表水环境质量现状数据引用复核QA</x:v>
      </x:c>
      <x:c r="V25" s="48" t="str">
        <x:v>环境质量数据引用</x:v>
      </x:c>
      <x:c r="W25" s="48" t="str">
        <x:v>正确</x:v>
      </x:c>
      <x:c r="X25" s="48" t="str">
        <x:v>无误</x:v>
      </x:c>
      <x:c r="Y25" s="64"/>
      <x:c r="Z25" s="64" t="str">
        <x:v>未复核</x:v>
      </x:c>
      <x:c r="AA25" s="64" t="str">
        <x:v>部分充分</x:v>
      </x:c>
      <x:c r="AB25" s="64" t="str">
        <x:v>有效</x:v>
      </x:c>
      <x:c r="AC25" s="64" t="str">
        <x:v>部分核验</x:v>
      </x:c>
      <x:c r="AD25" s="64" t="str">
        <x:v>自动默认</x:v>
      </x:c>
      <x:c r="AE25" s="64" t="str">
        <x:v>候选池</x:v>
      </x:c>
      <x:c r="AF25" s="64" t="str">
        <x:v>A_仅待终审</x:v>
      </x:c>
      <x:c r="AG25" s="64"/>
      <x:c r="AH25" s="64"/>
      <x:c r="AI25" s="64"/>
      <x:c r="AJ25" s="64"/>
      <x:c r="AK25" s="64"/>
      <x:c r="AL25" s="64"/>
      <x:c r="AM25" s="64"/>
      <x:c r="AN25" s="48" t="str">
        <x:v>70</x:v>
      </x:c>
      <x:c r="AO25" s="48" t="str">
        <x:v>MAP_正确</x:v>
      </x:c>
      <x:c r="AP25" s="48" t="str">
        <x:v>存在报告证据，但尚未经人工逐项核验；已列依据来源，但未在本阶段逐条核验</x:v>
      </x:c>
      <x:c r="AQ25" s="64"/>
      <x:c r="AR25" s="48" t="str">
        <x:v>environmental_quality_data</x:v>
      </x:c>
      <x:c r="AS25" s="48" t="str">
        <x:v>L3_analysis</x:v>
      </x:c>
      <x:c r="AT25" s="48" t="str">
        <x:v>consistency_comparison</x:v>
      </x:c>
      <x:c r="AU25" s="48" t="str">
        <x:v>evidence_integration</x:v>
      </x:c>
      <x:c r="AV25" s="48" t="str">
        <x:v>report_grounding；basis_grounding</x:v>
      </x:c>
      <x:c r="AW25" s="48" t="str">
        <x:v>high</x:v>
      </x:c>
      <x:c r="AX25" s="48" t="str">
        <x:v>high</x:v>
      </x:c>
      <x:c r="AY25" s="48" t="str">
        <x:v>report_plus_external</x:v>
      </x:c>
      <x:c r="AZ25" s="48" t="str">
        <x:v>True</x:v>
      </x:c>
      <x:c r="BA25" s="48"/>
      <x:c r="BB25" s="48" t="str">
        <x:v>auto_default</x:v>
      </x:c>
      <x:c r="BC25" s="48" t="str">
        <x:v>v1</x:v>
      </x:c>
      <x:c r="BD25" s="68"/>
    </x:row>
    <x:row r="26" ht="36" customHeight="1">
      <x:c r="A26" s="47" t="str">
        <x:v>2026-07-28</x:v>
      </x:c>
      <x:c r="B26" s="48" t="str">
        <x:v>PL014</x:v>
      </x:c>
      <x:c r="C26" s="48" t="str">
        <x:v>V01</x:v>
      </x:c>
      <x:c r="D26" s="48" t="str">
        <x:v>PL014_佛山市顺德区蓝顿涂料有限公司迁建项目_01_修改评估意见.docx</x:v>
      </x:c>
      <x:c r="E26" s="48" t="str">
        <x:v>佛山市顺德区蓝顿涂料有限公司迁建项目</x:v>
      </x:c>
      <x:c r="F26" s="48" t="str">
        <x:v>PL014_EnvQuality_Q01</x:v>
      </x:c>
      <x:c r="G26" s="48" t="str">
        <x:v>大气及地表水环境质量现状数据引用</x:v>
      </x:c>
      <x:c r="H26" s="48" t="str">
        <x:v>请根据报告引用的环境质量公报及现状数据，判断大气和地表水环境质量现状数据引用是否准确。</x:v>
      </x:c>
      <x:c r="I26" s="48" t="str">
        <x:v>1、地表水环境质量引用数据不正确，污水处理厂受纳水体/执行标准与官方登记不一致；
2、项目大气环境质量引用《2022年度佛山市顺德区生态环境状况公报》。环评对大气环境质量分析内容与《2022年度佛山市顺德区生态环境状况公报》中大气环境状况描述一致，报告采用2022年度公报数据，根据公报中数据和结论判断项目所在区域为大气环境质量不达标区，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飞鹅山断面2022年河流定类均为Ⅲ类，符合《地表水环境质量标准》（GB3838-2002）Ⅲ类标准，与公报一致。但项目污水处理厂尾水受纳河道报告称为顺德支流，执行标准为Ⅲ类，与官方登记的杏坛污水处理厂受纳水体顺德水道（II类）不一致，顺德支流与顺德水道系不同水体。</x:v>
      </x:c>
      <x:c r="J26" s="48" t="str">
        <x:v>证据位置:大气：报告第1681行采用2022年度公报数据；第1768行判断为大气环境质量不达标区。地表水：报告第1844-1845行引用2022年公报顺德支流新涌、飞鹅山断面Ⅲ类，杏坛污水处理厂尾水排至顺德支流。; 大气公报:《2022年度佛山市顺德区生态环境状况公报》; 地表水资料:《2022年度佛山市顺德区生态环境状况公报》</x:v>
      </x:c>
      <x:c r="K26" s="48" t="str">
        <x:v>生态环境状况公报知识库; 收纳水体地表水执行标准</x:v>
      </x:c>
      <x:c r="L26" s="48" t="str">
        <x:v>2</x:v>
      </x:c>
      <x:c r="M26" s="48" t="str">
        <x:v>2</x:v>
      </x:c>
      <x:c r="N26" s="48" t="str">
        <x:v>False</x:v>
      </x:c>
      <x:c r="O26" s="48" t="str">
        <x:v>不正确</x:v>
      </x:c>
      <x:c r="P26" s="48" t="str">
        <x:v>大气:正确; 地表水:不正确; 报告日期:2024</x:v>
      </x:c>
      <x:c r="Q26" s="48"/>
      <x:c r="R26" s="48"/>
      <x:c r="S26" s="48" t="str">
        <x:v>是</x:v>
      </x:c>
      <x:c r="T26" s="48" t="str">
        <x:v>杏坛污水处理厂尾水受纳河道报告称为顺德支流，与官方登记的顺德水道不一致；执行标准报告称为Ⅲ类，与官方登记的II类不一致。顺德支流与顺德水道为不同水体。</x:v>
      </x:c>
      <x:c r="U26" s="48" t="str">
        <x:v>30个环评_大气及地表水环境质量现状数据引用复核QA</x:v>
      </x:c>
      <x:c r="V26" s="48" t="str">
        <x:v>环境质量数据引用</x:v>
      </x:c>
      <x:c r="W26" s="48" t="str">
        <x:v>不正确</x:v>
      </x:c>
      <x:c r="X26" s="48" t="str">
        <x:v>待判断</x:v>
      </x:c>
      <x:c r="Y26" s="64"/>
      <x:c r="Z26" s="64" t="str">
        <x:v>未复核</x:v>
      </x:c>
      <x:c r="AA26" s="64" t="str">
        <x:v>部分充分</x:v>
      </x:c>
      <x:c r="AB26" s="64" t="str">
        <x:v>有效</x:v>
      </x:c>
      <x:c r="AC26" s="64" t="str">
        <x:v>部分核验</x:v>
      </x:c>
      <x:c r="AD26" s="64" t="str">
        <x:v>自动默认</x:v>
      </x:c>
      <x:c r="AE26" s="64" t="str">
        <x:v>候选池</x:v>
      </x:c>
      <x:c r="AF26" s="64" t="str">
        <x:v>A_仅待终审</x:v>
      </x:c>
      <x:c r="AG26" s="64"/>
      <x:c r="AH26" s="64"/>
      <x:c r="AI26" s="64"/>
      <x:c r="AJ26" s="64"/>
      <x:c r="AK26" s="64"/>
      <x:c r="AL26" s="64"/>
      <x:c r="AM26" s="64"/>
      <x:c r="AN26" s="48" t="str">
        <x:v>75</x:v>
      </x:c>
      <x:c r="AO26" s="48" t="str">
        <x:v>MAP_不正确</x:v>
      </x:c>
      <x:c r="AP26" s="48" t="str">
        <x:v>需人工区分存在错误或存在缺漏；存在报告证据，但尚未经人工逐项核验；已列依据来源，但未在本阶段逐条核验</x:v>
      </x:c>
      <x:c r="AQ26" s="64"/>
      <x:c r="AR26" s="48" t="str">
        <x:v>environmental_quality_data</x:v>
      </x:c>
      <x:c r="AS26" s="48" t="str">
        <x:v>L3_analysis</x:v>
      </x:c>
      <x:c r="AT26" s="48" t="str">
        <x:v>consistency_comparison</x:v>
      </x:c>
      <x:c r="AU26" s="48" t="str">
        <x:v>evidence_integration</x:v>
      </x:c>
      <x:c r="AV26" s="48" t="str">
        <x:v>report_grounding；basis_grounding</x:v>
      </x:c>
      <x:c r="AW26" s="48" t="str">
        <x:v>high</x:v>
      </x:c>
      <x:c r="AX26" s="48" t="str">
        <x:v>high</x:v>
      </x:c>
      <x:c r="AY26" s="48" t="str">
        <x:v>report_plus_external</x:v>
      </x:c>
      <x:c r="AZ26" s="48" t="str">
        <x:v>True</x:v>
      </x:c>
      <x:c r="BA26" s="48"/>
      <x:c r="BB26" s="48" t="str">
        <x:v>auto_default</x:v>
      </x:c>
      <x:c r="BC26" s="48" t="str">
        <x:v>v1</x:v>
      </x:c>
      <x:c r="BD26" s="68"/>
    </x:row>
    <x:row r="27" ht="36" customHeight="1">
      <x:c r="A27" s="47" t="str">
        <x:v>2026-07-27</x:v>
      </x:c>
      <x:c r="B27" s="48" t="str">
        <x:v>PL015</x:v>
      </x:c>
      <x:c r="C27" s="48" t="str">
        <x:v>V01</x:v>
      </x:c>
      <x:c r="D27" s="48" t="str">
        <x:v>PL015_佛山市镪优金属制品有限公司迁扩建项目_01_修改评估意见.docx</x:v>
      </x:c>
      <x:c r="E27" s="48" t="str">
        <x:v>佛山市镪优金属制品有限公司迁扩建项目</x:v>
      </x:c>
      <x:c r="F27" s="48" t="str">
        <x:v>PL015_Emission_大气</x:v>
      </x:c>
      <x:c r="G27" s="48" t="str">
        <x:v>污染物排放标准-大气污染物排放标准</x:v>
      </x:c>
      <x:c r="H27" s="48" t="str">
        <x:v>请根据项目行业类别、生产工艺和污染因子，判断大气污染物排放标准选取是否合理。要求分析：污染源覆盖是否完整（列出所有大气污染源及对应标准），是否存在缺漏的污染源或标准。</x:v>
      </x:c>
      <x:c r="I27" s="48" t="str">
        <x:v>1、污染排放标准分析污染源内容：不完整；
2、大气污染物排放标准分析：颗粒物（钻孔粉尘、焊接烟尘、喷粉粉尘、燃烧烟尘）无组织排放执行DB44/27-2001第二时段无组织监控浓度限值1.0mg/m3，适用。VOCs固化有机废气执行DB44/2367-2022表1（TVOC≤100mg/m3）及表3厂区内VOCs无组织排放限值，适用。臭气浓度执行GB14554-93表1及表2，适用。问题：燃烧废气（颗粒物≤30、SO2≤200、NOx≤300mg/m3）依据粤环函[2019]1112号《工业炉窑大气污染综合治理方案》广东省实施意见确定限值，该文件为政策性文件而非正式排放标准。工业炉窑燃烧废气应执行《工业炉窑大气污染物排放标准》（GB9078-1996）或相关行业排放标准，报告引用政策文件替代正式排放标准依据不充分，存在缺漏。</x:v>
      </x:c>
      <x:c r="J27" s="48" t="str">
        <x:v>大气标准：'颗粒物……无组织排放执行广东省《大气污染物排放限值》（DB44/27-2001）第二时段无组织排放监控浓度限值1.0mg/m3。'；'固化有机废气执行《固定污染源挥发性有机物综合排放标准》（DB44/2367-2022）表1挥发性有机物排放限值：TVOC≤100mg/m3；以及表3厂区内VOCs无组织排放限值。'；'根据广东省关于贯彻落实《工业炉窑大气污染综合治理方案》的实施意见（粤环函[2019]1112号），项目燃烧废气的颗粒物、二氧化硫、氮氧化物排放限值分别不高于30、200、300毫克/立方米。'；'臭气浓度执行《恶臭污染物排放标准》（GB14554-93）表1恶臭污染物厂界标准值（二级新扩改建）和表2恶臭污染物排放标准值。'
3.</x:v>
      </x:c>
      <x:c r="K27" s="48" t="str">
        <x:v>emission-standard-kb.jsonl; DB44/26-2001; DB44/2367-2022; GB31572-2015; GB14554-93; GB12348-2008; GB18597-2023; GB18599-2020</x:v>
      </x:c>
      <x:c r="L27" s="48" t="str">
        <x:v>2</x:v>
      </x:c>
      <x:c r="M27" s="48" t="str">
        <x:v>2</x:v>
      </x:c>
      <x:c r="N27" s="48" t="str">
        <x:v>False</x:v>
      </x:c>
      <x:c r="O27" s="48" t="str">
        <x:v>存在缺漏</x:v>
      </x:c>
      <x:c r="P27"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27" s="48"/>
      <x:c r="R27" s="48"/>
      <x:c r="S27" s="48" t="str">
        <x:v>是</x:v>
      </x:c>
      <x:c r="T27" s="48" t="str">
        <x:v>原综合排放标准问答对拆分而来</x:v>
      </x:c>
      <x:c r="U27" s="48" t="str">
        <x:v>30份环评_污染物排放控制执行标准复核QA(拆分版)</x:v>
      </x:c>
      <x:c r="V27" s="48" t="str">
        <x:v>大气污染物排放标准</x:v>
      </x:c>
      <x:c r="W27" s="48" t="str">
        <x:v>存在缺漏</x:v>
      </x:c>
      <x:c r="X27" s="48" t="str">
        <x:v>存在缺漏</x:v>
      </x:c>
      <x:c r="Y27" s="64"/>
      <x:c r="Z27" s="64" t="str">
        <x:v>未复核</x:v>
      </x:c>
      <x:c r="AA27" s="64" t="str">
        <x:v>部分充分</x:v>
      </x:c>
      <x:c r="AB27" s="64" t="str">
        <x:v>有效</x:v>
      </x:c>
      <x:c r="AC27" s="64" t="str">
        <x:v>部分核验</x:v>
      </x:c>
      <x:c r="AD27" s="64" t="str">
        <x:v>自动默认</x:v>
      </x:c>
      <x:c r="AE27" s="64" t="str">
        <x:v>候选池</x:v>
      </x:c>
      <x:c r="AF27" s="64" t="str">
        <x:v>A_仅待终审</x:v>
      </x:c>
      <x:c r="AG27" s="64"/>
      <x:c r="AH27" s="64"/>
      <x:c r="AI27" s="64"/>
      <x:c r="AJ27" s="64"/>
      <x:c r="AK27" s="64"/>
      <x:c r="AL27" s="64"/>
      <x:c r="AM27" s="64"/>
      <x:c r="AN27" s="48" t="str">
        <x:v>82</x:v>
      </x:c>
      <x:c r="AO27" s="48" t="str">
        <x:v>MAP_存在缺漏</x:v>
      </x:c>
      <x:c r="AP27" s="48" t="str">
        <x:v>存在报告证据，但尚未经人工逐项核验；已列依据来源，但未在本阶段逐条核验</x:v>
      </x:c>
      <x:c r="AQ27" s="64"/>
      <x:c r="AR27" s="48" t="str">
        <x:v>air_emission_standard</x:v>
      </x:c>
      <x:c r="AS27" s="48" t="str">
        <x:v>L3_analysis</x:v>
      </x:c>
      <x:c r="AT27" s="48" t="str">
        <x:v>multi_evidence_synthesis</x:v>
      </x:c>
      <x:c r="AU27" s="48" t="str">
        <x:v>basis_grounding</x:v>
      </x:c>
      <x:c r="AV27" s="48" t="str">
        <x:v>report_grounding；evidence_integration</x:v>
      </x:c>
      <x:c r="AW27" s="48" t="str">
        <x:v>high</x:v>
      </x:c>
      <x:c r="AX27" s="48" t="str">
        <x:v>high</x:v>
      </x:c>
      <x:c r="AY27" s="48" t="str">
        <x:v>report_plus_external</x:v>
      </x:c>
      <x:c r="AZ27" s="48" t="str">
        <x:v>True</x:v>
      </x:c>
      <x:c r="BA27" s="48"/>
      <x:c r="BB27" s="48" t="str">
        <x:v>auto_default</x:v>
      </x:c>
      <x:c r="BC27" s="48" t="str">
        <x:v>v1</x:v>
      </x:c>
      <x:c r="BD27" s="68"/>
    </x:row>
    <x:row r="28" ht="36" customHeight="1">
      <x:c r="A28" s="47" t="str">
        <x:v>2026-07-28</x:v>
      </x:c>
      <x:c r="B28" s="48" t="str">
        <x:v>PL018</x:v>
      </x:c>
      <x:c r="C28" s="48" t="str">
        <x:v>V01</x:v>
      </x:c>
      <x:c r="D28" s="48" t="str">
        <x:v>PL018_广东台塑智能科技有限公司新建项目_01_受理公告或公示版.pdf</x:v>
      </x:c>
      <x:c r="E28" s="48" t="str">
        <x:v>广东台塑智能科技有限公司新建项目</x:v>
      </x:c>
      <x:c r="F28" s="48" t="str">
        <x:v>PL018_EnvQuality_Q01</x:v>
      </x:c>
      <x:c r="G28" s="48" t="str">
        <x:v>大气及地表水环境质量现状数据引用</x:v>
      </x:c>
      <x:c r="H28" s="48" t="str">
        <x:v>请根据报告引用的环境质量公报及现状数据，判断大气和地表水环境质量现状数据引用是否准确。</x:v>
      </x:c>
      <x:c r="I28" s="48" t="str">
        <x:v>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x:v>
      </x:c>
      <x:c r="J28" s="48" t="str">
        <x:v>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x:v>
      </x:c>
      <x:c r="K28" s="48" t="str">
        <x:v>生态环境状况公报知识库; 收纳水体地表水执行标准</x:v>
      </x:c>
      <x:c r="L28" s="48" t="str">
        <x:v>2</x:v>
      </x:c>
      <x:c r="M28" s="48" t="str">
        <x:v>2</x:v>
      </x:c>
      <x:c r="N28" s="48" t="str">
        <x:v>False</x:v>
      </x:c>
      <x:c r="O28" s="48" t="str">
        <x:v>正确</x:v>
      </x:c>
      <x:c r="P28" s="48" t="str">
        <x:v>大气:正确; 地表水:正确; 报告日期:2024</x:v>
      </x:c>
      <x:c r="Q28" s="48"/>
      <x:c r="R28" s="48"/>
      <x:c r="S28" s="48" t="str">
        <x:v>是</x:v>
      </x:c>
      <x:c r="T28" s="48" t="str">
        <x:v>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x:v>
      </x:c>
      <x:c r="U28" s="48" t="str">
        <x:v>30个环评_大气及地表水环境质量现状数据引用复核QA</x:v>
      </x:c>
      <x:c r="V28" s="48" t="str">
        <x:v>环境质量数据引用</x:v>
      </x:c>
      <x:c r="W28" s="48" t="str">
        <x:v>正确</x:v>
      </x:c>
      <x:c r="X28" s="48" t="str">
        <x:v>无误</x:v>
      </x:c>
      <x:c r="Y28" s="64"/>
      <x:c r="Z28" s="64" t="str">
        <x:v>未复核</x:v>
      </x:c>
      <x:c r="AA28" s="64" t="str">
        <x:v>部分充分</x:v>
      </x:c>
      <x:c r="AB28" s="64" t="str">
        <x:v>有效</x:v>
      </x:c>
      <x:c r="AC28" s="64" t="str">
        <x:v>部分核验</x:v>
      </x:c>
      <x:c r="AD28" s="64" t="str">
        <x:v>自动默认</x:v>
      </x:c>
      <x:c r="AE28" s="64" t="str">
        <x:v>候选池</x:v>
      </x:c>
      <x:c r="AF28" s="64" t="str">
        <x:v>A_仅待终审</x:v>
      </x:c>
      <x:c r="AG28" s="64"/>
      <x:c r="AH28" s="64"/>
      <x:c r="AI28" s="64"/>
      <x:c r="AJ28" s="64"/>
      <x:c r="AK28" s="64"/>
      <x:c r="AL28" s="64"/>
      <x:c r="AM28" s="64"/>
      <x:c r="AN28" s="48" t="str">
        <x:v>87</x:v>
      </x:c>
      <x:c r="AO28" s="48" t="str">
        <x:v>MAP_正确</x:v>
      </x:c>
      <x:c r="AP28" s="48" t="str">
        <x:v>存在报告证据，但尚未经人工逐项核验；已列依据来源，但未在本阶段逐条核验</x:v>
      </x:c>
      <x:c r="AQ28" s="64"/>
      <x:c r="AR28" s="48" t="str">
        <x:v>environmental_quality_data</x:v>
      </x:c>
      <x:c r="AS28" s="48" t="str">
        <x:v>L3_analysis</x:v>
      </x:c>
      <x:c r="AT28" s="48" t="str">
        <x:v>consistency_comparison</x:v>
      </x:c>
      <x:c r="AU28" s="48" t="str">
        <x:v>evidence_integration</x:v>
      </x:c>
      <x:c r="AV28" s="48" t="str">
        <x:v>report_grounding；basis_grounding</x:v>
      </x:c>
      <x:c r="AW28" s="48" t="str">
        <x:v>high</x:v>
      </x:c>
      <x:c r="AX28" s="48" t="str">
        <x:v>high</x:v>
      </x:c>
      <x:c r="AY28" s="48" t="str">
        <x:v>report_plus_external</x:v>
      </x:c>
      <x:c r="AZ28" s="48" t="str">
        <x:v>True</x:v>
      </x:c>
      <x:c r="BA28" s="48"/>
      <x:c r="BB28" s="48" t="str">
        <x:v>auto_default</x:v>
      </x:c>
      <x:c r="BC28" s="48" t="str">
        <x:v>v1</x:v>
      </x:c>
      <x:c r="BD28" s="68"/>
    </x:row>
    <x:row r="29" ht="36" customHeight="1">
      <x:c r="A29" s="47" t="str">
        <x:v>2026-07-28</x:v>
      </x:c>
      <x:c r="B29" s="48" t="str">
        <x:v>PL019</x:v>
      </x:c>
      <x:c r="C29" s="48" t="str">
        <x:v>V01</x:v>
      </x:c>
      <x:c r="D29" s="48" t="str">
        <x:v>PL019_佛山市智龙科技有限公司迁扩建项目_01_受理公告或公示版.pdf</x:v>
      </x:c>
      <x:c r="E29" s="48" t="str">
        <x:v>佛山市智龙科技有限公司迁扩建项目</x:v>
      </x:c>
      <x:c r="F29" s="48" t="str">
        <x:v>PL019_EnvQuality_Q01</x:v>
      </x:c>
      <x:c r="G29" s="48" t="str">
        <x:v>大气及地表水环境质量现状数据引用</x:v>
      </x:c>
      <x:c r="H29" s="48" t="str">
        <x:v>请根据报告引用的环境质量公报及现状数据，判断大气和地表水环境质量现状数据引用是否准确。</x:v>
      </x:c>
      <x:c r="I29" s="48" t="str">
        <x:v>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x:v>
      </x:c>
      <x:c r="J29" s="48" t="str">
        <x:v>证据位置:大气：Page 41；地表水：Page 41; 大气公报:《2023年度佛山市顺德区生态环境状况公报》; 地表水资料:《2023年度佛山市顺德区生态环境状况公报》</x:v>
      </x:c>
      <x:c r="K29" s="48" t="str">
        <x:v>生态环境状况公报知识库; 收纳水体地表水执行标准</x:v>
      </x:c>
      <x:c r="L29" s="48" t="str">
        <x:v>2</x:v>
      </x:c>
      <x:c r="M29" s="48" t="str">
        <x:v>2</x:v>
      </x:c>
      <x:c r="N29" s="48" t="str">
        <x:v>False</x:v>
      </x:c>
      <x:c r="O29" s="48" t="str">
        <x:v>正确</x:v>
      </x:c>
      <x:c r="P29" s="48" t="str">
        <x:v>大气:正确; 地表水:正确; 报告日期:未明确</x:v>
      </x:c>
      <x:c r="Q29" s="48"/>
      <x:c r="R29" s="48"/>
      <x:c r="S29" s="48" t="str">
        <x:v>是</x:v>
      </x:c>
      <x:c r="T29" s="48" t="str">
        <x:v>CO第95百分位数：报告正文将CO单位标注为μg/m³，与公报mg/m³不符；但同页表格CO=1000(μg/m³语境)=1.0mg/m³与公报一致，达标结论未失真，属单位表述笔误。</x:v>
      </x:c>
      <x:c r="U29" s="48" t="str">
        <x:v>30个环评_大气及地表水环境质量现状数据引用复核QA</x:v>
      </x:c>
      <x:c r="V29" s="48" t="str">
        <x:v>环境质量数据引用</x:v>
      </x:c>
      <x:c r="W29" s="48" t="str">
        <x:v>正确</x:v>
      </x:c>
      <x:c r="X29" s="48" t="str">
        <x:v>无误</x:v>
      </x:c>
      <x:c r="Y29" s="64"/>
      <x:c r="Z29" s="64" t="str">
        <x:v>未复核</x:v>
      </x:c>
      <x:c r="AA29" s="64" t="str">
        <x:v>部分充分</x:v>
      </x:c>
      <x:c r="AB29" s="64" t="str">
        <x:v>有效</x:v>
      </x:c>
      <x:c r="AC29" s="64" t="str">
        <x:v>部分核验</x:v>
      </x:c>
      <x:c r="AD29" s="64" t="str">
        <x:v>自动默认</x:v>
      </x:c>
      <x:c r="AE29" s="64" t="str">
        <x:v>候选池</x:v>
      </x:c>
      <x:c r="AF29" s="64" t="str">
        <x:v>A_仅待终审</x:v>
      </x:c>
      <x:c r="AG29" s="64"/>
      <x:c r="AH29" s="64"/>
      <x:c r="AI29" s="64"/>
      <x:c r="AJ29" s="64"/>
      <x:c r="AK29" s="64"/>
      <x:c r="AL29" s="64"/>
      <x:c r="AM29" s="64"/>
      <x:c r="AN29" s="48" t="str">
        <x:v>94</x:v>
      </x:c>
      <x:c r="AO29" s="48" t="str">
        <x:v>MAP_正确</x:v>
      </x:c>
      <x:c r="AP29" s="48" t="str">
        <x:v>存在报告证据，但尚未经人工逐项核验；已列依据来源，但未在本阶段逐条核验</x:v>
      </x:c>
      <x:c r="AQ29" s="64"/>
      <x:c r="AR29" s="48" t="str">
        <x:v>environmental_quality_data</x:v>
      </x:c>
      <x:c r="AS29" s="48" t="str">
        <x:v>L3_analysis</x:v>
      </x:c>
      <x:c r="AT29" s="48" t="str">
        <x:v>consistency_comparison</x:v>
      </x:c>
      <x:c r="AU29" s="48" t="str">
        <x:v>evidence_integration</x:v>
      </x:c>
      <x:c r="AV29" s="48" t="str">
        <x:v>report_grounding；basis_grounding</x:v>
      </x:c>
      <x:c r="AW29" s="48" t="str">
        <x:v>high</x:v>
      </x:c>
      <x:c r="AX29" s="48" t="str">
        <x:v>high</x:v>
      </x:c>
      <x:c r="AY29" s="48" t="str">
        <x:v>report_plus_external</x:v>
      </x:c>
      <x:c r="AZ29" s="48" t="str">
        <x:v>True</x:v>
      </x:c>
      <x:c r="BA29" s="48"/>
      <x:c r="BB29" s="48" t="str">
        <x:v>auto_default</x:v>
      </x:c>
      <x:c r="BC29" s="48" t="str">
        <x:v>v1</x:v>
      </x:c>
      <x:c r="BD29" s="68"/>
    </x:row>
    <x:row r="30" ht="36" customHeight="1">
      <x:c r="A30" s="47" t="str">
        <x:v>2026-07-28</x:v>
      </x:c>
      <x:c r="B30" s="48" t="str">
        <x:v>PL020</x:v>
      </x:c>
      <x:c r="C30" s="48" t="str">
        <x:v>V01</x:v>
      </x:c>
      <x:c r="D30" s="48" t="str">
        <x:v>PL020_佛山市朗信塑料制品有限公司新建项目_01_受理公告或公示版.pdf</x:v>
      </x:c>
      <x:c r="E30" s="48" t="str">
        <x:v>佛山市朗信塑料制品有限公司新建项目</x:v>
      </x:c>
      <x:c r="F30" s="48" t="str">
        <x:v>PL020_EnvQuality_Q01</x:v>
      </x:c>
      <x:c r="G30" s="48" t="str">
        <x:v>大气及地表水环境质量现状数据引用</x:v>
      </x:c>
      <x:c r="H30" s="48" t="str">
        <x:v>请根据报告引用的环境质量公报及现状数据，判断大气和地表水环境质量现状数据引用是否准确。</x:v>
      </x:c>
      <x:c r="I30" s="48" t="str">
        <x:v>1、大气及地表水环境质量引用数据正确；
2、项目大气环境质量引用《2023年度佛山市顺德区生态环境状况公报》。环评对大气环境质量分析内容与《2023年度佛山市顺德区生态环境状况公报》中大气环境状况描述一致，报告引用2023年度SO2、NO2、PM10、PM2.5年平均浓度数据与公报一致（SO2为6μg/m³、NO2为28μg/m³、PM10为35μg/m³、PM2.5为20μg/m³）。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报告引用顺德支流水质评价结果与公报一致（顺德支流新涌、飞鹅山断面均为Ⅲ类）。项目污水处理厂为勒流污水处理厂，尾水受纳河道为顺德支流，执行标准为III类，与官方登记一致。</x:v>
      </x:c>
      <x:c r="J30" s="48" t="str">
        <x:v>证据位置:大气：报告引用佛环顺函〔2024〕44号《2023年度佛山市顺德区生态环境状况公报》（约第1592-1596行），报告称“顺德区2023年SO2、NO2、PM10、PM2.5年平均”浓度数据；地表水：报告引用佛环顺函〔2024〕44号（约第1664-1691行），勒流污水处理厂尾水排入顺德支流; 大气公报:《2023年度佛山市顺德区生态环境状况公报》; 地表水资料:《2023年度佛山市顺德区生态环境状况公报》</x:v>
      </x:c>
      <x:c r="K30" s="48" t="str">
        <x:v>生态环境状况公报知识库; 收纳水体地表水执行标准</x:v>
      </x:c>
      <x:c r="L30" s="48" t="str">
        <x:v>2</x:v>
      </x:c>
      <x:c r="M30" s="48" t="str">
        <x:v>2</x:v>
      </x:c>
      <x:c r="N30" s="48" t="str">
        <x:v>False</x:v>
      </x:c>
      <x:c r="O30" s="48" t="str">
        <x:v>正确</x:v>
      </x:c>
      <x:c r="P30" s="48" t="str">
        <x:v>大气:正确; 地表水:正确; 报告日期:2024</x:v>
      </x:c>
      <x:c r="Q30" s="48"/>
      <x:c r="R30" s="48"/>
      <x:c r="S30" s="48" t="str">
        <x:v>是</x:v>
      </x:c>
      <x:c r="T30" s="48" t="str">
        <x:v>无。报告引用2023年度公报（佛环顺函〔2024〕44号），发布日期2024-03-26早于报告日期，2023年度数据在近3年窗口内。大气分析内容引用SO2、NO2、PM10、PM2.5年平均浓度与公报一致；地表水分析引用顺德支流水质评价结果与公报一致，勒流污水处理厂尾水受纳河道（顺德支流）及执行标准（III类）与官方登记一致。</x:v>
      </x:c>
      <x:c r="U30" s="48" t="str">
        <x:v>30个环评_大气及地表水环境质量现状数据引用复核QA</x:v>
      </x:c>
      <x:c r="V30" s="48" t="str">
        <x:v>环境质量数据引用</x:v>
      </x:c>
      <x:c r="W30" s="48" t="str">
        <x:v>正确</x:v>
      </x:c>
      <x:c r="X30" s="48" t="str">
        <x:v>无误</x:v>
      </x:c>
      <x:c r="Y30" s="64"/>
      <x:c r="Z30" s="64" t="str">
        <x:v>未复核</x:v>
      </x:c>
      <x:c r="AA30" s="64" t="str">
        <x:v>部分充分</x:v>
      </x:c>
      <x:c r="AB30" s="64" t="str">
        <x:v>有效</x:v>
      </x:c>
      <x:c r="AC30" s="64" t="str">
        <x:v>部分核验</x:v>
      </x:c>
      <x:c r="AD30" s="64" t="str">
        <x:v>自动默认</x:v>
      </x:c>
      <x:c r="AE30" s="64" t="str">
        <x:v>候选池</x:v>
      </x:c>
      <x:c r="AF30" s="64" t="str">
        <x:v>A_仅待终审</x:v>
      </x:c>
      <x:c r="AG30" s="64"/>
      <x:c r="AH30" s="64"/>
      <x:c r="AI30" s="64"/>
      <x:c r="AJ30" s="64"/>
      <x:c r="AK30" s="64"/>
      <x:c r="AL30" s="64"/>
      <x:c r="AM30" s="64"/>
      <x:c r="AN30" s="48" t="str">
        <x:v>101</x:v>
      </x:c>
      <x:c r="AO30" s="48" t="str">
        <x:v>MAP_正确</x:v>
      </x:c>
      <x:c r="AP30" s="48" t="str">
        <x:v>存在报告证据，但尚未经人工逐项核验；已列依据来源，但未在本阶段逐条核验</x:v>
      </x:c>
      <x:c r="AQ30" s="64"/>
      <x:c r="AR30" s="48" t="str">
        <x:v>environmental_quality_data</x:v>
      </x:c>
      <x:c r="AS30" s="48" t="str">
        <x:v>L3_analysis</x:v>
      </x:c>
      <x:c r="AT30" s="48" t="str">
        <x:v>consistency_comparison</x:v>
      </x:c>
      <x:c r="AU30" s="48" t="str">
        <x:v>evidence_integration</x:v>
      </x:c>
      <x:c r="AV30" s="48" t="str">
        <x:v>report_grounding；basis_grounding</x:v>
      </x:c>
      <x:c r="AW30" s="48" t="str">
        <x:v>high</x:v>
      </x:c>
      <x:c r="AX30" s="48" t="str">
        <x:v>high</x:v>
      </x:c>
      <x:c r="AY30" s="48" t="str">
        <x:v>report_plus_external</x:v>
      </x:c>
      <x:c r="AZ30" s="48" t="str">
        <x:v>True</x:v>
      </x:c>
      <x:c r="BA30" s="48"/>
      <x:c r="BB30" s="48" t="str">
        <x:v>auto_default</x:v>
      </x:c>
      <x:c r="BC30" s="48" t="str">
        <x:v>v1</x:v>
      </x:c>
      <x:c r="BD30" s="68"/>
    </x:row>
    <x:row r="31" ht="36" customHeight="1">
      <x:c r="A31" s="47" t="str">
        <x:v>2026-07-27</x:v>
      </x:c>
      <x:c r="B31" s="48" t="str">
        <x:v>PL020</x:v>
      </x:c>
      <x:c r="C31" s="48" t="str">
        <x:v>V01</x:v>
      </x:c>
      <x:c r="D31" s="48" t="str">
        <x:v>PL020_佛山市朗信塑料制品有限公司新建项目_01_受理公告或公示版.pdf</x:v>
      </x:c>
      <x:c r="E31" s="48" t="str">
        <x:v>佛山市朗信塑料制品有限公司新建项目</x:v>
      </x:c>
      <x:c r="F31" s="48" t="str">
        <x:v>PL020_Emission_水污</x:v>
      </x:c>
      <x:c r="G31" s="48" t="str">
        <x:v>污染物排放标准-水污染物排放标准</x:v>
      </x:c>
      <x:c r="H3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1" s="48" t="str">
        <x:v>1、水污染物排放标准中生活污水排放执行标准：存在缺漏；
2、水污染物排放标准结论的过程分析内容：存在缺漏。报告仅提到勒流污水处理厂尾水执行《城镇污水处理厂污染物排放标准》（GB18918-2002）一级A标准及《广东省水污染物排放限值》（DB44/26-2001）的较严值，但未明确企业生活污水排口执行的预处理标准（应为DB44/26-2001第二时段三级标准，COD≤500mg/L、BOD5≤300mg/L、SS≤400mg/L）。间接冷却水作为清净下水排放至雨水管网，亦未引用相关排放标准。企业排口标准与污水处理厂尾水标准应分别编制，报告缺少企业排口标准。
2、</x:v>
      </x:c>
      <x:c r="J31" s="48" t="str">
        <x:v>1、水："尾水应执行《城镇污水处理厂污染物排放标准》（GB18918-2002）一级A标准及《广东省水污染物排放限值》（DB44/26-2001）的较严值。""生活污水经三级化粪池预处理后引至勒流污水处理厂进一步处理，废水排放方式为间接排放。注塑机的间接冷却水作为清净下水定期排至市政雨水管网。"</x:v>
      </x:c>
      <x:c r="K31" s="48" t="str">
        <x:v>emission-standard-kb.jsonl; DB44/26-2001; DB44/2367-2022; GB31572-2015; GB14554-93; GB12348-2008; GB18597-2023; GB18599-2020</x:v>
      </x:c>
      <x:c r="L31" s="48" t="str">
        <x:v>2</x:v>
      </x:c>
      <x:c r="M31" s="48" t="str">
        <x:v>2</x:v>
      </x:c>
      <x:c r="N31" s="48" t="str">
        <x:v>False</x:v>
      </x:c>
      <x:c r="O31" s="48" t="str">
        <x:v>存在缺漏</x:v>
      </x:c>
      <x:c r="P31"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31" s="48"/>
      <x:c r="R31" s="48"/>
      <x:c r="S31" s="48" t="str">
        <x:v>是</x:v>
      </x:c>
      <x:c r="T31" s="48" t="str">
        <x:v>原综合排放标准问答对拆分而来</x:v>
      </x:c>
      <x:c r="U31" s="48" t="str">
        <x:v>30份环评_污染物排放控制执行标准复核QA(拆分版)</x:v>
      </x:c>
      <x:c r="V31" s="48" t="str">
        <x:v>水污染物排放标准</x:v>
      </x:c>
      <x:c r="W31" s="48" t="str">
        <x:v>存在缺漏</x:v>
      </x:c>
      <x:c r="X31" s="48" t="str">
        <x:v>存在缺漏</x:v>
      </x:c>
      <x:c r="Y31" s="64"/>
      <x:c r="Z31" s="64" t="str">
        <x:v>未复核</x:v>
      </x:c>
      <x:c r="AA31" s="64" t="str">
        <x:v>部分充分</x:v>
      </x:c>
      <x:c r="AB31" s="64" t="str">
        <x:v>有效</x:v>
      </x:c>
      <x:c r="AC31" s="64" t="str">
        <x:v>部分核验</x:v>
      </x:c>
      <x:c r="AD31" s="64" t="str">
        <x:v>自动默认</x:v>
      </x:c>
      <x:c r="AE31" s="64" t="str">
        <x:v>候选池</x:v>
      </x:c>
      <x:c r="AF31" s="64" t="str">
        <x:v>A_仅待终审</x:v>
      </x:c>
      <x:c r="AG31" s="64"/>
      <x:c r="AH31" s="64"/>
      <x:c r="AI31" s="64"/>
      <x:c r="AJ31" s="64"/>
      <x:c r="AK31" s="64"/>
      <x:c r="AL31" s="64"/>
      <x:c r="AM31" s="64"/>
      <x:c r="AN31" s="48" t="str">
        <x:v>102</x:v>
      </x:c>
      <x:c r="AO31" s="48" t="str">
        <x:v>MAP_存在缺漏</x:v>
      </x:c>
      <x:c r="AP31" s="48" t="str">
        <x:v>存在报告证据，但尚未经人工逐项核验；已列依据来源，但未在本阶段逐条核验</x:v>
      </x:c>
      <x:c r="AQ31" s="64"/>
      <x:c r="AR31" s="48" t="str">
        <x:v>water_emission_standard</x:v>
      </x:c>
      <x:c r="AS31" s="48" t="str">
        <x:v>L3_analysis</x:v>
      </x:c>
      <x:c r="AT31" s="48" t="str">
        <x:v>rule_applicability</x:v>
      </x:c>
      <x:c r="AU31" s="48" t="str">
        <x:v>basis_grounding</x:v>
      </x:c>
      <x:c r="AV31" s="48" t="str">
        <x:v>report_grounding；procedural_reasoning</x:v>
      </x:c>
      <x:c r="AW31" s="48" t="str">
        <x:v>high</x:v>
      </x:c>
      <x:c r="AX31" s="48" t="str">
        <x:v>high</x:v>
      </x:c>
      <x:c r="AY31" s="48" t="str">
        <x:v>report_plus_external</x:v>
      </x:c>
      <x:c r="AZ31" s="48" t="str">
        <x:v>True</x:v>
      </x:c>
      <x:c r="BA31" s="48"/>
      <x:c r="BB31" s="48" t="str">
        <x:v>auto_default</x:v>
      </x:c>
      <x:c r="BC31" s="48" t="str">
        <x:v>v1</x:v>
      </x:c>
      <x:c r="BD31" s="68"/>
    </x:row>
    <x:row r="32" ht="36" customHeight="1">
      <x:c r="A32" s="47" t="str">
        <x:v>2026-07-27</x:v>
      </x:c>
      <x:c r="B32" s="48" t="str">
        <x:v>PL020</x:v>
      </x:c>
      <x:c r="C32" s="48" t="str">
        <x:v>V01</x:v>
      </x:c>
      <x:c r="D32" s="48" t="str">
        <x:v>PL020_佛山市朗信塑料制品有限公司新建项目_01_受理公告或公示版.pdf</x:v>
      </x:c>
      <x:c r="E32" s="48" t="str">
        <x:v>佛山市朗信塑料制品有限公司新建项目</x:v>
      </x:c>
      <x:c r="F32" s="48" t="str">
        <x:v>PL020_Emission_大气</x:v>
      </x:c>
      <x:c r="G32" s="48" t="str">
        <x:v>污染物排放标准-大气污染物排放标准</x:v>
      </x:c>
      <x:c r="H32" s="48" t="str">
        <x:v>请根据项目行业类别、生产工艺和污染因子，判断大气污染物排放标准选取是否合理。要求分析：污染源覆盖是否完整（列出所有大气污染源及对应标准），是否存在缺漏的污染源或标准。</x:v>
      </x:c>
      <x:c r="I32" s="48" t="str">
        <x:v>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VOCs无组织排放引用DB44/2367-2022表3限值（1h平均≤6mg/m³，任意一次≤20mg/m³），与知识库一致。但存在以下缺漏：（1）臭气浓度为注塑工序产污因子之一，但报告未引用《恶臭污染物排放标准》（GB14554-93）表2排气筒排放标准值和表1厂界标准值；（2）破碎粉尘和混料粉尘以无组织形式排放，但排放标准章节未明确引用DB44/27-2001第二时段无组织排放监控浓度限值（仅在政策相符性分析表中提及DB44/27-2001第Ⅱ时段，且标准编号缺少斜杠写为DB4427-2001）；（3）企业边界大气污染物浓度限值（GB31572-2015表9）未引用。
3、</x:v>
      </x:c>
      <x:c r="J32" s="48" t="str">
        <x:v>2、大气："本项目非甲烷总烃有组织排放可满足《合成树脂工业污染物排放标准》（GB31572-2015，含2024年修改单）中表4大气污染物排放限值要求。""有机废气厂区内无组织排放满足小时平均浓度值不超过6mg/m3，任意一次浓度值不超过20mg/m3。"政策相符性表中提及"有机废气排气筒排放浓度不高于广东省《大气污染物排放限值》（DB4427-2001）第Ⅱ时段排放限值"。</x:v>
      </x:c>
      <x:c r="K32" s="48" t="str">
        <x:v>emission-standard-kb.jsonl; DB44/26-2001; DB44/2367-2022; GB31572-2015; GB14554-93; GB12348-2008; GB18597-2023; GB18599-2020</x:v>
      </x:c>
      <x:c r="L32" s="48" t="str">
        <x:v>2</x:v>
      </x:c>
      <x:c r="M32" s="48" t="str">
        <x:v>2</x:v>
      </x:c>
      <x:c r="N32" s="48" t="str">
        <x:v>False</x:v>
      </x:c>
      <x:c r="O32" s="48" t="str">
        <x:v>存在缺漏</x:v>
      </x:c>
      <x:c r="P32"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32" s="48"/>
      <x:c r="R32" s="48"/>
      <x:c r="S32" s="48" t="str">
        <x:v>是</x:v>
      </x:c>
      <x:c r="T32" s="48" t="str">
        <x:v>原综合排放标准问答对拆分而来</x:v>
      </x:c>
      <x:c r="U32" s="48" t="str">
        <x:v>30份环评_污染物排放控制执行标准复核QA(拆分版)</x:v>
      </x:c>
      <x:c r="V32" s="48" t="str">
        <x:v>大气污染物排放标准</x:v>
      </x:c>
      <x:c r="W32" s="48" t="str">
        <x:v>存在缺漏</x:v>
      </x:c>
      <x:c r="X32" s="48" t="str">
        <x:v>存在缺漏</x:v>
      </x:c>
      <x:c r="Y32" s="64"/>
      <x:c r="Z32" s="64" t="str">
        <x:v>未复核</x:v>
      </x:c>
      <x:c r="AA32" s="64" t="str">
        <x:v>部分充分</x:v>
      </x:c>
      <x:c r="AB32" s="64" t="str">
        <x:v>有效</x:v>
      </x:c>
      <x:c r="AC32" s="64" t="str">
        <x:v>部分核验</x:v>
      </x:c>
      <x:c r="AD32" s="64" t="str">
        <x:v>自动默认</x:v>
      </x:c>
      <x:c r="AE32" s="64" t="str">
        <x:v>候选池</x:v>
      </x:c>
      <x:c r="AF32" s="64" t="str">
        <x:v>A_仅待终审</x:v>
      </x:c>
      <x:c r="AG32" s="64"/>
      <x:c r="AH32" s="64"/>
      <x:c r="AI32" s="64"/>
      <x:c r="AJ32" s="64"/>
      <x:c r="AK32" s="64"/>
      <x:c r="AL32" s="64"/>
      <x:c r="AM32" s="64"/>
      <x:c r="AN32" s="48" t="str">
        <x:v>103</x:v>
      </x:c>
      <x:c r="AO32" s="48" t="str">
        <x:v>MAP_存在缺漏</x:v>
      </x:c>
      <x:c r="AP32" s="48" t="str">
        <x:v>存在报告证据，但尚未经人工逐项核验；已列依据来源，但未在本阶段逐条核验</x:v>
      </x:c>
      <x:c r="AQ32" s="64"/>
      <x:c r="AR32" s="48" t="str">
        <x:v>air_emission_standard</x:v>
      </x:c>
      <x:c r="AS32" s="48" t="str">
        <x:v>L3_analysis</x:v>
      </x:c>
      <x:c r="AT32" s="48" t="str">
        <x:v>multi_evidence_synthesis</x:v>
      </x:c>
      <x:c r="AU32" s="48" t="str">
        <x:v>basis_grounding</x:v>
      </x:c>
      <x:c r="AV32" s="48" t="str">
        <x:v>report_grounding；evidence_integration</x:v>
      </x:c>
      <x:c r="AW32" s="48" t="str">
        <x:v>high</x:v>
      </x:c>
      <x:c r="AX32" s="48" t="str">
        <x:v>high</x:v>
      </x:c>
      <x:c r="AY32" s="48" t="str">
        <x:v>report_plus_external</x:v>
      </x:c>
      <x:c r="AZ32" s="48" t="str">
        <x:v>True</x:v>
      </x:c>
      <x:c r="BA32" s="48"/>
      <x:c r="BB32" s="48" t="str">
        <x:v>auto_default</x:v>
      </x:c>
      <x:c r="BC32" s="48" t="str">
        <x:v>v1</x:v>
      </x:c>
      <x:c r="BD32" s="68"/>
    </x:row>
    <x:row r="33" ht="36" customHeight="1">
      <x:c r="A33" s="47" t="str">
        <x:v>2026-07-27</x:v>
      </x:c>
      <x:c r="B33" s="48" t="str">
        <x:v>PL020</x:v>
      </x:c>
      <x:c r="C33" s="48" t="str">
        <x:v>V01</x:v>
      </x:c>
      <x:c r="D33" s="48" t="str">
        <x:v>PL020_佛山市朗信塑料制品有限公司新建项目_01_受理公告或公示版.pdf</x:v>
      </x:c>
      <x:c r="E33" s="48" t="str">
        <x:v>佛山市朗信塑料制品有限公司新建项目</x:v>
      </x:c>
      <x:c r="F33" s="48" t="str">
        <x:v>PL020_Emission_噪声</x:v>
      </x:c>
      <x:c r="G33" s="48" t="str">
        <x:v>污染物排放标准-噪声排放标准</x:v>
      </x:c>
      <x:c r="H33" s="48" t="str">
        <x:v>请根据项目所属声环境功能区类别，判断噪声排放标准选取是否合理。要求总结声功能区类型、厂界执行标准（GB12348-2008）及昼夜限值，并与环评编制内容进行一致性分析。</x:v>
      </x:c>
      <x:c r="I33" s="48" t="str">
        <x:v>1、噪声排放标准中执行标准与排放限值内容：存在缺漏；
2、存在缺漏。提取文本中未发现噪声排放标准章节，未引用《工业企业厂界环境噪声排放标准》（GB12348-2008），未给出声功能区类别及昼夜限值。
4、</x:v>
      </x:c>
      <x:c r="J33" s="48" t="str">
        <x:v>3、噪声：提取文本中未发现噪声排放标准相关内容。
4、固体废物："一般固体废物收集后交由资源回收公司回收，危险废物交由有危险废物处理资质的单位收集处置。"未引用具体标准编号。</x:v>
      </x:c>
      <x:c r="K33" s="48" t="str">
        <x:v>emission-standard-kb.jsonl; DB44/26-2001; DB44/2367-2022; GB31572-2015; GB14554-93; GB12348-2008; GB18597-2023; GB18599-2020</x:v>
      </x:c>
      <x:c r="L33" s="48" t="str">
        <x:v>2</x:v>
      </x:c>
      <x:c r="M33" s="48" t="str">
        <x:v>2</x:v>
      </x:c>
      <x:c r="N33" s="48" t="str">
        <x:v>False</x:v>
      </x:c>
      <x:c r="O33" s="48" t="str">
        <x:v>存在缺漏</x:v>
      </x:c>
      <x:c r="P33"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33" s="48"/>
      <x:c r="R33" s="48"/>
      <x:c r="S33" s="48" t="str">
        <x:v>是</x:v>
      </x:c>
      <x:c r="T33" s="48" t="str">
        <x:v>原综合排放标准问答对拆分而来</x:v>
      </x:c>
      <x:c r="U33" s="48" t="str">
        <x:v>30份环评_污染物排放控制执行标准复核QA(拆分版)</x:v>
      </x:c>
      <x:c r="V33" s="48" t="str">
        <x:v>噪声排放标准</x:v>
      </x:c>
      <x:c r="W33" s="48" t="str">
        <x:v>存在缺漏</x:v>
      </x:c>
      <x:c r="X33" s="48" t="str">
        <x:v>存在缺漏</x:v>
      </x:c>
      <x:c r="Y33" s="64"/>
      <x:c r="Z33" s="64" t="str">
        <x:v>未复核</x:v>
      </x:c>
      <x:c r="AA33" s="64" t="str">
        <x:v>部分充分</x:v>
      </x:c>
      <x:c r="AB33" s="64" t="str">
        <x:v>有效</x:v>
      </x:c>
      <x:c r="AC33" s="64" t="str">
        <x:v>部分核验</x:v>
      </x:c>
      <x:c r="AD33" s="64" t="str">
        <x:v>自动默认</x:v>
      </x:c>
      <x:c r="AE33" s="64" t="str">
        <x:v>候选池</x:v>
      </x:c>
      <x:c r="AF33" s="64" t="str">
        <x:v>A_仅待终审</x:v>
      </x:c>
      <x:c r="AG33" s="64"/>
      <x:c r="AH33" s="64"/>
      <x:c r="AI33" s="64"/>
      <x:c r="AJ33" s="64"/>
      <x:c r="AK33" s="64"/>
      <x:c r="AL33" s="64"/>
      <x:c r="AM33" s="64"/>
      <x:c r="AN33" s="48" t="str">
        <x:v>104</x:v>
      </x:c>
      <x:c r="AO33" s="48" t="str">
        <x:v>MAP_存在缺漏</x:v>
      </x:c>
      <x:c r="AP33" s="48" t="str">
        <x:v>存在报告证据，但尚未经人工逐项核验；已列依据来源，但未在本阶段逐条核验</x:v>
      </x:c>
      <x:c r="AQ33" s="64"/>
      <x:c r="AR33" s="48" t="str">
        <x:v>noise_emission_standard</x:v>
      </x:c>
      <x:c r="AS33" s="48" t="str">
        <x:v>L2_application</x:v>
      </x:c>
      <x:c r="AT33" s="48" t="str">
        <x:v>rule_applicability</x:v>
      </x:c>
      <x:c r="AU33" s="48" t="str">
        <x:v>basis_grounding</x:v>
      </x:c>
      <x:c r="AV33" s="48" t="str">
        <x:v>report_grounding</x:v>
      </x:c>
      <x:c r="AW33" s="48" t="str">
        <x:v>high</x:v>
      </x:c>
      <x:c r="AX33" s="48" t="str">
        <x:v>medium</x:v>
      </x:c>
      <x:c r="AY33" s="48" t="str">
        <x:v>report_plus_external</x:v>
      </x:c>
      <x:c r="AZ33" s="48" t="str">
        <x:v>True</x:v>
      </x:c>
      <x:c r="BA33" s="48"/>
      <x:c r="BB33" s="48" t="str">
        <x:v>auto_default</x:v>
      </x:c>
      <x:c r="BC33" s="48" t="str">
        <x:v>v1</x:v>
      </x:c>
      <x:c r="BD33" s="68"/>
    </x:row>
    <x:row r="34" ht="36" customHeight="1">
      <x:c r="A34" s="47" t="str">
        <x:v>2026-07-28</x:v>
      </x:c>
      <x:c r="B34" s="48" t="str">
        <x:v>PL021</x:v>
      </x:c>
      <x:c r="C34" s="48" t="str">
        <x:v>V01</x:v>
      </x:c>
      <x:c r="D34" s="48" t="str">
        <x:v>PL021_佛山市顺德区共诺电子元件厂搬迁项目_01_受理公告或公示版.pdf</x:v>
      </x:c>
      <x:c r="E34" s="48" t="str">
        <x:v>佛山市顺德区共诺电子元件厂搬迁项目</x:v>
      </x:c>
      <x:c r="F34" s="48" t="str">
        <x:v>PL021_EnvQuality_Q01</x:v>
      </x:c>
      <x:c r="G34" s="48" t="str">
        <x:v>大气及地表水环境质量现状数据引用</x:v>
      </x:c>
      <x:c r="H34" s="48" t="str">
        <x:v>请根据报告引用的环境质量公报及现状数据，判断大气和地表水环境质量现状数据引用是否准确。</x:v>
      </x:c>
      <x:c r="I34" s="48" t="str">
        <x:v>1、地表水环境质量引用数据不正确，污水处理厂受纳水体与官方登记不一致；
2、项目大气环境质量引用《2023年度佛山市顺德区生态环境状况公报》。环评对大气环境质量分析内容与《2023年度佛山市顺德区生态环境状况公报》中大气环境状况描述一致，报告指出根据2023年顺德区大气环境质量状况公报，O3浓度超过《环境空气质量标准》，与公报中“O3超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大门污水处理厂，报告称尾水受纳河道为顺德支流，与官方登记的受纳水体桂洲水道不一致，正确受纳水体应为桂洲水道。</x:v>
      </x:c>
      <x:c r="J34" s="48" t="str">
        <x:v>证据位置:大气：报告引用佛环顺函〔2024〕44号《2023年度佛山市顺德区生态环境状况公报》（约第1497-1537行），报告称“根据2023年顺德区的大气环境质量状况公报，O3浓度超过了《环境空气质量标准》”；地表水：报告引用佛环顺函〔2024〕44号（约第1541-1654行），大门污水处理厂尾水排至顺德支流; 大气公报:《2023年度佛山市顺德区生态环境状况公报》; 地表水资料:《2023年度佛山市顺德区生态环境状况公报》</x:v>
      </x:c>
      <x:c r="K34" s="48" t="str">
        <x:v>生态环境状况公报知识库; 收纳水体地表水执行标准</x:v>
      </x:c>
      <x:c r="L34" s="48" t="str">
        <x:v>2</x:v>
      </x:c>
      <x:c r="M34" s="48" t="str">
        <x:v>2</x:v>
      </x:c>
      <x:c r="N34" s="48" t="str">
        <x:v>False</x:v>
      </x:c>
      <x:c r="O34" s="48" t="str">
        <x:v>不正确</x:v>
      </x:c>
      <x:c r="P34" s="48" t="str">
        <x:v>大气:正确; 地表水:不正确; 报告日期:2024</x:v>
      </x:c>
      <x:c r="Q34" s="48"/>
      <x:c r="R34" s="48"/>
      <x:c r="S34" s="48" t="str">
        <x:v>是</x:v>
      </x:c>
      <x:c r="T34" s="48" t="str">
        <x:v>报告称大门污水处理厂尾水受纳河道为顺德支流（见报告第666、763、1541、1654、1738、1786、2328行等处），但官方登记的大门污水处理厂受纳水体为桂洲水道，受纳水体不一致。大气环境质量引用2023年度公报（佛环顺函〔2024〕44号）在近3年窗口内且分析内容与公报一致，大气判定正确。</x:v>
      </x:c>
      <x:c r="U34" s="48" t="str">
        <x:v>30个环评_大气及地表水环境质量现状数据引用复核QA</x:v>
      </x:c>
      <x:c r="V34" s="48" t="str">
        <x:v>环境质量数据引用</x:v>
      </x:c>
      <x:c r="W34" s="48" t="str">
        <x:v>不正确</x:v>
      </x:c>
      <x:c r="X34" s="48" t="str">
        <x:v>待判断</x:v>
      </x:c>
      <x:c r="Y34" s="64"/>
      <x:c r="Z34" s="64" t="str">
        <x:v>未复核</x:v>
      </x:c>
      <x:c r="AA34" s="64" t="str">
        <x:v>部分充分</x:v>
      </x:c>
      <x:c r="AB34" s="64" t="str">
        <x:v>有效</x:v>
      </x:c>
      <x:c r="AC34" s="64" t="str">
        <x:v>部分核验</x:v>
      </x:c>
      <x:c r="AD34" s="64" t="str">
        <x:v>自动默认</x:v>
      </x:c>
      <x:c r="AE34" s="64" t="str">
        <x:v>候选池</x:v>
      </x:c>
      <x:c r="AF34" s="64" t="str">
        <x:v>A_仅待终审</x:v>
      </x:c>
      <x:c r="AG34" s="64"/>
      <x:c r="AH34" s="64"/>
      <x:c r="AI34" s="64"/>
      <x:c r="AJ34" s="64"/>
      <x:c r="AK34" s="64"/>
      <x:c r="AL34" s="64"/>
      <x:c r="AM34" s="64"/>
      <x:c r="AN34" s="48" t="str">
        <x:v>108</x:v>
      </x:c>
      <x:c r="AO34" s="48" t="str">
        <x:v>MAP_不正确</x:v>
      </x:c>
      <x:c r="AP34" s="48" t="str">
        <x:v>需人工区分存在错误或存在缺漏；存在报告证据，但尚未经人工逐项核验；已列依据来源，但未在本阶段逐条核验</x:v>
      </x:c>
      <x:c r="AQ34" s="64"/>
      <x:c r="AR34" s="48" t="str">
        <x:v>environmental_quality_data</x:v>
      </x:c>
      <x:c r="AS34" s="48" t="str">
        <x:v>L3_analysis</x:v>
      </x:c>
      <x:c r="AT34" s="48" t="str">
        <x:v>consistency_comparison</x:v>
      </x:c>
      <x:c r="AU34" s="48" t="str">
        <x:v>evidence_integration</x:v>
      </x:c>
      <x:c r="AV34" s="48" t="str">
        <x:v>report_grounding；basis_grounding</x:v>
      </x:c>
      <x:c r="AW34" s="48" t="str">
        <x:v>high</x:v>
      </x:c>
      <x:c r="AX34" s="48" t="str">
        <x:v>high</x:v>
      </x:c>
      <x:c r="AY34" s="48" t="str">
        <x:v>report_plus_external</x:v>
      </x:c>
      <x:c r="AZ34" s="48" t="str">
        <x:v>True</x:v>
      </x:c>
      <x:c r="BA34" s="48"/>
      <x:c r="BB34" s="48" t="str">
        <x:v>auto_default</x:v>
      </x:c>
      <x:c r="BC34" s="48" t="str">
        <x:v>v1</x:v>
      </x:c>
      <x:c r="BD34" s="68"/>
    </x:row>
    <x:row r="35" ht="36" customHeight="1">
      <x:c r="A35" s="47" t="str">
        <x:v>2026-07-27</x:v>
      </x:c>
      <x:c r="B35" s="48" t="str">
        <x:v>PL021</x:v>
      </x:c>
      <x:c r="C35" s="48" t="str">
        <x:v>V01</x:v>
      </x:c>
      <x:c r="D35" s="48" t="str">
        <x:v>PL021_佛山市顺德区共诺电子元件厂搬迁项目_01_受理公告或公示版.pdf</x:v>
      </x:c>
      <x:c r="E35" s="48" t="str">
        <x:v>佛山市顺德区共诺电子元件厂搬迁项目</x:v>
      </x:c>
      <x:c r="F35" s="48" t="str">
        <x:v>PL021_Emission_水污</x:v>
      </x:c>
      <x:c r="G35" s="48" t="str">
        <x:v>污染物排放标准-水污染物排放标准</x:v>
      </x:c>
      <x:c r="H3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5" s="48" t="str">
        <x:v>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尾水排至顺德支流，与知识库一致。但搬迁后企业生活污水排口执行的预处理标准（DB44/26-2001第二时段三级标准）未在提取文本中明确引用。搬迁前项目生活污水近期经独立处理设施达到GB18918-2002二级标准后排入光华基围涌，搬迁后改为纳管排放，企业排口标准应更新为DB44/26-2001第二时段三级标准。
2、</x:v>
      </x:c>
      <x:c r="J35" s="48" t="str">
        <x:v>1、水："尾水执行《城镇污水处理厂污染物排放标准》（GB18918-2002）一级A标准及《广东省水污染物排放限值》（DB44/26-2001）的较严值。""生活污水经三级化粪预处理后通过市政管道排入大门污水处理厂处理，尾水排至顺德支流。"</x:v>
      </x:c>
      <x:c r="K35" s="48" t="str">
        <x:v>emission-standard-kb.jsonl; DB44/26-2001; DB44/2367-2022; GB31572-2015; GB14554-93; GB12348-2008; GB18597-2023; GB18599-2020</x:v>
      </x:c>
      <x:c r="L35" s="48" t="str">
        <x:v>2</x:v>
      </x:c>
      <x:c r="M35" s="48" t="str">
        <x:v>2</x:v>
      </x:c>
      <x:c r="N35" s="48" t="str">
        <x:v>False</x:v>
      </x:c>
      <x:c r="O35" s="48" t="str">
        <x:v>存在缺漏</x:v>
      </x:c>
      <x:c r="P35"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35" s="48"/>
      <x:c r="R35" s="48"/>
      <x:c r="S35" s="48" t="str">
        <x:v>是</x:v>
      </x:c>
      <x:c r="T35" s="48" t="str">
        <x:v>原综合排放标准问答对拆分而来</x:v>
      </x:c>
      <x:c r="U35" s="48" t="str">
        <x:v>30份环评_污染物排放控制执行标准复核QA(拆分版)</x:v>
      </x:c>
      <x:c r="V35" s="48" t="str">
        <x:v>水污染物排放标准</x:v>
      </x:c>
      <x:c r="W35" s="48" t="str">
        <x:v>存在缺漏</x:v>
      </x:c>
      <x:c r="X35" s="48" t="str">
        <x:v>存在缺漏</x:v>
      </x:c>
      <x:c r="Y35" s="64"/>
      <x:c r="Z35" s="64" t="str">
        <x:v>未复核</x:v>
      </x:c>
      <x:c r="AA35" s="64" t="str">
        <x:v>部分充分</x:v>
      </x:c>
      <x:c r="AB35" s="64" t="str">
        <x:v>有效</x:v>
      </x:c>
      <x:c r="AC35" s="64" t="str">
        <x:v>部分核验</x:v>
      </x:c>
      <x:c r="AD35" s="64" t="str">
        <x:v>自动默认</x:v>
      </x:c>
      <x:c r="AE35" s="64" t="str">
        <x:v>候选池</x:v>
      </x:c>
      <x:c r="AF35" s="64" t="str">
        <x:v>A_仅待终审</x:v>
      </x:c>
      <x:c r="AG35" s="64"/>
      <x:c r="AH35" s="64"/>
      <x:c r="AI35" s="64"/>
      <x:c r="AJ35" s="64"/>
      <x:c r="AK35" s="64"/>
      <x:c r="AL35" s="64"/>
      <x:c r="AM35" s="64"/>
      <x:c r="AN35" s="48" t="str">
        <x:v>109</x:v>
      </x:c>
      <x:c r="AO35" s="48" t="str">
        <x:v>MAP_存在缺漏</x:v>
      </x:c>
      <x:c r="AP35" s="48" t="str">
        <x:v>存在报告证据，但尚未经人工逐项核验；已列依据来源，但未在本阶段逐条核验</x:v>
      </x:c>
      <x:c r="AQ35" s="64"/>
      <x:c r="AR35" s="48" t="str">
        <x:v>water_emission_standard</x:v>
      </x:c>
      <x:c r="AS35" s="48" t="str">
        <x:v>L3_analysis</x:v>
      </x:c>
      <x:c r="AT35" s="48" t="str">
        <x:v>rule_applicability</x:v>
      </x:c>
      <x:c r="AU35" s="48" t="str">
        <x:v>basis_grounding</x:v>
      </x:c>
      <x:c r="AV35" s="48" t="str">
        <x:v>report_grounding；procedural_reasoning</x:v>
      </x:c>
      <x:c r="AW35" s="48" t="str">
        <x:v>high</x:v>
      </x:c>
      <x:c r="AX35" s="48" t="str">
        <x:v>high</x:v>
      </x:c>
      <x:c r="AY35" s="48" t="str">
        <x:v>report_plus_external</x:v>
      </x:c>
      <x:c r="AZ35" s="48" t="str">
        <x:v>True</x:v>
      </x:c>
      <x:c r="BA35" s="48"/>
      <x:c r="BB35" s="48" t="str">
        <x:v>auto_default</x:v>
      </x:c>
      <x:c r="BC35" s="48" t="str">
        <x:v>v1</x:v>
      </x:c>
      <x:c r="BD35" s="68"/>
    </x:row>
    <x:row r="36" ht="36" customHeight="1">
      <x:c r="A36" s="47" t="str">
        <x:v>2026-07-27</x:v>
      </x:c>
      <x:c r="B36" s="48" t="str">
        <x:v>PL021</x:v>
      </x:c>
      <x:c r="C36" s="48" t="str">
        <x:v>V01</x:v>
      </x:c>
      <x:c r="D36" s="48" t="str">
        <x:v>PL021_佛山市顺德区共诺电子元件厂搬迁项目_01_受理公告或公示版.pdf</x:v>
      </x:c>
      <x:c r="E36" s="48" t="str">
        <x:v>佛山市顺德区共诺电子元件厂搬迁项目</x:v>
      </x:c>
      <x:c r="F36" s="48" t="str">
        <x:v>PL021_Emission_噪声</x:v>
      </x:c>
      <x:c r="G36" s="48" t="str">
        <x:v>污染物排放标准-噪声排放标准</x:v>
      </x:c>
      <x:c r="H36" s="48" t="str">
        <x:v>请根据项目所属声环境功能区类别，判断噪声排放标准选取是否合理。要求总结声功能区类型、厂界执行标准（GB12348-2008）及昼夜限值，并与环评编制内容进行一致性分析。</x:v>
      </x:c>
      <x:c r="I36" s="48" t="str">
        <x:v>1、噪声排放标准中执行标准与排放限值内容：存在缺漏；
2、存在缺漏。提取文本中未发现噪声排放标准章节，未引用GB12348-2008，未给出声功能区类别及昼夜限值。
4、</x:v>
      </x:c>
      <x:c r="J36" s="48" t="str">
        <x:v>1、水："尾水执行《城镇污水处理厂污染物排放标准》（GB18918-2002）一级A标准及《广东省水污染物排放限值》（DB44/26-2001）的较严值。""生活污水经三级化粪预处理后通过市政管道排入大门污水处理厂处理，尾水排至顺德支流。"
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x:v>
      </x:c>
      <x:c r="K36" s="48" t="str">
        <x:v>emission-standard-kb.jsonl; DB44/26-2001; DB44/2367-2022; GB31572-2015; GB14554-93; GB12348-2008; GB18597-2023; GB18599-2020</x:v>
      </x:c>
      <x:c r="L36" s="48" t="str">
        <x:v>2</x:v>
      </x:c>
      <x:c r="M36" s="48" t="str">
        <x:v>2</x:v>
      </x:c>
      <x:c r="N36" s="48" t="str">
        <x:v>False</x:v>
      </x:c>
      <x:c r="O36" s="48" t="str">
        <x:v>存在缺漏</x:v>
      </x:c>
      <x:c r="P36"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36" s="48"/>
      <x:c r="R36" s="48"/>
      <x:c r="S36" s="48" t="str">
        <x:v>是</x:v>
      </x:c>
      <x:c r="T36" s="48" t="str">
        <x:v>原综合排放标准问答对拆分而来</x:v>
      </x:c>
      <x:c r="U36" s="48" t="str">
        <x:v>30份环评_污染物排放控制执行标准复核QA(拆分版)</x:v>
      </x:c>
      <x:c r="V36" s="48" t="str">
        <x:v>噪声排放标准</x:v>
      </x:c>
      <x:c r="W36" s="48" t="str">
        <x:v>存在缺漏</x:v>
      </x:c>
      <x:c r="X36" s="48" t="str">
        <x:v>存在缺漏</x:v>
      </x:c>
      <x:c r="Y36" s="64"/>
      <x:c r="Z36" s="64" t="str">
        <x:v>未复核</x:v>
      </x:c>
      <x:c r="AA36" s="64" t="str">
        <x:v>部分充分</x:v>
      </x:c>
      <x:c r="AB36" s="64" t="str">
        <x:v>有效</x:v>
      </x:c>
      <x:c r="AC36" s="64" t="str">
        <x:v>部分核验</x:v>
      </x:c>
      <x:c r="AD36" s="64" t="str">
        <x:v>自动默认</x:v>
      </x:c>
      <x:c r="AE36" s="64" t="str">
        <x:v>候选池</x:v>
      </x:c>
      <x:c r="AF36" s="64" t="str">
        <x:v>A_仅待终审</x:v>
      </x:c>
      <x:c r="AG36" s="64"/>
      <x:c r="AH36" s="64"/>
      <x:c r="AI36" s="64"/>
      <x:c r="AJ36" s="64"/>
      <x:c r="AK36" s="64"/>
      <x:c r="AL36" s="64"/>
      <x:c r="AM36" s="64"/>
      <x:c r="AN36" s="48" t="str">
        <x:v>111</x:v>
      </x:c>
      <x:c r="AO36" s="48" t="str">
        <x:v>MAP_存在缺漏</x:v>
      </x:c>
      <x:c r="AP36" s="48" t="str">
        <x:v>存在报告证据，但尚未经人工逐项核验；已列依据来源，但未在本阶段逐条核验</x:v>
      </x:c>
      <x:c r="AQ36" s="64"/>
      <x:c r="AR36" s="48" t="str">
        <x:v>noise_emission_standard</x:v>
      </x:c>
      <x:c r="AS36" s="48" t="str">
        <x:v>L2_application</x:v>
      </x:c>
      <x:c r="AT36" s="48" t="str">
        <x:v>rule_applicability</x:v>
      </x:c>
      <x:c r="AU36" s="48" t="str">
        <x:v>basis_grounding</x:v>
      </x:c>
      <x:c r="AV36" s="48" t="str">
        <x:v>report_grounding</x:v>
      </x:c>
      <x:c r="AW36" s="48" t="str">
        <x:v>high</x:v>
      </x:c>
      <x:c r="AX36" s="48" t="str">
        <x:v>medium</x:v>
      </x:c>
      <x:c r="AY36" s="48" t="str">
        <x:v>report_plus_external</x:v>
      </x:c>
      <x:c r="AZ36" s="48" t="str">
        <x:v>True</x:v>
      </x:c>
      <x:c r="BA36" s="48"/>
      <x:c r="BB36" s="48" t="str">
        <x:v>auto_default</x:v>
      </x:c>
      <x:c r="BC36" s="48" t="str">
        <x:v>v1</x:v>
      </x:c>
      <x:c r="BD36" s="68"/>
    </x:row>
    <x:row r="37" ht="36" customHeight="1">
      <x:c r="A37" s="47" t="str">
        <x:v>2026-07-28</x:v>
      </x:c>
      <x:c r="B37" s="48" t="str">
        <x:v>PL022</x:v>
      </x:c>
      <x:c r="C37" s="48" t="str">
        <x:v>V01</x:v>
      </x:c>
      <x:c r="D37" s="48" t="str">
        <x:v>PL022_佛山市锐拓新材料有限公司新建项目_01_受理公告或公示版.pdf</x:v>
      </x:c>
      <x:c r="E37" s="48" t="str">
        <x:v>佛山市锐拓新材料有限公司新建项目</x:v>
      </x:c>
      <x:c r="F37" s="48" t="str">
        <x:v>PL022_EnvQuality_Q01</x:v>
      </x:c>
      <x:c r="G37" s="48" t="str">
        <x:v>大气及地表水环境质量现状数据引用</x:v>
      </x:c>
      <x:c r="H37" s="48" t="str">
        <x:v>请根据报告引用的环境质量公报及现状数据，判断大气和地表水环境质量现状数据引用是否准确。</x:v>
      </x:c>
      <x:c r="I37" s="48" t="str">
        <x:v>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不一致：（1）空气质量综合指数报告写3.27，正确内容应为3.14（3.27为2022年度值）；（2）综合指数变化趋势报告写“比2021年下降6.0%”，正确内容应为“比2022年下降4.0%”；（3）表3-1中CO变化率-13.7%与O3变化率-9.1%互换，正确内容应为CO较2022年下降9.1%、O3较2022年下降13.7%。其余SO2=6、NO2=28、PM10=35、PM2.5=20、O3=164、CO=1.0及不达标区结论与公报一致。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杨滘”断面（Ⅱ类）标注为顺德支流断面，正确内容应为顺德支流对应断面为新涌、飞鹅山（均Ⅲ类），杨滘属顺德水道断面（Ⅱ类）。报告河流-断面张冠李戴且将顺德支流水质类别由Ⅲ类误作Ⅱ类（公报P5-7）。经检索，截至审核日该地区最新的环境状况公报为《2024年度佛山市顺德区生态环境状况公报》（佛环顺函〔2025〕12号，2025-04-03发布），可供参考。</x:v>
      </x:c>
      <x:c r="J37" s="48" t="str">
        <x:v>证据位置:大气：Page 26；地表水：Page 27; 大气公报:《2023年佛山市顺德区环境质量状况公报（报告引用名称）》; 地表水资料:《2023年度佛山市顺德区环境质量状况公报（报告引用名称）》</x:v>
      </x:c>
      <x:c r="K37" s="48" t="str">
        <x:v>生态环境状况公报知识库; 收纳水体地表水执行标准</x:v>
      </x:c>
      <x:c r="L37" s="48" t="str">
        <x:v>2</x:v>
      </x:c>
      <x:c r="M37" s="48" t="str">
        <x:v>2</x:v>
      </x:c>
      <x:c r="N37" s="48" t="str">
        <x:v>False</x:v>
      </x:c>
      <x:c r="O37" s="48" t="str">
        <x:v>需修正</x:v>
      </x:c>
      <x:c r="P37" s="48" t="str">
        <x:v>大气:不正确; 地表水:不正确; 报告日期:未明确</x:v>
      </x:c>
      <x:c r="Q37" s="48"/>
      <x:c r="R37" s="48"/>
      <x:c r="S37" s="48" t="str">
        <x:v>是</x:v>
      </x:c>
      <x:c r="T37" s="48" t="str">
        <x:v>空气质量综合指数：报告写3.27，实为2022年度公报值；2023年度公报综合指数为3.14（公报P2）。；综合指数变化趋势：2023年度公报为“比2022年下降4.0%”，报告误写“比2021年下降6.0%”。；表3-1 CO变化率：报告表3-1将CO变化率标为-13.7%（实为O3变化率），CO应为-9.1%（公报P3）。；表3-1 O3变化率：报告表3-1将O3变化率标为-9.1%（实为CO变化率），O3应为-13.7%（公报P3）。；顺德支流对应断面：杨滘为顺德水道断面（Ⅱ类），非顺德支流断面；顺德支流断面为新涌、飞鹅山（均Ⅲ类）。报告河流-断面张冠李戴，且水质类别由Ⅲ类误作Ⅱ类（公报P5-7）。</x:v>
      </x:c>
      <x:c r="U37" s="48" t="str">
        <x:v>30个环评_大气及地表水环境质量现状数据引用复核QA</x:v>
      </x:c>
      <x:c r="V37" s="48" t="str">
        <x:v>环境质量数据引用</x:v>
      </x:c>
      <x:c r="W37" s="48" t="str">
        <x:v>需修正</x:v>
      </x:c>
      <x:c r="X37" s="48" t="str">
        <x:v>待判断</x:v>
      </x:c>
      <x:c r="Y37" s="64"/>
      <x:c r="Z37" s="64" t="str">
        <x:v>未复核</x:v>
      </x:c>
      <x:c r="AA37" s="64" t="str">
        <x:v>部分充分</x:v>
      </x:c>
      <x:c r="AB37" s="64" t="str">
        <x:v>有效</x:v>
      </x:c>
      <x:c r="AC37" s="64" t="str">
        <x:v>部分核验</x:v>
      </x:c>
      <x:c r="AD37" s="64" t="str">
        <x:v>自动默认</x:v>
      </x:c>
      <x:c r="AE37" s="64" t="str">
        <x:v>候选池</x:v>
      </x:c>
      <x:c r="AF37" s="64" t="str">
        <x:v>A_仅待终审</x:v>
      </x:c>
      <x:c r="AG37" s="64"/>
      <x:c r="AH37" s="64"/>
      <x:c r="AI37" s="64"/>
      <x:c r="AJ37" s="64"/>
      <x:c r="AK37" s="64"/>
      <x:c r="AL37" s="64"/>
      <x:c r="AM37" s="64"/>
      <x:c r="AN37" s="48" t="str">
        <x:v>115</x:v>
      </x:c>
      <x:c r="AO37" s="48" t="str">
        <x:v>MAP_需修正</x:v>
      </x:c>
      <x:c r="AP37" s="48" t="str">
        <x:v>需人工区分实质问题或表达优化；存在报告证据，但尚未经人工逐项核验；已列依据来源，但未在本阶段逐条核验</x:v>
      </x:c>
      <x:c r="AQ37" s="64"/>
      <x:c r="AR37" s="48" t="str">
        <x:v>environmental_quality_data</x:v>
      </x:c>
      <x:c r="AS37" s="48" t="str">
        <x:v>L3_analysis</x:v>
      </x:c>
      <x:c r="AT37" s="48" t="str">
        <x:v>consistency_comparison</x:v>
      </x:c>
      <x:c r="AU37" s="48" t="str">
        <x:v>evidence_integration</x:v>
      </x:c>
      <x:c r="AV37" s="48" t="str">
        <x:v>report_grounding；basis_grounding</x:v>
      </x:c>
      <x:c r="AW37" s="48" t="str">
        <x:v>high</x:v>
      </x:c>
      <x:c r="AX37" s="48" t="str">
        <x:v>high</x:v>
      </x:c>
      <x:c r="AY37" s="48" t="str">
        <x:v>report_plus_external</x:v>
      </x:c>
      <x:c r="AZ37" s="48" t="str">
        <x:v>True</x:v>
      </x:c>
      <x:c r="BA37" s="48"/>
      <x:c r="BB37" s="48" t="str">
        <x:v>auto_default</x:v>
      </x:c>
      <x:c r="BC37" s="48" t="str">
        <x:v>v1</x:v>
      </x:c>
      <x:c r="BD37" s="68"/>
    </x:row>
    <x:row r="38" ht="36" customHeight="1">
      <x:c r="A38" s="47" t="str">
        <x:v>2026-07-27</x:v>
      </x:c>
      <x:c r="B38" s="48" t="str">
        <x:v>PL022</x:v>
      </x:c>
      <x:c r="C38" s="48" t="str">
        <x:v>V01</x:v>
      </x:c>
      <x:c r="D38" s="48" t="str">
        <x:v>PL022_佛山市锐拓新材料有限公司新建项目_01_受理公告或公示版.pdf</x:v>
      </x:c>
      <x:c r="E38" s="48" t="str">
        <x:v>佛山市锐拓新材料有限公司新建项目</x:v>
      </x:c>
      <x:c r="F38" s="48" t="str">
        <x:v>PL022_Emission_水污</x:v>
      </x:c>
      <x:c r="G38" s="48" t="str">
        <x:v>污染物排放标准-水污染物排放标准</x:v>
      </x:c>
      <x:c r="H38"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8" s="48" t="str">
        <x:v>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x:v>
      </x:c>
      <x:c r="J38" s="48" t="str">
        <x:v>1、水："标准的A标准和广东省《水污染物排放限值》（DB44/26-2001）第二时段一级标准的较严者。""生活污水经三级化粪池预处理后经市政污水管网排入杏坛污水处理厂处理，处理后尾水排入顺德支流。"</x:v>
      </x:c>
      <x:c r="K38" s="48" t="str">
        <x:v>emission-standard-kb.jsonl; DB44/26-2001; DB44/2367-2022; GB31572-2015; GB14554-93; GB12348-2008; GB18597-2023; GB18599-2020</x:v>
      </x:c>
      <x:c r="L38" s="48" t="str">
        <x:v>2</x:v>
      </x:c>
      <x:c r="M38" s="48" t="str">
        <x:v>2</x:v>
      </x:c>
      <x:c r="N38" s="48" t="str">
        <x:v>False</x:v>
      </x:c>
      <x:c r="O38" s="48" t="str">
        <x:v>存在缺漏</x:v>
      </x:c>
      <x:c r="P38"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38" s="48"/>
      <x:c r="R38" s="48"/>
      <x:c r="S38" s="48" t="str">
        <x:v>是</x:v>
      </x:c>
      <x:c r="T38" s="48" t="str">
        <x:v>原综合排放标准问答对拆分而来</x:v>
      </x:c>
      <x:c r="U38" s="48" t="str">
        <x:v>30份环评_污染物排放控制执行标准复核QA(拆分版)</x:v>
      </x:c>
      <x:c r="V38" s="48" t="str">
        <x:v>水污染物排放标准</x:v>
      </x:c>
      <x:c r="W38" s="48" t="str">
        <x:v>存在缺漏</x:v>
      </x:c>
      <x:c r="X38" s="48" t="str">
        <x:v>存在缺漏</x:v>
      </x:c>
      <x:c r="Y38" s="64"/>
      <x:c r="Z38" s="64" t="str">
        <x:v>未复核</x:v>
      </x:c>
      <x:c r="AA38" s="64" t="str">
        <x:v>部分充分</x:v>
      </x:c>
      <x:c r="AB38" s="64" t="str">
        <x:v>有效</x:v>
      </x:c>
      <x:c r="AC38" s="64" t="str">
        <x:v>部分核验</x:v>
      </x:c>
      <x:c r="AD38" s="64" t="str">
        <x:v>自动默认</x:v>
      </x:c>
      <x:c r="AE38" s="64" t="str">
        <x:v>候选池</x:v>
      </x:c>
      <x:c r="AF38" s="64" t="str">
        <x:v>A_仅待终审</x:v>
      </x:c>
      <x:c r="AG38" s="64"/>
      <x:c r="AH38" s="64"/>
      <x:c r="AI38" s="64"/>
      <x:c r="AJ38" s="64"/>
      <x:c r="AK38" s="64"/>
      <x:c r="AL38" s="64"/>
      <x:c r="AM38" s="64"/>
      <x:c r="AN38" s="48" t="str">
        <x:v>116</x:v>
      </x:c>
      <x:c r="AO38" s="48" t="str">
        <x:v>MAP_存在缺漏</x:v>
      </x:c>
      <x:c r="AP38" s="48" t="str">
        <x:v>存在报告证据，但尚未经人工逐项核验；已列依据来源，但未在本阶段逐条核验</x:v>
      </x:c>
      <x:c r="AQ38" s="64"/>
      <x:c r="AR38" s="48" t="str">
        <x:v>water_emission_standard</x:v>
      </x:c>
      <x:c r="AS38" s="48" t="str">
        <x:v>L3_analysis</x:v>
      </x:c>
      <x:c r="AT38" s="48" t="str">
        <x:v>rule_applicability</x:v>
      </x:c>
      <x:c r="AU38" s="48" t="str">
        <x:v>basis_grounding</x:v>
      </x:c>
      <x:c r="AV38" s="48" t="str">
        <x:v>report_grounding；procedural_reasoning</x:v>
      </x:c>
      <x:c r="AW38" s="48" t="str">
        <x:v>high</x:v>
      </x:c>
      <x:c r="AX38" s="48" t="str">
        <x:v>high</x:v>
      </x:c>
      <x:c r="AY38" s="48" t="str">
        <x:v>report_plus_external</x:v>
      </x:c>
      <x:c r="AZ38" s="48" t="str">
        <x:v>True</x:v>
      </x:c>
      <x:c r="BA38" s="48"/>
      <x:c r="BB38" s="48" t="str">
        <x:v>auto_default</x:v>
      </x:c>
      <x:c r="BC38" s="48" t="str">
        <x:v>v1</x:v>
      </x:c>
      <x:c r="BD38" s="68"/>
    </x:row>
    <x:row r="39" ht="36" customHeight="1">
      <x:c r="A39" s="47" t="str">
        <x:v>2026-07-27</x:v>
      </x:c>
      <x:c r="B39" s="48" t="str">
        <x:v>PL022</x:v>
      </x:c>
      <x:c r="C39" s="48" t="str">
        <x:v>V01</x:v>
      </x:c>
      <x:c r="D39" s="48" t="str">
        <x:v>PL022_佛山市锐拓新材料有限公司新建项目_01_受理公告或公示版.pdf</x:v>
      </x:c>
      <x:c r="E39" s="48" t="str">
        <x:v>佛山市锐拓新材料有限公司新建项目</x:v>
      </x:c>
      <x:c r="F39" s="48" t="str">
        <x:v>PL022_Emission_大气</x:v>
      </x:c>
      <x:c r="G39" s="48" t="str">
        <x:v>污染物排放标准-大气污染物排放标准</x:v>
      </x:c>
      <x:c r="H39" s="48" t="str">
        <x:v>请根据项目行业类别、生产工艺和污染因子，判断大气污染物排放标准选取是否合理。要求分析：污染源覆盖是否完整（列出所有大气污染源及对应标准），是否存在缺漏的污染源或标准。</x:v>
      </x:c>
      <x:c r="I39" s="48" t="str">
        <x:v>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x:v>
      </x:c>
      <x:c r="J39" s="48" t="str">
        <x:v>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x:v>
      </x:c>
      <x:c r="K39" s="48" t="str">
        <x:v>emission-standard-kb.jsonl; DB44/26-2001; DB44/2367-2022; GB31572-2015; GB14554-93; GB12348-2008; GB18597-2023; GB18599-2020</x:v>
      </x:c>
      <x:c r="L39" s="48" t="str">
        <x:v>2</x:v>
      </x:c>
      <x:c r="M39" s="48" t="str">
        <x:v>2</x:v>
      </x:c>
      <x:c r="N39" s="48" t="str">
        <x:v>False</x:v>
      </x:c>
      <x:c r="O39" s="48" t="str">
        <x:v>存在缺漏</x:v>
      </x:c>
      <x:c r="P39"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39" s="48"/>
      <x:c r="R39" s="48"/>
      <x:c r="S39" s="48" t="str">
        <x:v>是</x:v>
      </x:c>
      <x:c r="T39" s="48" t="str">
        <x:v>原综合排放标准问答对拆分而来</x:v>
      </x:c>
      <x:c r="U39" s="48" t="str">
        <x:v>30份环评_污染物排放控制执行标准复核QA(拆分版)</x:v>
      </x:c>
      <x:c r="V39" s="48" t="str">
        <x:v>大气污染物排放标准</x:v>
      </x:c>
      <x:c r="W39" s="48" t="str">
        <x:v>存在缺漏</x:v>
      </x:c>
      <x:c r="X39" s="48" t="str">
        <x:v>存在缺漏</x:v>
      </x:c>
      <x:c r="Y39" s="64"/>
      <x:c r="Z39" s="64" t="str">
        <x:v>未复核</x:v>
      </x:c>
      <x:c r="AA39" s="64" t="str">
        <x:v>部分充分</x:v>
      </x:c>
      <x:c r="AB39" s="64" t="str">
        <x:v>有效</x:v>
      </x:c>
      <x:c r="AC39" s="64" t="str">
        <x:v>部分核验</x:v>
      </x:c>
      <x:c r="AD39" s="64" t="str">
        <x:v>自动默认</x:v>
      </x:c>
      <x:c r="AE39" s="64" t="str">
        <x:v>候选池</x:v>
      </x:c>
      <x:c r="AF39" s="64" t="str">
        <x:v>A_仅待终审</x:v>
      </x:c>
      <x:c r="AG39" s="64"/>
      <x:c r="AH39" s="64"/>
      <x:c r="AI39" s="64"/>
      <x:c r="AJ39" s="64"/>
      <x:c r="AK39" s="64"/>
      <x:c r="AL39" s="64"/>
      <x:c r="AM39" s="64"/>
      <x:c r="AN39" s="48" t="str">
        <x:v>117</x:v>
      </x:c>
      <x:c r="AO39" s="48" t="str">
        <x:v>MAP_存在缺漏</x:v>
      </x:c>
      <x:c r="AP39" s="48" t="str">
        <x:v>存在报告证据，但尚未经人工逐项核验；已列依据来源，但未在本阶段逐条核验</x:v>
      </x:c>
      <x:c r="AQ39" s="64"/>
      <x:c r="AR39" s="48" t="str">
        <x:v>air_emission_standard</x:v>
      </x:c>
      <x:c r="AS39" s="48" t="str">
        <x:v>L3_analysis</x:v>
      </x:c>
      <x:c r="AT39" s="48" t="str">
        <x:v>multi_evidence_synthesis</x:v>
      </x:c>
      <x:c r="AU39" s="48" t="str">
        <x:v>basis_grounding</x:v>
      </x:c>
      <x:c r="AV39" s="48" t="str">
        <x:v>report_grounding；evidence_integration</x:v>
      </x:c>
      <x:c r="AW39" s="48" t="str">
        <x:v>high</x:v>
      </x:c>
      <x:c r="AX39" s="48" t="str">
        <x:v>high</x:v>
      </x:c>
      <x:c r="AY39" s="48" t="str">
        <x:v>report_plus_external</x:v>
      </x:c>
      <x:c r="AZ39" s="48" t="str">
        <x:v>True</x:v>
      </x:c>
      <x:c r="BA39" s="48"/>
      <x:c r="BB39" s="48" t="str">
        <x:v>auto_default</x:v>
      </x:c>
      <x:c r="BC39" s="48" t="str">
        <x:v>v1</x:v>
      </x:c>
      <x:c r="BD39" s="68"/>
    </x:row>
    <x:row r="40" ht="36" customHeight="1">
      <x:c r="A40" s="47" t="str">
        <x:v>2026-07-27</x:v>
      </x:c>
      <x:c r="B40" s="48" t="str">
        <x:v>PL022</x:v>
      </x:c>
      <x:c r="C40" s="48" t="str">
        <x:v>V01</x:v>
      </x:c>
      <x:c r="D40" s="48" t="str">
        <x:v>PL022_佛山市锐拓新材料有限公司新建项目_01_受理公告或公示版.pdf</x:v>
      </x:c>
      <x:c r="E40" s="48" t="str">
        <x:v>佛山市锐拓新材料有限公司新建项目</x:v>
      </x:c>
      <x:c r="F40" s="48" t="str">
        <x:v>PL022_Emission_噪声</x:v>
      </x:c>
      <x:c r="G40" s="48" t="str">
        <x:v>污染物排放标准-噪声排放标准</x:v>
      </x:c>
      <x:c r="H40" s="48" t="str">
        <x:v>请根据项目所属声环境功能区类别，判断噪声排放标准选取是否合理。要求总结声功能区类型、厂界执行标准（GB12348-2008）及昼夜限值，并与环评编制内容进行一致性分析。</x:v>
      </x:c>
      <x:c r="I40" s="48" t="str">
        <x:v>1、噪声排放标准中执行标准与排放限值内容：存在缺漏；
2、存在缺漏。提取文本中未发现噪声排放标准章节，未引用GB12348-2008，未给出声功能区类别及昼夜限值。报告功能区划分析中提到项目所在区域为声环境3类区。
4、</x:v>
      </x:c>
      <x:c r="J40" s="48" t="str">
        <x:v>1、水："标准的A标准和广东省《水污染物排放限值》（DB44/26-2001）第二时段一级标准的较严者。""生活污水经三级化粪池预处理后经市政污水管网排入杏坛污水处理厂处理，处理后尾水排入顺德支流。"
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x:v>
      </x:c>
      <x:c r="K40" s="48" t="str">
        <x:v>emission-standard-kb.jsonl; DB44/26-2001; DB44/2367-2022; GB31572-2015; GB14554-93; GB12348-2008; GB18597-2023; GB18599-2020</x:v>
      </x:c>
      <x:c r="L40" s="48" t="str">
        <x:v>2</x:v>
      </x:c>
      <x:c r="M40" s="48" t="str">
        <x:v>2</x:v>
      </x:c>
      <x:c r="N40" s="48" t="str">
        <x:v>False</x:v>
      </x:c>
      <x:c r="O40" s="48" t="str">
        <x:v>存在缺漏</x:v>
      </x:c>
      <x:c r="P40"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40" s="48"/>
      <x:c r="R40" s="48"/>
      <x:c r="S40" s="48" t="str">
        <x:v>是</x:v>
      </x:c>
      <x:c r="T40" s="48" t="str">
        <x:v>原综合排放标准问答对拆分而来</x:v>
      </x:c>
      <x:c r="U40" s="48" t="str">
        <x:v>30份环评_污染物排放控制执行标准复核QA(拆分版)</x:v>
      </x:c>
      <x:c r="V40" s="48" t="str">
        <x:v>噪声排放标准</x:v>
      </x:c>
      <x:c r="W40" s="48" t="str">
        <x:v>存在缺漏</x:v>
      </x:c>
      <x:c r="X40" s="48" t="str">
        <x:v>存在缺漏</x:v>
      </x:c>
      <x:c r="Y40" s="64"/>
      <x:c r="Z40" s="64" t="str">
        <x:v>未复核</x:v>
      </x:c>
      <x:c r="AA40" s="64" t="str">
        <x:v>部分充分</x:v>
      </x:c>
      <x:c r="AB40" s="64" t="str">
        <x:v>有效</x:v>
      </x:c>
      <x:c r="AC40" s="64" t="str">
        <x:v>部分核验</x:v>
      </x:c>
      <x:c r="AD40" s="64" t="str">
        <x:v>自动默认</x:v>
      </x:c>
      <x:c r="AE40" s="64" t="str">
        <x:v>候选池</x:v>
      </x:c>
      <x:c r="AF40" s="64" t="str">
        <x:v>A_仅待终审</x:v>
      </x:c>
      <x:c r="AG40" s="64"/>
      <x:c r="AH40" s="64"/>
      <x:c r="AI40" s="64"/>
      <x:c r="AJ40" s="64"/>
      <x:c r="AK40" s="64"/>
      <x:c r="AL40" s="64"/>
      <x:c r="AM40" s="64"/>
      <x:c r="AN40" s="48" t="str">
        <x:v>118</x:v>
      </x:c>
      <x:c r="AO40" s="48" t="str">
        <x:v>MAP_存在缺漏</x:v>
      </x:c>
      <x:c r="AP40" s="48" t="str">
        <x:v>存在报告证据，但尚未经人工逐项核验；已列依据来源，但未在本阶段逐条核验</x:v>
      </x:c>
      <x:c r="AQ40" s="64"/>
      <x:c r="AR40" s="48" t="str">
        <x:v>noise_emission_standard</x:v>
      </x:c>
      <x:c r="AS40" s="48" t="str">
        <x:v>L2_application</x:v>
      </x:c>
      <x:c r="AT40" s="48" t="str">
        <x:v>rule_applicability</x:v>
      </x:c>
      <x:c r="AU40" s="48" t="str">
        <x:v>basis_grounding</x:v>
      </x:c>
      <x:c r="AV40" s="48" t="str">
        <x:v>report_grounding</x:v>
      </x:c>
      <x:c r="AW40" s="48" t="str">
        <x:v>high</x:v>
      </x:c>
      <x:c r="AX40" s="48" t="str">
        <x:v>medium</x:v>
      </x:c>
      <x:c r="AY40" s="48" t="str">
        <x:v>report_plus_external</x:v>
      </x:c>
      <x:c r="AZ40" s="48" t="str">
        <x:v>True</x:v>
      </x:c>
      <x:c r="BA40" s="48"/>
      <x:c r="BB40" s="48" t="str">
        <x:v>auto_default</x:v>
      </x:c>
      <x:c r="BC40" s="48" t="str">
        <x:v>v1</x:v>
      </x:c>
      <x:c r="BD40" s="68"/>
    </x:row>
    <x:row r="41" ht="36" customHeight="1">
      <x:c r="A41" s="47" t="str">
        <x:v>2026-07-28</x:v>
      </x:c>
      <x:c r="B41" s="48" t="str">
        <x:v>PL023</x:v>
      </x:c>
      <x:c r="C41" s="48" t="str">
        <x:v>V01</x:v>
      </x:c>
      <x:c r="D41" s="48" t="str">
        <x:v>PL023_佛山市通能达科技有限公司新建项目_01_受理公告或公示版.pdf</x:v>
      </x:c>
      <x:c r="E41" s="48" t="str">
        <x:v>佛山市通能达科技有限公司新建项目</x:v>
      </x:c>
      <x:c r="F41" s="48" t="str">
        <x:v>PL023_EnvQuality_Q01</x:v>
      </x:c>
      <x:c r="G41" s="48" t="str">
        <x:v>大气及地表水环境质量现状数据引用</x:v>
      </x:c>
      <x:c r="H41" s="48" t="str">
        <x:v>请根据报告引用的环境质量公报及现状数据，判断大气和地表水环境质量现状数据引用是否准确。</x:v>
      </x:c>
      <x:c r="I41" s="48" t="str">
        <x:v>1、地表水环境质量引用数据不正确，污水处理厂受纳水体及执行标准与官方登记不一致；
2、项目大气环境质量引用《2023年度佛山市顺德区生态环境状况公报》。环评对大气环境质量分析内容与《2023年度佛山市顺德区生态环境状况公报》中大气环境状况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但项目污水处理厂为杏坛污水处理厂，报告称尾水受纳河道为顺德支流、执行III类标准，与官方登记的受纳水体顺德水道（执行II类标准）不一致，正确受纳水体应为顺德水道，执行标准应为II类。</x:v>
      </x:c>
      <x:c r="J41" s="48" t="str">
        <x:v>证据位置:大气：报告引用佛顺环函〔2024〕44号《2023年度佛山市顺德区生态环境质量状况公报》（约第2609-2668行）；地表水：报告引用佛顺环函〔2024〕44号（约第2688-2694行），杏坛污水处理厂尾水排入顺德支流; 大气公报:《2023年度佛山市顺德区生态环境状况公报》; 地表水资料:《2023年度佛山市顺德区生态环境状况公报》</x:v>
      </x:c>
      <x:c r="K41" s="48" t="str">
        <x:v>生态环境状况公报知识库; 收纳水体地表水执行标准</x:v>
      </x:c>
      <x:c r="L41" s="48" t="str">
        <x:v>2</x:v>
      </x:c>
      <x:c r="M41" s="48" t="str">
        <x:v>2</x:v>
      </x:c>
      <x:c r="N41" s="48" t="str">
        <x:v>False</x:v>
      </x:c>
      <x:c r="O41" s="48" t="str">
        <x:v>不正确</x:v>
      </x:c>
      <x:c r="P41" s="48" t="str">
        <x:v>大气:正确; 地表水:不正确; 报告日期:2024</x:v>
      </x:c>
      <x:c r="Q41" s="48"/>
      <x:c r="R41" s="48"/>
      <x:c r="S41" s="48" t="str">
        <x:v>是</x:v>
      </x:c>
      <x:c r="T41" s="48" t="str">
        <x:v>报告称杏坛污水处理厂尾水受纳河道为顺德支流（见报告第1876、2304、2689、2893、3994行等处），但官方登记的杏坛污水处理厂受纳水体为顺德水道（执行II类标准），受纳水体及执行标准均不一致。报告将顺德支流（III类）误作杏坛污水处理厂受纳水体，导致执行标准亦错误（应为II类）。大气环境质量引用2023年度公报（佛顺环函〔2024〕44号）在近3年窗口内且分析内容与公报一致，大气判定正确。</x:v>
      </x:c>
      <x:c r="U41" s="48" t="str">
        <x:v>30个环评_大气及地表水环境质量现状数据引用复核QA</x:v>
      </x:c>
      <x:c r="V41" s="48" t="str">
        <x:v>环境质量数据引用</x:v>
      </x:c>
      <x:c r="W41" s="48" t="str">
        <x:v>不正确</x:v>
      </x:c>
      <x:c r="X41" s="48" t="str">
        <x:v>待判断</x:v>
      </x:c>
      <x:c r="Y41" s="64"/>
      <x:c r="Z41" s="64" t="str">
        <x:v>未复核</x:v>
      </x:c>
      <x:c r="AA41" s="64" t="str">
        <x:v>部分充分</x:v>
      </x:c>
      <x:c r="AB41" s="64" t="str">
        <x:v>有效</x:v>
      </x:c>
      <x:c r="AC41" s="64" t="str">
        <x:v>部分核验</x:v>
      </x:c>
      <x:c r="AD41" s="64" t="str">
        <x:v>自动默认</x:v>
      </x:c>
      <x:c r="AE41" s="64" t="str">
        <x:v>候选池</x:v>
      </x:c>
      <x:c r="AF41" s="64" t="str">
        <x:v>A_仅待终审</x:v>
      </x:c>
      <x:c r="AG41" s="64"/>
      <x:c r="AH41" s="64"/>
      <x:c r="AI41" s="64"/>
      <x:c r="AJ41" s="64"/>
      <x:c r="AK41" s="64"/>
      <x:c r="AL41" s="64"/>
      <x:c r="AM41" s="64"/>
      <x:c r="AN41" s="48" t="str">
        <x:v>122</x:v>
      </x:c>
      <x:c r="AO41" s="48" t="str">
        <x:v>MAP_不正确</x:v>
      </x:c>
      <x:c r="AP41" s="48" t="str">
        <x:v>需人工区分存在错误或存在缺漏；存在报告证据，但尚未经人工逐项核验；已列依据来源，但未在本阶段逐条核验</x:v>
      </x:c>
      <x:c r="AQ41" s="64"/>
      <x:c r="AR41" s="48" t="str">
        <x:v>environmental_quality_data</x:v>
      </x:c>
      <x:c r="AS41" s="48" t="str">
        <x:v>L3_analysis</x:v>
      </x:c>
      <x:c r="AT41" s="48" t="str">
        <x:v>consistency_comparison</x:v>
      </x:c>
      <x:c r="AU41" s="48" t="str">
        <x:v>evidence_integration</x:v>
      </x:c>
      <x:c r="AV41" s="48" t="str">
        <x:v>report_grounding；basis_grounding</x:v>
      </x:c>
      <x:c r="AW41" s="48" t="str">
        <x:v>high</x:v>
      </x:c>
      <x:c r="AX41" s="48" t="str">
        <x:v>high</x:v>
      </x:c>
      <x:c r="AY41" s="48" t="str">
        <x:v>report_plus_external</x:v>
      </x:c>
      <x:c r="AZ41" s="48" t="str">
        <x:v>True</x:v>
      </x:c>
      <x:c r="BA41" s="48"/>
      <x:c r="BB41" s="48" t="str">
        <x:v>auto_default</x:v>
      </x:c>
      <x:c r="BC41" s="48" t="str">
        <x:v>v1</x:v>
      </x:c>
      <x:c r="BD41" s="68"/>
    </x:row>
    <x:row r="42" ht="36" customHeight="1">
      <x:c r="A42" s="47" t="str">
        <x:v>2026-07-27</x:v>
      </x:c>
      <x:c r="B42" s="48" t="str">
        <x:v>PL023</x:v>
      </x:c>
      <x:c r="C42" s="48" t="str">
        <x:v>V01</x:v>
      </x:c>
      <x:c r="D42" s="48" t="str">
        <x:v>PL023_佛山市通能达科技有限公司新建项目_01_受理公告或公示版.pdf</x:v>
      </x:c>
      <x:c r="E42" s="48" t="str">
        <x:v>佛山市通能达科技有限公司新建项目</x:v>
      </x:c>
      <x:c r="F42" s="48" t="str">
        <x:v>PL023_Emission_大气</x:v>
      </x:c>
      <x:c r="G42" s="48" t="str">
        <x:v>污染物排放标准-大气污染物排放标准</x:v>
      </x:c>
      <x:c r="H42" s="48" t="str">
        <x:v>请根据项目行业类别、生产工艺和污染因子，判断大气污染物排放标准选取是否合理。要求分析：污染源覆盖是否完整（列出所有大气污染源及对应标准），是否存在缺漏的污染源或标准。</x:v>
      </x:c>
      <x:c r="I42" s="48" t="str">
        <x:v>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x:v>
      </x:c>
      <x:c r="J42" s="48" t="str">
        <x:v>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x:v>
      </x:c>
      <x:c r="K42" s="48" t="str">
        <x:v>emission-standard-kb.jsonl; DB44/26-2001; DB44/2367-2022; GB31572-2015; GB14554-93; GB12348-2008; GB18597-2023; GB18599-2020</x:v>
      </x:c>
      <x:c r="L42" s="48" t="str">
        <x:v>2</x:v>
      </x:c>
      <x:c r="M42" s="48" t="str">
        <x:v>2</x:v>
      </x:c>
      <x:c r="N42" s="48" t="str">
        <x:v>False</x:v>
      </x:c>
      <x:c r="O42" s="48" t="str">
        <x:v>存在缺漏</x:v>
      </x:c>
      <x:c r="P42"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42" s="48"/>
      <x:c r="R42" s="48"/>
      <x:c r="S42" s="48" t="str">
        <x:v>是</x:v>
      </x:c>
      <x:c r="T42" s="48" t="str">
        <x:v>原综合排放标准问答对拆分而来</x:v>
      </x:c>
      <x:c r="U42" s="48" t="str">
        <x:v>30份环评_污染物排放控制执行标准复核QA(拆分版)</x:v>
      </x:c>
      <x:c r="V42" s="48" t="str">
        <x:v>大气污染物排放标准</x:v>
      </x:c>
      <x:c r="W42" s="48" t="str">
        <x:v>存在缺漏</x:v>
      </x:c>
      <x:c r="X42" s="48" t="str">
        <x:v>存在缺漏</x:v>
      </x:c>
      <x:c r="Y42" s="64"/>
      <x:c r="Z42" s="64" t="str">
        <x:v>未复核</x:v>
      </x:c>
      <x:c r="AA42" s="64" t="str">
        <x:v>部分充分</x:v>
      </x:c>
      <x:c r="AB42" s="64" t="str">
        <x:v>有效</x:v>
      </x:c>
      <x:c r="AC42" s="64" t="str">
        <x:v>部分核验</x:v>
      </x:c>
      <x:c r="AD42" s="64" t="str">
        <x:v>自动默认</x:v>
      </x:c>
      <x:c r="AE42" s="64" t="str">
        <x:v>候选池</x:v>
      </x:c>
      <x:c r="AF42" s="64" t="str">
        <x:v>A_仅待终审</x:v>
      </x:c>
      <x:c r="AG42" s="64"/>
      <x:c r="AH42" s="64"/>
      <x:c r="AI42" s="64"/>
      <x:c r="AJ42" s="64"/>
      <x:c r="AK42" s="64"/>
      <x:c r="AL42" s="64"/>
      <x:c r="AM42" s="64"/>
      <x:c r="AN42" s="48" t="str">
        <x:v>124</x:v>
      </x:c>
      <x:c r="AO42" s="48" t="str">
        <x:v>MAP_存在缺漏</x:v>
      </x:c>
      <x:c r="AP42" s="48" t="str">
        <x:v>存在报告证据，但尚未经人工逐项核验；已列依据来源，但未在本阶段逐条核验</x:v>
      </x:c>
      <x:c r="AQ42" s="64"/>
      <x:c r="AR42" s="48" t="str">
        <x:v>air_emission_standard</x:v>
      </x:c>
      <x:c r="AS42" s="48" t="str">
        <x:v>L3_analysis</x:v>
      </x:c>
      <x:c r="AT42" s="48" t="str">
        <x:v>multi_evidence_synthesis</x:v>
      </x:c>
      <x:c r="AU42" s="48" t="str">
        <x:v>basis_grounding</x:v>
      </x:c>
      <x:c r="AV42" s="48" t="str">
        <x:v>report_grounding；evidence_integration</x:v>
      </x:c>
      <x:c r="AW42" s="48" t="str">
        <x:v>high</x:v>
      </x:c>
      <x:c r="AX42" s="48" t="str">
        <x:v>high</x:v>
      </x:c>
      <x:c r="AY42" s="48" t="str">
        <x:v>report_plus_external</x:v>
      </x:c>
      <x:c r="AZ42" s="48" t="str">
        <x:v>True</x:v>
      </x:c>
      <x:c r="BA42" s="48"/>
      <x:c r="BB42" s="48" t="str">
        <x:v>auto_default</x:v>
      </x:c>
      <x:c r="BC42" s="48" t="str">
        <x:v>v1</x:v>
      </x:c>
      <x:c r="BD42" s="68"/>
    </x:row>
    <x:row r="43" ht="36" customHeight="1">
      <x:c r="A43" s="47" t="str">
        <x:v>2026-07-27</x:v>
      </x:c>
      <x:c r="B43" s="48" t="str">
        <x:v>PL023</x:v>
      </x:c>
      <x:c r="C43" s="48" t="str">
        <x:v>V01</x:v>
      </x:c>
      <x:c r="D43" s="48" t="str">
        <x:v>PL023_佛山市通能达科技有限公司新建项目_01_受理公告或公示版.pdf</x:v>
      </x:c>
      <x:c r="E43" s="48" t="str">
        <x:v>佛山市通能达科技有限公司新建项目</x:v>
      </x:c>
      <x:c r="F43" s="48" t="str">
        <x:v>PL023_Emission_噪声</x:v>
      </x:c>
      <x:c r="G43" s="48" t="str">
        <x:v>污染物排放标准-噪声排放标准</x:v>
      </x:c>
      <x:c r="H43" s="48" t="str">
        <x:v>请根据项目所属声环境功能区类别，判断噪声排放标准选取是否合理。要求总结声功能区类型、厂界执行标准（GB12348-2008）及昼夜限值，并与环评编制内容进行一致性分析。</x:v>
      </x:c>
      <x:c r="I43" s="48" t="str">
        <x:v>1、噪声排放标准中执行标准与排放限值内容：存在缺漏；
2、存在缺漏。报告功能区划分析中明确项目所在区域为声环境3类区，但提取文本中未发现排放标准章节明确引用《工业企业厂界环境噪声排放标准》（GB12348-2008）及昼夜限值（3类：昼间65dB(A)、夜间55dB(A)）。声功能区类别已有依据，但排放标准引用缺失。
4、</x:v>
      </x:c>
      <x:c r="J43" s="48" t="str">
        <x:v>3、噪声："项目所在地区位于3321杏坛东部工业区片区，所在区域为声环境3类区"，但提取文本中未发现GB12348-2008引用及昼夜限值。
4、固体废物：提取文本中未发现固体废物控制标准。</x:v>
      </x:c>
      <x:c r="K43" s="48" t="str">
        <x:v>emission-standard-kb.jsonl; DB44/26-2001; DB44/2367-2022; GB31572-2015; GB14554-93; GB12348-2008; GB18597-2023; GB18599-2020</x:v>
      </x:c>
      <x:c r="L43" s="48" t="str">
        <x:v>2</x:v>
      </x:c>
      <x:c r="M43" s="48" t="str">
        <x:v>2</x:v>
      </x:c>
      <x:c r="N43" s="48" t="str">
        <x:v>False</x:v>
      </x:c>
      <x:c r="O43" s="48" t="str">
        <x:v>存在缺漏</x:v>
      </x:c>
      <x:c r="P43"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43" s="48"/>
      <x:c r="R43" s="48"/>
      <x:c r="S43" s="48" t="str">
        <x:v>是</x:v>
      </x:c>
      <x:c r="T43" s="48" t="str">
        <x:v>原综合排放标准问答对拆分而来</x:v>
      </x:c>
      <x:c r="U43" s="48" t="str">
        <x:v>30份环评_污染物排放控制执行标准复核QA(拆分版)</x:v>
      </x:c>
      <x:c r="V43" s="48" t="str">
        <x:v>噪声排放标准</x:v>
      </x:c>
      <x:c r="W43" s="48" t="str">
        <x:v>存在缺漏</x:v>
      </x:c>
      <x:c r="X43" s="48" t="str">
        <x:v>存在缺漏</x:v>
      </x:c>
      <x:c r="Y43" s="64"/>
      <x:c r="Z43" s="64" t="str">
        <x:v>未复核</x:v>
      </x:c>
      <x:c r="AA43" s="64" t="str">
        <x:v>部分充分</x:v>
      </x:c>
      <x:c r="AB43" s="64" t="str">
        <x:v>有效</x:v>
      </x:c>
      <x:c r="AC43" s="64" t="str">
        <x:v>部分核验</x:v>
      </x:c>
      <x:c r="AD43" s="64" t="str">
        <x:v>自动默认</x:v>
      </x:c>
      <x:c r="AE43" s="64" t="str">
        <x:v>候选池</x:v>
      </x:c>
      <x:c r="AF43" s="64" t="str">
        <x:v>A_仅待终审</x:v>
      </x:c>
      <x:c r="AG43" s="64"/>
      <x:c r="AH43" s="64"/>
      <x:c r="AI43" s="64"/>
      <x:c r="AJ43" s="64"/>
      <x:c r="AK43" s="64"/>
      <x:c r="AL43" s="64"/>
      <x:c r="AM43" s="64"/>
      <x:c r="AN43" s="48" t="str">
        <x:v>125</x:v>
      </x:c>
      <x:c r="AO43" s="48" t="str">
        <x:v>MAP_存在缺漏</x:v>
      </x:c>
      <x:c r="AP43" s="48" t="str">
        <x:v>存在报告证据，但尚未经人工逐项核验；已列依据来源，但未在本阶段逐条核验</x:v>
      </x:c>
      <x:c r="AQ43" s="64"/>
      <x:c r="AR43" s="48" t="str">
        <x:v>noise_emission_standard</x:v>
      </x:c>
      <x:c r="AS43" s="48" t="str">
        <x:v>L2_application</x:v>
      </x:c>
      <x:c r="AT43" s="48" t="str">
        <x:v>rule_applicability</x:v>
      </x:c>
      <x:c r="AU43" s="48" t="str">
        <x:v>basis_grounding</x:v>
      </x:c>
      <x:c r="AV43" s="48" t="str">
        <x:v>report_grounding</x:v>
      </x:c>
      <x:c r="AW43" s="48" t="str">
        <x:v>high</x:v>
      </x:c>
      <x:c r="AX43" s="48" t="str">
        <x:v>medium</x:v>
      </x:c>
      <x:c r="AY43" s="48" t="str">
        <x:v>report_plus_external</x:v>
      </x:c>
      <x:c r="AZ43" s="48" t="str">
        <x:v>True</x:v>
      </x:c>
      <x:c r="BA43" s="48"/>
      <x:c r="BB43" s="48" t="str">
        <x:v>auto_default</x:v>
      </x:c>
      <x:c r="BC43" s="48" t="str">
        <x:v>v1</x:v>
      </x:c>
      <x:c r="BD43" s="68"/>
    </x:row>
    <x:row r="44" ht="36" customHeight="1">
      <x:c r="A44" s="47" t="str">
        <x:v>2026-07-28</x:v>
      </x:c>
      <x:c r="B44" s="48" t="str">
        <x:v>PL025</x:v>
      </x:c>
      <x:c r="C44" s="48" t="str">
        <x:v>V01</x:v>
      </x:c>
      <x:c r="D44" s="48" t="str">
        <x:v>PL025_佛山市巨人电器有限公司新建项目_01_受理公告或公示版.pdf</x:v>
      </x:c>
      <x:c r="E44" s="48" t="str">
        <x:v>佛山市巨人电器有限公司新建项目</x:v>
      </x:c>
      <x:c r="F44" s="48" t="str">
        <x:v>PL025_EnvQuality_Q01</x:v>
      </x:c>
      <x:c r="G44" s="48" t="str">
        <x:v>大气及地表水环境质量现状数据引用</x:v>
      </x:c>
      <x:c r="H44" s="48" t="str">
        <x:v>请根据报告引用的环境质量公报及现状数据，判断大气和地表水环境质量现状数据引用是否准确。</x:v>
      </x:c>
      <x:c r="I44" s="48" t="str">
        <x:v>1、地表水环境质量引用数据不正确，污水处理厂受纳水体与官方登记不一致；
2、项目大气环境质量引用《2023年度佛山市顺德区生态环境状况公报》（佛环顺函〔2024〕44号）。环评对大气环境质量分析内容与《2023年度佛山市顺德区生态环境状况公报》中大气环境状况描述一致，均表明2023年六项污染物指标中臭氧（O3）浓度超标，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2023年度公报数据。但项目污水处理厂（大门污水处理厂）尾水受纳河道报告中写为“顺德支流”，与官方登记的受纳水体“桂洲水道”不一致，存在实质差异。</x:v>
      </x:c>
      <x:c r="J44" s="48" t="str">
        <x:v>证据位置:大气：env_text第1866行，‘根据2023年全区的大气环境质量状况公报，六项污染物指标中臭氧浓度超标，其余...’；地表水：env_text第1874行，‘顺德区生态环境状况公报&gt;的通知》（佛环顺函〔2024〕44号），2023年全区地表水环境...’，第1927行，‘尾水排放至顺德支流’; 大气公报:《2023年度佛山市顺德区生态环境状况公报》（佛环顺函〔2024〕44号）; 地表水资料:《2023年度佛山市顺德区生态环境状况公报》（佛环顺函〔2024〕44号）</x:v>
      </x:c>
      <x:c r="K44" s="48" t="str">
        <x:v>生态环境状况公报知识库; 收纳水体地表水执行标准</x:v>
      </x:c>
      <x:c r="L44" s="48" t="str">
        <x:v>2</x:v>
      </x:c>
      <x:c r="M44" s="48" t="str">
        <x:v>2</x:v>
      </x:c>
      <x:c r="N44" s="48" t="str">
        <x:v>False</x:v>
      </x:c>
      <x:c r="O44" s="48" t="str">
        <x:v>不正确</x:v>
      </x:c>
      <x:c r="P44" s="48" t="str">
        <x:v>大气:正确; 地表水:不正确; 报告日期:2024</x:v>
      </x:c>
      <x:c r="Q44" s="48"/>
      <x:c r="R44" s="48"/>
      <x:c r="S44" s="48" t="str">
        <x:v>是</x:v>
      </x:c>
      <x:c r="T44" s="48" t="str">
        <x:v>大门污水处理厂尾水受纳河道报告中多处写为“顺德支流”（第141、1927、1973行），与知识库中官方登记的受纳水体“桂洲水道”不一致，存在实质差异。</x:v>
      </x:c>
      <x:c r="U44" s="48" t="str">
        <x:v>30个环评_大气及地表水环境质量现状数据引用复核QA</x:v>
      </x:c>
      <x:c r="V44" s="48" t="str">
        <x:v>环境质量数据引用</x:v>
      </x:c>
      <x:c r="W44" s="48" t="str">
        <x:v>不正确</x:v>
      </x:c>
      <x:c r="X44" s="48" t="str">
        <x:v>待判断</x:v>
      </x:c>
      <x:c r="Y44" s="64"/>
      <x:c r="Z44" s="64" t="str">
        <x:v>未复核</x:v>
      </x:c>
      <x:c r="AA44" s="64" t="str">
        <x:v>部分充分</x:v>
      </x:c>
      <x:c r="AB44" s="64" t="str">
        <x:v>有效</x:v>
      </x:c>
      <x:c r="AC44" s="64" t="str">
        <x:v>部分核验</x:v>
      </x:c>
      <x:c r="AD44" s="64" t="str">
        <x:v>自动默认</x:v>
      </x:c>
      <x:c r="AE44" s="64" t="str">
        <x:v>候选池</x:v>
      </x:c>
      <x:c r="AF44" s="64" t="str">
        <x:v>A_仅待终审</x:v>
      </x:c>
      <x:c r="AG44" s="64"/>
      <x:c r="AH44" s="64"/>
      <x:c r="AI44" s="64"/>
      <x:c r="AJ44" s="64"/>
      <x:c r="AK44" s="64"/>
      <x:c r="AL44" s="64"/>
      <x:c r="AM44" s="64"/>
      <x:c r="AN44" s="48" t="str">
        <x:v>129</x:v>
      </x:c>
      <x:c r="AO44" s="48" t="str">
        <x:v>MAP_不正确</x:v>
      </x:c>
      <x:c r="AP44" s="48" t="str">
        <x:v>需人工区分存在错误或存在缺漏；存在报告证据，但尚未经人工逐项核验；已列依据来源，但未在本阶段逐条核验</x:v>
      </x:c>
      <x:c r="AQ44" s="64"/>
      <x:c r="AR44" s="48" t="str">
        <x:v>environmental_quality_data</x:v>
      </x:c>
      <x:c r="AS44" s="48" t="str">
        <x:v>L3_analysis</x:v>
      </x:c>
      <x:c r="AT44" s="48" t="str">
        <x:v>consistency_comparison</x:v>
      </x:c>
      <x:c r="AU44" s="48" t="str">
        <x:v>evidence_integration</x:v>
      </x:c>
      <x:c r="AV44" s="48" t="str">
        <x:v>report_grounding；basis_grounding</x:v>
      </x:c>
      <x:c r="AW44" s="48" t="str">
        <x:v>high</x:v>
      </x:c>
      <x:c r="AX44" s="48" t="str">
        <x:v>high</x:v>
      </x:c>
      <x:c r="AY44" s="48" t="str">
        <x:v>report_plus_external</x:v>
      </x:c>
      <x:c r="AZ44" s="48" t="str">
        <x:v>True</x:v>
      </x:c>
      <x:c r="BA44" s="48"/>
      <x:c r="BB44" s="48" t="str">
        <x:v>auto_default</x:v>
      </x:c>
      <x:c r="BC44" s="48" t="str">
        <x:v>v1</x:v>
      </x:c>
      <x:c r="BD44" s="68"/>
    </x:row>
    <x:row r="45" ht="36" customHeight="1">
      <x:c r="A45" s="47" t="str">
        <x:v>2026-07-27</x:v>
      </x:c>
      <x:c r="B45" s="48" t="str">
        <x:v>PL025</x:v>
      </x:c>
      <x:c r="C45" s="48" t="str">
        <x:v>V01</x:v>
      </x:c>
      <x:c r="D45" s="48" t="str">
        <x:v>PL025_佛山市巨人电器有限公司新建项目_01_受理公告或公示版.pdf</x:v>
      </x:c>
      <x:c r="E45" s="48" t="str">
        <x:v>佛山市巨人电器有限公司新建项目</x:v>
      </x:c>
      <x:c r="F45" s="48" t="str">
        <x:v>PL025_Emission_水污</x:v>
      </x:c>
      <x:c r="G45" s="48" t="str">
        <x:v>污染物排放标准-水污染物排放标准</x:v>
      </x:c>
      <x:c r="H4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45" s="48" t="str">
        <x:v>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x:v>
      </x:c>
      <x:c r="J45" s="48" t="str">
        <x:v>1、水："《城镇污水处理厂污染物排放标准》（GB18918-2002）一级A标准及《广东省水污染物排放限值》（DB44/26-2001）的较严值。""生活污水经三级化粪池处理后排入大门污水处理厂；循环冷却水通过市政雨水管网排放。"</x:v>
      </x:c>
      <x:c r="K45" s="48" t="str">
        <x:v>emission-standard-kb.jsonl; DB44/26-2001; DB44/2367-2022; GB31572-2015; GB14554-93; GB12348-2008; GB18597-2023; GB18599-2020</x:v>
      </x:c>
      <x:c r="L45" s="48" t="str">
        <x:v>2</x:v>
      </x:c>
      <x:c r="M45" s="48" t="str">
        <x:v>2</x:v>
      </x:c>
      <x:c r="N45" s="48" t="str">
        <x:v>False</x:v>
      </x:c>
      <x:c r="O45" s="48" t="str">
        <x:v>存在缺漏</x:v>
      </x:c>
      <x:c r="P45"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45" s="48"/>
      <x:c r="R45" s="48"/>
      <x:c r="S45" s="48" t="str">
        <x:v>是</x:v>
      </x:c>
      <x:c r="T45" s="48" t="str">
        <x:v>原综合排放标准问答对拆分而来</x:v>
      </x:c>
      <x:c r="U45" s="48" t="str">
        <x:v>30份环评_污染物排放控制执行标准复核QA(拆分版)</x:v>
      </x:c>
      <x:c r="V45" s="48" t="str">
        <x:v>水污染物排放标准</x:v>
      </x:c>
      <x:c r="W45" s="48" t="str">
        <x:v>存在缺漏</x:v>
      </x:c>
      <x:c r="X45" s="48" t="str">
        <x:v>存在缺漏</x:v>
      </x:c>
      <x:c r="Y45" s="64"/>
      <x:c r="Z45" s="64" t="str">
        <x:v>未复核</x:v>
      </x:c>
      <x:c r="AA45" s="64" t="str">
        <x:v>部分充分</x:v>
      </x:c>
      <x:c r="AB45" s="64" t="str">
        <x:v>有效</x:v>
      </x:c>
      <x:c r="AC45" s="64" t="str">
        <x:v>部分核验</x:v>
      </x:c>
      <x:c r="AD45" s="64" t="str">
        <x:v>自动默认</x:v>
      </x:c>
      <x:c r="AE45" s="64" t="str">
        <x:v>候选池</x:v>
      </x:c>
      <x:c r="AF45" s="64" t="str">
        <x:v>A_仅待终审</x:v>
      </x:c>
      <x:c r="AG45" s="64"/>
      <x:c r="AH45" s="64"/>
      <x:c r="AI45" s="64"/>
      <x:c r="AJ45" s="64"/>
      <x:c r="AK45" s="64"/>
      <x:c r="AL45" s="64"/>
      <x:c r="AM45" s="64"/>
      <x:c r="AN45" s="48" t="str">
        <x:v>130</x:v>
      </x:c>
      <x:c r="AO45" s="48" t="str">
        <x:v>MAP_存在缺漏</x:v>
      </x:c>
      <x:c r="AP45" s="48" t="str">
        <x:v>存在报告证据，但尚未经人工逐项核验；已列依据来源，但未在本阶段逐条核验</x:v>
      </x:c>
      <x:c r="AQ45" s="64"/>
      <x:c r="AR45" s="48" t="str">
        <x:v>water_emission_standard</x:v>
      </x:c>
      <x:c r="AS45" s="48" t="str">
        <x:v>L3_analysis</x:v>
      </x:c>
      <x:c r="AT45" s="48" t="str">
        <x:v>rule_applicability</x:v>
      </x:c>
      <x:c r="AU45" s="48" t="str">
        <x:v>basis_grounding</x:v>
      </x:c>
      <x:c r="AV45" s="48" t="str">
        <x:v>report_grounding；procedural_reasoning</x:v>
      </x:c>
      <x:c r="AW45" s="48" t="str">
        <x:v>high</x:v>
      </x:c>
      <x:c r="AX45" s="48" t="str">
        <x:v>high</x:v>
      </x:c>
      <x:c r="AY45" s="48" t="str">
        <x:v>report_plus_external</x:v>
      </x:c>
      <x:c r="AZ45" s="48" t="str">
        <x:v>True</x:v>
      </x:c>
      <x:c r="BA45" s="48"/>
      <x:c r="BB45" s="48" t="str">
        <x:v>auto_default</x:v>
      </x:c>
      <x:c r="BC45" s="48" t="str">
        <x:v>v1</x:v>
      </x:c>
      <x:c r="BD45" s="68"/>
    </x:row>
    <x:row r="46" ht="36" customHeight="1">
      <x:c r="A46" s="47" t="str">
        <x:v>2026-07-27</x:v>
      </x:c>
      <x:c r="B46" s="48" t="str">
        <x:v>PL025</x:v>
      </x:c>
      <x:c r="C46" s="48" t="str">
        <x:v>V01</x:v>
      </x:c>
      <x:c r="D46" s="48" t="str">
        <x:v>PL025_佛山市巨人电器有限公司新建项目_01_受理公告或公示版.pdf</x:v>
      </x:c>
      <x:c r="E46" s="48" t="str">
        <x:v>佛山市巨人电器有限公司新建项目</x:v>
      </x:c>
      <x:c r="F46" s="48" t="str">
        <x:v>PL025_Emission_大气</x:v>
      </x:c>
      <x:c r="G46" s="48" t="str">
        <x:v>污染物排放标准-大气污染物排放标准</x:v>
      </x:c>
      <x:c r="H46" s="48" t="str">
        <x:v>请根据项目行业类别、生产工艺和污染因子，判断大气污染物排放标准选取是否合理。要求分析：污染源覆盖是否完整（列出所有大气污染源及对应标准），是否存在缺漏的污染源或标准。</x:v>
      </x:c>
      <x:c r="I46" s="48" t="str">
        <x:v>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x:v>
      </x:c>
      <x:c r="J46" s="48" t="str">
        <x:v>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x:v>
      </x:c>
      <x:c r="K46" s="48" t="str">
        <x:v>emission-standard-kb.jsonl; DB44/26-2001; DB44/2367-2022; GB31572-2015; GB14554-93; GB12348-2008; GB18597-2023; GB18599-2020</x:v>
      </x:c>
      <x:c r="L46" s="48" t="str">
        <x:v>2</x:v>
      </x:c>
      <x:c r="M46" s="48" t="str">
        <x:v>2</x:v>
      </x:c>
      <x:c r="N46" s="48" t="str">
        <x:v>False</x:v>
      </x:c>
      <x:c r="O46" s="48" t="str">
        <x:v>存在缺漏</x:v>
      </x:c>
      <x:c r="P46"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46" s="48"/>
      <x:c r="R46" s="48"/>
      <x:c r="S46" s="48" t="str">
        <x:v>是</x:v>
      </x:c>
      <x:c r="T46" s="48" t="str">
        <x:v>原综合排放标准问答对拆分而来</x:v>
      </x:c>
      <x:c r="U46" s="48" t="str">
        <x:v>30份环评_污染物排放控制执行标准复核QA(拆分版)</x:v>
      </x:c>
      <x:c r="V46" s="48" t="str">
        <x:v>大气污染物排放标准</x:v>
      </x:c>
      <x:c r="W46" s="48" t="str">
        <x:v>存在缺漏</x:v>
      </x:c>
      <x:c r="X46" s="48" t="str">
        <x:v>存在缺漏</x:v>
      </x:c>
      <x:c r="Y46" s="64"/>
      <x:c r="Z46" s="64" t="str">
        <x:v>未复核</x:v>
      </x:c>
      <x:c r="AA46" s="64" t="str">
        <x:v>部分充分</x:v>
      </x:c>
      <x:c r="AB46" s="64" t="str">
        <x:v>有效</x:v>
      </x:c>
      <x:c r="AC46" s="64" t="str">
        <x:v>部分核验</x:v>
      </x:c>
      <x:c r="AD46" s="64" t="str">
        <x:v>自动默认</x:v>
      </x:c>
      <x:c r="AE46" s="64" t="str">
        <x:v>候选池</x:v>
      </x:c>
      <x:c r="AF46" s="64" t="str">
        <x:v>A_仅待终审</x:v>
      </x:c>
      <x:c r="AG46" s="64"/>
      <x:c r="AH46" s="64"/>
      <x:c r="AI46" s="64"/>
      <x:c r="AJ46" s="64"/>
      <x:c r="AK46" s="64"/>
      <x:c r="AL46" s="64"/>
      <x:c r="AM46" s="64"/>
      <x:c r="AN46" s="48" t="str">
        <x:v>131</x:v>
      </x:c>
      <x:c r="AO46" s="48" t="str">
        <x:v>MAP_存在缺漏</x:v>
      </x:c>
      <x:c r="AP46" s="48" t="str">
        <x:v>存在报告证据，但尚未经人工逐项核验；已列依据来源，但未在本阶段逐条核验</x:v>
      </x:c>
      <x:c r="AQ46" s="64"/>
      <x:c r="AR46" s="48" t="str">
        <x:v>air_emission_standard</x:v>
      </x:c>
      <x:c r="AS46" s="48" t="str">
        <x:v>L3_analysis</x:v>
      </x:c>
      <x:c r="AT46" s="48" t="str">
        <x:v>multi_evidence_synthesis</x:v>
      </x:c>
      <x:c r="AU46" s="48" t="str">
        <x:v>basis_grounding</x:v>
      </x:c>
      <x:c r="AV46" s="48" t="str">
        <x:v>report_grounding；evidence_integration</x:v>
      </x:c>
      <x:c r="AW46" s="48" t="str">
        <x:v>high</x:v>
      </x:c>
      <x:c r="AX46" s="48" t="str">
        <x:v>high</x:v>
      </x:c>
      <x:c r="AY46" s="48" t="str">
        <x:v>report_plus_external</x:v>
      </x:c>
      <x:c r="AZ46" s="48" t="str">
        <x:v>True</x:v>
      </x:c>
      <x:c r="BA46" s="48"/>
      <x:c r="BB46" s="48" t="str">
        <x:v>auto_default</x:v>
      </x:c>
      <x:c r="BC46" s="48" t="str">
        <x:v>v1</x:v>
      </x:c>
      <x:c r="BD46" s="68"/>
    </x:row>
    <x:row r="47" ht="36" customHeight="1">
      <x:c r="A47" s="47" t="str">
        <x:v>2026-07-27</x:v>
      </x:c>
      <x:c r="B47" s="48" t="str">
        <x:v>PL025</x:v>
      </x:c>
      <x:c r="C47" s="48" t="str">
        <x:v>V01</x:v>
      </x:c>
      <x:c r="D47" s="48" t="str">
        <x:v>PL025_佛山市巨人电器有限公司新建项目_01_受理公告或公示版.pdf</x:v>
      </x:c>
      <x:c r="E47" s="48" t="str">
        <x:v>佛山市巨人电器有限公司新建项目</x:v>
      </x:c>
      <x:c r="F47" s="48" t="str">
        <x:v>PL025_Emission_噪声</x:v>
      </x:c>
      <x:c r="G47" s="48" t="str">
        <x:v>污染物排放标准-噪声排放标准</x:v>
      </x:c>
      <x:c r="H47" s="48" t="str">
        <x:v>请根据项目所属声环境功能区类别，判断噪声排放标准选取是否合理。要求总结声功能区类型、厂界执行标准（GB12348-2008）及昼夜限值，并与环评编制内容进行一致性分析。</x:v>
      </x:c>
      <x:c r="I47" s="48" t="str">
        <x:v>1、噪声排放标准中执行标准与排放限值内容：存在缺漏；
2、存在缺漏。提取文本中未发现噪声排放标准章节，未引用GB12348-2008，未给出声功能区类别及昼夜限值。
4、</x:v>
      </x:c>
      <x:c r="J47" s="48" t="str">
        <x:v>3、噪声：提取文本中未发现噪声排放标准。
4、固体废物："一般工业固废间位于厂房一层，面积约5m²，一般工业固废由专业回收公司回收处理。""危险废物暂存危废间位于厂房一层，面积约5m²，定期交由相关资质单位进行处理。"未引用具体标准。</x:v>
      </x:c>
      <x:c r="K47" s="48" t="str">
        <x:v>emission-standard-kb.jsonl; DB44/26-2001; DB44/2367-2022; GB31572-2015; GB14554-93; GB12348-2008; GB18597-2023; GB18599-2020</x:v>
      </x:c>
      <x:c r="L47" s="48" t="str">
        <x:v>2</x:v>
      </x:c>
      <x:c r="M47" s="48" t="str">
        <x:v>2</x:v>
      </x:c>
      <x:c r="N47" s="48" t="str">
        <x:v>False</x:v>
      </x:c>
      <x:c r="O47" s="48" t="str">
        <x:v>存在缺漏</x:v>
      </x:c>
      <x:c r="P47"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47" s="48"/>
      <x:c r="R47" s="48"/>
      <x:c r="S47" s="48" t="str">
        <x:v>是</x:v>
      </x:c>
      <x:c r="T47" s="48" t="str">
        <x:v>原综合排放标准问答对拆分而来</x:v>
      </x:c>
      <x:c r="U47" s="48" t="str">
        <x:v>30份环评_污染物排放控制执行标准复核QA(拆分版)</x:v>
      </x:c>
      <x:c r="V47" s="48" t="str">
        <x:v>噪声排放标准</x:v>
      </x:c>
      <x:c r="W47" s="48" t="str">
        <x:v>存在缺漏</x:v>
      </x:c>
      <x:c r="X47" s="48" t="str">
        <x:v>存在缺漏</x:v>
      </x:c>
      <x:c r="Y47" s="64"/>
      <x:c r="Z47" s="64" t="str">
        <x:v>未复核</x:v>
      </x:c>
      <x:c r="AA47" s="64" t="str">
        <x:v>部分充分</x:v>
      </x:c>
      <x:c r="AB47" s="64" t="str">
        <x:v>有效</x:v>
      </x:c>
      <x:c r="AC47" s="64" t="str">
        <x:v>部分核验</x:v>
      </x:c>
      <x:c r="AD47" s="64" t="str">
        <x:v>自动默认</x:v>
      </x:c>
      <x:c r="AE47" s="64" t="str">
        <x:v>候选池</x:v>
      </x:c>
      <x:c r="AF47" s="64" t="str">
        <x:v>A_仅待终审</x:v>
      </x:c>
      <x:c r="AG47" s="64"/>
      <x:c r="AH47" s="64"/>
      <x:c r="AI47" s="64"/>
      <x:c r="AJ47" s="64"/>
      <x:c r="AK47" s="64"/>
      <x:c r="AL47" s="64"/>
      <x:c r="AM47" s="64"/>
      <x:c r="AN47" s="48" t="str">
        <x:v>132</x:v>
      </x:c>
      <x:c r="AO47" s="48" t="str">
        <x:v>MAP_存在缺漏</x:v>
      </x:c>
      <x:c r="AP47" s="48" t="str">
        <x:v>存在报告证据，但尚未经人工逐项核验；已列依据来源，但未在本阶段逐条核验</x:v>
      </x:c>
      <x:c r="AQ47" s="64"/>
      <x:c r="AR47" s="48" t="str">
        <x:v>noise_emission_standard</x:v>
      </x:c>
      <x:c r="AS47" s="48" t="str">
        <x:v>L2_application</x:v>
      </x:c>
      <x:c r="AT47" s="48" t="str">
        <x:v>rule_applicability</x:v>
      </x:c>
      <x:c r="AU47" s="48" t="str">
        <x:v>basis_grounding</x:v>
      </x:c>
      <x:c r="AV47" s="48" t="str">
        <x:v>report_grounding</x:v>
      </x:c>
      <x:c r="AW47" s="48" t="str">
        <x:v>high</x:v>
      </x:c>
      <x:c r="AX47" s="48" t="str">
        <x:v>medium</x:v>
      </x:c>
      <x:c r="AY47" s="48" t="str">
        <x:v>report_plus_external</x:v>
      </x:c>
      <x:c r="AZ47" s="48" t="str">
        <x:v>True</x:v>
      </x:c>
      <x:c r="BA47" s="48"/>
      <x:c r="BB47" s="48" t="str">
        <x:v>auto_default</x:v>
      </x:c>
      <x:c r="BC47" s="48" t="str">
        <x:v>v1</x:v>
      </x:c>
      <x:c r="BD47" s="68"/>
    </x:row>
    <x:row r="48" ht="36" customHeight="1">
      <x:c r="A48" s="47" t="str">
        <x:v>2026-07-28</x:v>
      </x:c>
      <x:c r="B48" s="48" t="str">
        <x:v>PL026</x:v>
      </x:c>
      <x:c r="C48" s="48" t="str">
        <x:v>V01</x:v>
      </x:c>
      <x:c r="D48" s="48" t="str">
        <x:v>PL026_佛山市黑曜电器科技有限公司新建项目_01_报批稿或报告表.pdf</x:v>
      </x:c>
      <x:c r="E48" s="48" t="str">
        <x:v>佛山市黑曜电器科技有限公司新建项目</x:v>
      </x:c>
      <x:c r="F48" s="48" t="str">
        <x:v>PL026_EnvQuality_Q01</x:v>
      </x:c>
      <x:c r="G48" s="48" t="str">
        <x:v>大气及地表水环境质量现状数据引用</x:v>
      </x:c>
      <x:c r="H48" s="48" t="str">
        <x:v>请根据报告引用的环境质量公报及现状数据，判断大气和地表水环境质量现状数据引用是否准确。</x:v>
      </x:c>
      <x:c r="I48" s="48" t="str">
        <x:v>1、【大气及地表水环境质量引用数据不正确，现状分析与公报不一致】；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不一致：报告将“细滘大桥”断面标注为桂洲水道断面，正确内容应为细滘大桥属鸡鸦水道断面（Ⅱ类），桂州水道对应断面为南头大桥（Ⅱ类）。报告河流-断面张冠李戴（公报P5-7）；虽两断面水质类别均为Ⅱ类、结论（符合Ⅲ类）未失真，但河流-断面对应关系错误。经检索，截至审核日该地区最新的环境状况公报为《2024年度佛山市顺德区生态环境状况公报》（佛环顺函〔2025〕12号，2025-04-03发布），可供参考。</x:v>
      </x:c>
      <x:c r="J48" s="48" t="str">
        <x:v>证据位置:大气：Page 33-34；地表水：Page 34; 大气公报:《2023年度佛山市顺德区生态环境状况公报》; 地表水资料:《2023年度佛山市顺德区生态环境状况公报》</x:v>
      </x:c>
      <x:c r="K48" s="48" t="str">
        <x:v>生态环境状况公报知识库; 收纳水体地表水执行标准</x:v>
      </x:c>
      <x:c r="L48" s="48" t="str">
        <x:v>2</x:v>
      </x:c>
      <x:c r="M48" s="48" t="str">
        <x:v>2</x:v>
      </x:c>
      <x:c r="N48" s="48" t="str">
        <x:v>False</x:v>
      </x:c>
      <x:c r="O48" s="48" t="str">
        <x:v>需修正</x:v>
      </x:c>
      <x:c r="P48" s="48" t="str">
        <x:v>大气:正确; 地表水:不正确; 报告日期:未明确</x:v>
      </x:c>
      <x:c r="Q48" s="48"/>
      <x:c r="R48" s="48"/>
      <x:c r="S48" s="48" t="str">
        <x:v>是</x:v>
      </x:c>
      <x:c r="T48" s="48" t="str">
        <x:v>桂洲水道对应断面：细滘大桥为鸡鸦水道断面（Ⅱ类），非桂洲(州)水道断面；桂州水道对应断面为南头大桥（Ⅱ类）。报告河流-断面张冠李戴（公报P5-7）。</x:v>
      </x:c>
      <x:c r="U48" s="48" t="str">
        <x:v>30个环评_大气及地表水环境质量现状数据引用复核QA</x:v>
      </x:c>
      <x:c r="V48" s="48" t="str">
        <x:v>环境质量数据引用</x:v>
      </x:c>
      <x:c r="W48" s="48" t="str">
        <x:v>需修正</x:v>
      </x:c>
      <x:c r="X48" s="48" t="str">
        <x:v>待判断</x:v>
      </x:c>
      <x:c r="Y48" s="64"/>
      <x:c r="Z48" s="64" t="str">
        <x:v>未复核</x:v>
      </x:c>
      <x:c r="AA48" s="64" t="str">
        <x:v>部分充分</x:v>
      </x:c>
      <x:c r="AB48" s="64" t="str">
        <x:v>有效</x:v>
      </x:c>
      <x:c r="AC48" s="64" t="str">
        <x:v>部分核验</x:v>
      </x:c>
      <x:c r="AD48" s="64" t="str">
        <x:v>自动默认</x:v>
      </x:c>
      <x:c r="AE48" s="64" t="str">
        <x:v>候选池</x:v>
      </x:c>
      <x:c r="AF48" s="64" t="str">
        <x:v>A_仅待终审</x:v>
      </x:c>
      <x:c r="AG48" s="64"/>
      <x:c r="AH48" s="64"/>
      <x:c r="AI48" s="64"/>
      <x:c r="AJ48" s="64"/>
      <x:c r="AK48" s="64"/>
      <x:c r="AL48" s="64"/>
      <x:c r="AM48" s="64"/>
      <x:c r="AN48" s="48" t="str">
        <x:v>136</x:v>
      </x:c>
      <x:c r="AO48" s="48" t="str">
        <x:v>MAP_需修正</x:v>
      </x:c>
      <x:c r="AP48" s="48" t="str">
        <x:v>需人工区分实质问题或表达优化；存在报告证据，但尚未经人工逐项核验；已列依据来源，但未在本阶段逐条核验</x:v>
      </x:c>
      <x:c r="AQ48" s="64"/>
      <x:c r="AR48" s="48" t="str">
        <x:v>environmental_quality_data</x:v>
      </x:c>
      <x:c r="AS48" s="48" t="str">
        <x:v>L3_analysis</x:v>
      </x:c>
      <x:c r="AT48" s="48" t="str">
        <x:v>consistency_comparison</x:v>
      </x:c>
      <x:c r="AU48" s="48" t="str">
        <x:v>evidence_integration</x:v>
      </x:c>
      <x:c r="AV48" s="48" t="str">
        <x:v>report_grounding；basis_grounding</x:v>
      </x:c>
      <x:c r="AW48" s="48" t="str">
        <x:v>high</x:v>
      </x:c>
      <x:c r="AX48" s="48" t="str">
        <x:v>high</x:v>
      </x:c>
      <x:c r="AY48" s="48" t="str">
        <x:v>report_plus_external</x:v>
      </x:c>
      <x:c r="AZ48" s="48" t="str">
        <x:v>True</x:v>
      </x:c>
      <x:c r="BA48" s="48"/>
      <x:c r="BB48" s="48" t="str">
        <x:v>auto_default</x:v>
      </x:c>
      <x:c r="BC48" s="48" t="str">
        <x:v>v1</x:v>
      </x:c>
      <x:c r="BD48" s="68"/>
    </x:row>
    <x:row r="49" ht="36" customHeight="1">
      <x:c r="A49" s="47" t="str">
        <x:v>2026-07-27</x:v>
      </x:c>
      <x:c r="B49" s="48" t="str">
        <x:v>PL026</x:v>
      </x:c>
      <x:c r="C49" s="48" t="str">
        <x:v>V01</x:v>
      </x:c>
      <x:c r="D49" s="48" t="str">
        <x:v>PL026_佛山市黑曜电器科技有限公司新建项目_01_报批稿或报告表.pdf</x:v>
      </x:c>
      <x:c r="E49" s="48" t="str">
        <x:v>佛山市黑曜电器科技有限公司新建项目</x:v>
      </x:c>
      <x:c r="F49" s="48" t="str">
        <x:v>PL026_Emission_噪声</x:v>
      </x:c>
      <x:c r="G49" s="48" t="str">
        <x:v>污染物排放标准-噪声排放标准</x:v>
      </x:c>
      <x:c r="H49" s="48" t="str">
        <x:v>请根据项目所属声环境功能区类别，判断噪声排放标准选取是否合理。要求总结声功能区类型、厂界执行标准（GB12348-2008）及昼夜限值，并与环评编制内容进行一致性分析。</x:v>
      </x:c>
      <x:c r="I49" s="48" t="str">
        <x:v>1、噪声排放标准中执行标准与排放限值内容：存在缺漏；
2、存在缺漏。报告在环境质量现状章节提到项目位于声环境2类功能区，但提取文本中未发现排放标准章节明确引用《工业企业厂界环境噪声排放标准》（GB12348-2008）及昼夜限值（2类：昼间60dB(A)、夜间50dB(A)）。声功能区类别已有依据，但排放标准引用和限值填写缺失。
4、</x:v>
      </x:c>
      <x:c r="J49" s="48" t="str">
        <x:v>3、噪声："项目位于声环境2类功能区"，但提取文本中未发现GB12348-2008引用及昼夜限值。
4、固体废物："生活垃圾集中堆放，委托环卫部门及时清运处置；一般工业固废进行统一收集后外售；危险废物经收集后委托有资质单位进行处理，厂区设有一5m²危废仓库，并做好三防处理。"未引用具体标准编号。</x:v>
      </x:c>
      <x:c r="K49" s="48" t="str">
        <x:v>emission-standard-kb.jsonl; DB44/26-2001; DB44/2367-2022; GB31572-2015; GB14554-93; GB12348-2008; GB18597-2023; GB18599-2020</x:v>
      </x:c>
      <x:c r="L49" s="48" t="str">
        <x:v>2</x:v>
      </x:c>
      <x:c r="M49" s="48" t="str">
        <x:v>2</x:v>
      </x:c>
      <x:c r="N49" s="48" t="str">
        <x:v>False</x:v>
      </x:c>
      <x:c r="O49" s="48" t="str">
        <x:v>存在缺漏</x:v>
      </x:c>
      <x:c r="P49"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49" s="48"/>
      <x:c r="R49" s="48"/>
      <x:c r="S49" s="48" t="str">
        <x:v>是</x:v>
      </x:c>
      <x:c r="T49" s="48" t="str">
        <x:v>原综合排放标准问答对拆分而来</x:v>
      </x:c>
      <x:c r="U49" s="48" t="str">
        <x:v>30份环评_污染物排放控制执行标准复核QA(拆分版)</x:v>
      </x:c>
      <x:c r="V49" s="48" t="str">
        <x:v>噪声排放标准</x:v>
      </x:c>
      <x:c r="W49" s="48" t="str">
        <x:v>存在缺漏</x:v>
      </x:c>
      <x:c r="X49" s="48" t="str">
        <x:v>存在缺漏</x:v>
      </x:c>
      <x:c r="Y49" s="64"/>
      <x:c r="Z49" s="64" t="str">
        <x:v>未复核</x:v>
      </x:c>
      <x:c r="AA49" s="64" t="str">
        <x:v>部分充分</x:v>
      </x:c>
      <x:c r="AB49" s="64" t="str">
        <x:v>有效</x:v>
      </x:c>
      <x:c r="AC49" s="64" t="str">
        <x:v>部分核验</x:v>
      </x:c>
      <x:c r="AD49" s="64" t="str">
        <x:v>自动默认</x:v>
      </x:c>
      <x:c r="AE49" s="64" t="str">
        <x:v>候选池</x:v>
      </x:c>
      <x:c r="AF49" s="64" t="str">
        <x:v>A_仅待终审</x:v>
      </x:c>
      <x:c r="AG49" s="64"/>
      <x:c r="AH49" s="64"/>
      <x:c r="AI49" s="64"/>
      <x:c r="AJ49" s="64"/>
      <x:c r="AK49" s="64"/>
      <x:c r="AL49" s="64"/>
      <x:c r="AM49" s="64"/>
      <x:c r="AN49" s="48" t="str">
        <x:v>139</x:v>
      </x:c>
      <x:c r="AO49" s="48" t="str">
        <x:v>MAP_存在缺漏</x:v>
      </x:c>
      <x:c r="AP49" s="48" t="str">
        <x:v>存在报告证据，但尚未经人工逐项核验；已列依据来源，但未在本阶段逐条核验</x:v>
      </x:c>
      <x:c r="AQ49" s="64"/>
      <x:c r="AR49" s="48" t="str">
        <x:v>noise_emission_standard</x:v>
      </x:c>
      <x:c r="AS49" s="48" t="str">
        <x:v>L2_application</x:v>
      </x:c>
      <x:c r="AT49" s="48" t="str">
        <x:v>rule_applicability</x:v>
      </x:c>
      <x:c r="AU49" s="48" t="str">
        <x:v>basis_grounding</x:v>
      </x:c>
      <x:c r="AV49" s="48" t="str">
        <x:v>report_grounding</x:v>
      </x:c>
      <x:c r="AW49" s="48" t="str">
        <x:v>high</x:v>
      </x:c>
      <x:c r="AX49" s="48" t="str">
        <x:v>medium</x:v>
      </x:c>
      <x:c r="AY49" s="48" t="str">
        <x:v>report_plus_external</x:v>
      </x:c>
      <x:c r="AZ49" s="48" t="str">
        <x:v>True</x:v>
      </x:c>
      <x:c r="BA49" s="48"/>
      <x:c r="BB49" s="48" t="str">
        <x:v>auto_default</x:v>
      </x:c>
      <x:c r="BC49" s="48" t="str">
        <x:v>v1</x:v>
      </x:c>
      <x:c r="BD49" s="68"/>
    </x:row>
    <x:row r="50" ht="36" customHeight="1">
      <x:c r="A50" s="47" t="str">
        <x:v>2026-07-28</x:v>
      </x:c>
      <x:c r="B50" s="48" t="str">
        <x:v>PL027</x:v>
      </x:c>
      <x:c r="C50" s="48" t="str">
        <x:v>V01</x:v>
      </x:c>
      <x:c r="D50" s="48" t="str">
        <x:v>PL027_佛山市天隆通塑料制品有限公司新建项目_01_受理公告或公示版.pdf</x:v>
      </x:c>
      <x:c r="E50" s="48" t="str">
        <x:v>佛山市天隆通塑料制品有限公司新建项目</x:v>
      </x:c>
      <x:c r="F50" s="48" t="str">
        <x:v>PL027_EnvQuality_Q01</x:v>
      </x:c>
      <x:c r="G50" s="48" t="str">
        <x:v>大气及地表水环境质量现状数据引用</x:v>
      </x:c>
      <x:c r="H50" s="48" t="str">
        <x:v>请根据报告引用的环境质量公报及现状数据，判断大气和地表水环境质量现状数据引用是否准确。</x:v>
      </x:c>
      <x:c r="I50" s="48" t="str">
        <x:v>1、大气及地表水环境质量引用数据正确；
2、项目大气环境质量引用《2023年度佛山市顺德区生态环境状况公报》（报告中称为“2023年度佛山市顺德区环境质量状况公报”）。环评对大气环境质量分析内容与《2023年度佛山市顺德区生态环境状况公报》中大气环境状况描述一致，报告中引用了2023年度和2022年度公报数据进行对比分析，数据年份在近3年度窗口内。经检索，截至审核日该地区最新的环境状况公报为《2024年度佛山市顺德区生态环境状况公报》，可供参考。
项目地表水环境质量引用《2023年度佛山市顺德区生态环境状况公报》（报告中称为“2023年度佛山市顺德区环境质量状况公报”）。环评对地表水环境质量分析内容与《2023年度佛山市顺德区生态环境状况公报》中地表水环境状况描述一致。项目污水处理厂尾水受纳河道为顺德支流（勒流污水处理厂），与官方登记一致。</x:v>
      </x:c>
      <x:c r="J50" s="48" t="str">
        <x:v>证据位置:大气：env_text第2269行，‘根据《2023年度顺德区环境质量状况公报》中的数据和结论...’，第2266行，‘2023年公报与2022年公报中的环境空气质量统计分析数据均采用实况数据’；地表水：env_text第2377行，‘根据佛山市生态环境局顺德分局关于发布2023年度佛山市顺德区环境质量状况公报...’，第2373行，‘尾水排入顺德支...’; 大气公报:《2023年度佛山市顺德区生态环境状况公报》（报告中称为“2023年度佛山市顺德区环境质量状况公报”）; 地表水资料:《2023年度佛山市顺德区生态环境状况公报》（报告中称为“2023年度佛山市顺德区环境质量状况公报”）</x:v>
      </x:c>
      <x:c r="K50" s="48" t="str">
        <x:v>生态环境状况公报知识库; 收纳水体地表水执行标准</x:v>
      </x:c>
      <x:c r="L50" s="48" t="str">
        <x:v>2</x:v>
      </x:c>
      <x:c r="M50" s="48" t="str">
        <x:v>2</x:v>
      </x:c>
      <x:c r="N50" s="48" t="str">
        <x:v>False</x:v>
      </x:c>
      <x:c r="O50" s="48" t="str">
        <x:v>正确</x:v>
      </x:c>
      <x:c r="P50" s="48" t="str">
        <x:v>大气:正确; 地表水:正确; 报告日期:2024</x:v>
      </x:c>
      <x:c r="Q50" s="48"/>
      <x:c r="R50" s="48"/>
      <x:c r="S50" s="48" t="str">
        <x:v>是</x:v>
      </x:c>
      <x:c r="T50" s="48" t="str">
        <x:v>报告中公报名称使用“环境质量状况公报”而非官方“生态环境状况公报”，存在轻微命名差异，但数据引用年度（2023年度）正确，分析内容与公报一致，勒流污水处理厂尾水受纳河道（顺德支流）与官方登记一致。</x:v>
      </x:c>
      <x:c r="U50" s="48" t="str">
        <x:v>30个环评_大气及地表水环境质量现状数据引用复核QA</x:v>
      </x:c>
      <x:c r="V50" s="48" t="str">
        <x:v>环境质量数据引用</x:v>
      </x:c>
      <x:c r="W50" s="48" t="str">
        <x:v>正确</x:v>
      </x:c>
      <x:c r="X50" s="48" t="str">
        <x:v>无误</x:v>
      </x:c>
      <x:c r="Y50" s="64"/>
      <x:c r="Z50" s="64" t="str">
        <x:v>未复核</x:v>
      </x:c>
      <x:c r="AA50" s="64" t="str">
        <x:v>部分充分</x:v>
      </x:c>
      <x:c r="AB50" s="64" t="str">
        <x:v>有效</x:v>
      </x:c>
      <x:c r="AC50" s="64" t="str">
        <x:v>部分核验</x:v>
      </x:c>
      <x:c r="AD50" s="64" t="str">
        <x:v>自动默认</x:v>
      </x:c>
      <x:c r="AE50" s="64" t="str">
        <x:v>候选池</x:v>
      </x:c>
      <x:c r="AF50" s="64" t="str">
        <x:v>A_仅待终审</x:v>
      </x:c>
      <x:c r="AG50" s="64"/>
      <x:c r="AH50" s="64"/>
      <x:c r="AI50" s="64"/>
      <x:c r="AJ50" s="64"/>
      <x:c r="AK50" s="64"/>
      <x:c r="AL50" s="64"/>
      <x:c r="AM50" s="64"/>
      <x:c r="AN50" s="48" t="str">
        <x:v>143</x:v>
      </x:c>
      <x:c r="AO50" s="48" t="str">
        <x:v>MAP_正确</x:v>
      </x:c>
      <x:c r="AP50" s="48" t="str">
        <x:v>存在报告证据，但尚未经人工逐项核验；已列依据来源，但未在本阶段逐条核验</x:v>
      </x:c>
      <x:c r="AQ50" s="64"/>
      <x:c r="AR50" s="48" t="str">
        <x:v>environmental_quality_data</x:v>
      </x:c>
      <x:c r="AS50" s="48" t="str">
        <x:v>L3_analysis</x:v>
      </x:c>
      <x:c r="AT50" s="48" t="str">
        <x:v>consistency_comparison</x:v>
      </x:c>
      <x:c r="AU50" s="48" t="str">
        <x:v>evidence_integration</x:v>
      </x:c>
      <x:c r="AV50" s="48" t="str">
        <x:v>report_grounding；basis_grounding</x:v>
      </x:c>
      <x:c r="AW50" s="48" t="str">
        <x:v>high</x:v>
      </x:c>
      <x:c r="AX50" s="48" t="str">
        <x:v>high</x:v>
      </x:c>
      <x:c r="AY50" s="48" t="str">
        <x:v>report_plus_external</x:v>
      </x:c>
      <x:c r="AZ50" s="48" t="str">
        <x:v>True</x:v>
      </x:c>
      <x:c r="BA50" s="48"/>
      <x:c r="BB50" s="48" t="str">
        <x:v>auto_default</x:v>
      </x:c>
      <x:c r="BC50" s="48" t="str">
        <x:v>v1</x:v>
      </x:c>
      <x:c r="BD50" s="68"/>
    </x:row>
    <x:row r="51" ht="36" customHeight="1">
      <x:c r="A51" s="47" t="str">
        <x:v>2026-07-27</x:v>
      </x:c>
      <x:c r="B51" s="48" t="str">
        <x:v>PL027</x:v>
      </x:c>
      <x:c r="C51" s="48" t="str">
        <x:v>V01</x:v>
      </x:c>
      <x:c r="D51" s="48" t="str">
        <x:v>PL027_佛山市天隆通塑料制品有限公司新建项目_01_受理公告或公示版.pdf</x:v>
      </x:c>
      <x:c r="E51" s="48" t="str">
        <x:v>佛山市天隆通塑料制品有限公司新建项目</x:v>
      </x:c>
      <x:c r="F51" s="48" t="str">
        <x:v>PL027_Emission_水污</x:v>
      </x:c>
      <x:c r="G51" s="48" t="str">
        <x:v>污染物排放标准-水污染物排放标准</x:v>
      </x:c>
      <x:c r="H5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51" s="48" t="str">
        <x:v>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x:v>
      </x:c>
      <x:c r="J51" s="48" t="str">
        <x:v>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x:v>
      </x:c>
      <x:c r="K51" s="48" t="str">
        <x:v>emission-standard-kb.jsonl; DB44/26-2001; DB44/2367-2022; GB31572-2015; GB14554-93; GB12348-2008; GB18597-2023; GB18599-2020</x:v>
      </x:c>
      <x:c r="L51" s="48" t="str">
        <x:v>2</x:v>
      </x:c>
      <x:c r="M51" s="48" t="str">
        <x:v>2</x:v>
      </x:c>
      <x:c r="N51" s="48" t="str">
        <x:v>False</x:v>
      </x:c>
      <x:c r="O51" s="48" t="str">
        <x:v>存在缺漏</x:v>
      </x:c>
      <x:c r="P51"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51" s="48"/>
      <x:c r="R51" s="48"/>
      <x:c r="S51" s="48" t="str">
        <x:v>是</x:v>
      </x:c>
      <x:c r="T51" s="48" t="str">
        <x:v>原综合排放标准问答对拆分而来</x:v>
      </x:c>
      <x:c r="U51" s="48" t="str">
        <x:v>30份环评_污染物排放控制执行标准复核QA(拆分版)</x:v>
      </x:c>
      <x:c r="V51" s="48" t="str">
        <x:v>水污染物排放标准</x:v>
      </x:c>
      <x:c r="W51" s="48" t="str">
        <x:v>存在缺漏</x:v>
      </x:c>
      <x:c r="X51" s="48" t="str">
        <x:v>存在缺漏</x:v>
      </x:c>
      <x:c r="Y51" s="64"/>
      <x:c r="Z51" s="64" t="str">
        <x:v>未复核</x:v>
      </x:c>
      <x:c r="AA51" s="64" t="str">
        <x:v>部分充分</x:v>
      </x:c>
      <x:c r="AB51" s="64" t="str">
        <x:v>有效</x:v>
      </x:c>
      <x:c r="AC51" s="64" t="str">
        <x:v>部分核验</x:v>
      </x:c>
      <x:c r="AD51" s="64" t="str">
        <x:v>自动默认</x:v>
      </x:c>
      <x:c r="AE51" s="64" t="str">
        <x:v>候选池</x:v>
      </x:c>
      <x:c r="AF51" s="64" t="str">
        <x:v>A_仅待终审</x:v>
      </x:c>
      <x:c r="AG51" s="64"/>
      <x:c r="AH51" s="64"/>
      <x:c r="AI51" s="64"/>
      <x:c r="AJ51" s="64"/>
      <x:c r="AK51" s="64"/>
      <x:c r="AL51" s="64"/>
      <x:c r="AM51" s="64"/>
      <x:c r="AN51" s="48" t="str">
        <x:v>144</x:v>
      </x:c>
      <x:c r="AO51" s="48" t="str">
        <x:v>MAP_存在缺漏</x:v>
      </x:c>
      <x:c r="AP51" s="48" t="str">
        <x:v>存在报告证据，但尚未经人工逐项核验；已列依据来源，但未在本阶段逐条核验</x:v>
      </x:c>
      <x:c r="AQ51" s="64"/>
      <x:c r="AR51" s="48" t="str">
        <x:v>water_emission_standard</x:v>
      </x:c>
      <x:c r="AS51" s="48" t="str">
        <x:v>L3_analysis</x:v>
      </x:c>
      <x:c r="AT51" s="48" t="str">
        <x:v>rule_applicability</x:v>
      </x:c>
      <x:c r="AU51" s="48" t="str">
        <x:v>basis_grounding</x:v>
      </x:c>
      <x:c r="AV51" s="48" t="str">
        <x:v>report_grounding；procedural_reasoning</x:v>
      </x:c>
      <x:c r="AW51" s="48" t="str">
        <x:v>high</x:v>
      </x:c>
      <x:c r="AX51" s="48" t="str">
        <x:v>high</x:v>
      </x:c>
      <x:c r="AY51" s="48" t="str">
        <x:v>report_plus_external</x:v>
      </x:c>
      <x:c r="AZ51" s="48" t="str">
        <x:v>True</x:v>
      </x:c>
      <x:c r="BA51" s="48"/>
      <x:c r="BB51" s="48" t="str">
        <x:v>auto_default</x:v>
      </x:c>
      <x:c r="BC51" s="48" t="str">
        <x:v>v1</x:v>
      </x:c>
      <x:c r="BD51" s="68"/>
    </x:row>
    <x:row r="52" ht="36" customHeight="1">
      <x:c r="A52" s="47" t="str">
        <x:v>2026-07-27</x:v>
      </x:c>
      <x:c r="B52" s="48" t="str">
        <x:v>PL027</x:v>
      </x:c>
      <x:c r="C52" s="48" t="str">
        <x:v>V01</x:v>
      </x:c>
      <x:c r="D52" s="48" t="str">
        <x:v>PL027_佛山市天隆通塑料制品有限公司新建项目_01_受理公告或公示版.pdf</x:v>
      </x:c>
      <x:c r="E52" s="48" t="str">
        <x:v>佛山市天隆通塑料制品有限公司新建项目</x:v>
      </x:c>
      <x:c r="F52" s="48" t="str">
        <x:v>PL027_Emission_大气</x:v>
      </x:c>
      <x:c r="G52" s="48" t="str">
        <x:v>污染物排放标准-大气污染物排放标准</x:v>
      </x:c>
      <x:c r="H52" s="48" t="str">
        <x:v>请根据项目行业类别、生产工艺和污染因子，判断大气污染物排放标准选取是否合理。要求分析：污染源覆盖是否完整（列出所有大气污染源及对应标准），是否存在缺漏的污染源或标准。</x:v>
      </x:c>
      <x:c r="I52" s="48" t="str">
        <x:v>1、污染排放标准分析污染源内容：不完整；
2、大气污染物排放标准分析：报告在政策相符性分析中提及《固定污染源挥发性有机物综合排放标准》（DB44/2367-2022），有机废气经活性炭吸附装置处理后通过55米排气筒G1排放，初始排放速率0.171kg/h小于3kg/h。但报告未以结构化方式明确列出各污染因子的执行标准名称、标准号及具体限值。对于PU发泡工艺产生的有机废气，应明确引用DB44/2367-2022的具体限值，并考虑是否适用GB31572-2015（合成树脂工业标准）、GB14554-93（恶臭污染物排放标准）等标准。报告未完整列出大气排放标准体系，存在缺漏。
3.</x:v>
      </x:c>
      <x:c r="J52" s="48" t="str">
        <x:v>大气标准片段：「灌注、发泡熟化成型经收集后通过‘活性炭吸附装置’处理后通过55 米排气筒G1 排放」「项目产生的有机废气初始排放速率为0.171kg/h，小于3kg/h，项目设置活性炭吸附装置处理有机废气，处理效率为50%。」
3.</x:v>
      </x:c>
      <x:c r="K52" s="48" t="str">
        <x:v>emission-standard-kb.jsonl; DB44/26-2001; DB44/2367-2022; GB31572-2015; GB14554-93; GB12348-2008; GB18597-2023; GB18599-2020</x:v>
      </x:c>
      <x:c r="L52" s="48" t="str">
        <x:v>2</x:v>
      </x:c>
      <x:c r="M52" s="48" t="str">
        <x:v>2</x:v>
      </x:c>
      <x:c r="N52" s="48" t="str">
        <x:v>False</x:v>
      </x:c>
      <x:c r="O52" s="48" t="str">
        <x:v>存在缺漏</x:v>
      </x:c>
      <x:c r="P52"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52" s="48"/>
      <x:c r="R52" s="48"/>
      <x:c r="S52" s="48" t="str">
        <x:v>是</x:v>
      </x:c>
      <x:c r="T52" s="48" t="str">
        <x:v>原综合排放标准问答对拆分而来</x:v>
      </x:c>
      <x:c r="U52" s="48" t="str">
        <x:v>30份环评_污染物排放控制执行标准复核QA(拆分版)</x:v>
      </x:c>
      <x:c r="V52" s="48" t="str">
        <x:v>大气污染物排放标准</x:v>
      </x:c>
      <x:c r="W52" s="48" t="str">
        <x:v>存在缺漏</x:v>
      </x:c>
      <x:c r="X52" s="48" t="str">
        <x:v>存在缺漏</x:v>
      </x:c>
      <x:c r="Y52" s="64"/>
      <x:c r="Z52" s="64" t="str">
        <x:v>未复核</x:v>
      </x:c>
      <x:c r="AA52" s="64" t="str">
        <x:v>部分充分</x:v>
      </x:c>
      <x:c r="AB52" s="64" t="str">
        <x:v>有效</x:v>
      </x:c>
      <x:c r="AC52" s="64" t="str">
        <x:v>部分核验</x:v>
      </x:c>
      <x:c r="AD52" s="64" t="str">
        <x:v>自动默认</x:v>
      </x:c>
      <x:c r="AE52" s="64" t="str">
        <x:v>候选池</x:v>
      </x:c>
      <x:c r="AF52" s="64" t="str">
        <x:v>A_仅待终审</x:v>
      </x:c>
      <x:c r="AG52" s="64"/>
      <x:c r="AH52" s="64"/>
      <x:c r="AI52" s="64"/>
      <x:c r="AJ52" s="64"/>
      <x:c r="AK52" s="64"/>
      <x:c r="AL52" s="64"/>
      <x:c r="AM52" s="64"/>
      <x:c r="AN52" s="48" t="str">
        <x:v>145</x:v>
      </x:c>
      <x:c r="AO52" s="48" t="str">
        <x:v>MAP_存在缺漏</x:v>
      </x:c>
      <x:c r="AP52" s="48" t="str">
        <x:v>存在报告证据，但尚未经人工逐项核验；已列依据来源，但未在本阶段逐条核验</x:v>
      </x:c>
      <x:c r="AQ52" s="64"/>
      <x:c r="AR52" s="48" t="str">
        <x:v>air_emission_standard</x:v>
      </x:c>
      <x:c r="AS52" s="48" t="str">
        <x:v>L3_analysis</x:v>
      </x:c>
      <x:c r="AT52" s="48" t="str">
        <x:v>multi_evidence_synthesis</x:v>
      </x:c>
      <x:c r="AU52" s="48" t="str">
        <x:v>basis_grounding</x:v>
      </x:c>
      <x:c r="AV52" s="48" t="str">
        <x:v>report_grounding；evidence_integration</x:v>
      </x:c>
      <x:c r="AW52" s="48" t="str">
        <x:v>high</x:v>
      </x:c>
      <x:c r="AX52" s="48" t="str">
        <x:v>high</x:v>
      </x:c>
      <x:c r="AY52" s="48" t="str">
        <x:v>report_plus_external</x:v>
      </x:c>
      <x:c r="AZ52" s="48" t="str">
        <x:v>True</x:v>
      </x:c>
      <x:c r="BA52" s="48"/>
      <x:c r="BB52" s="48" t="str">
        <x:v>auto_default</x:v>
      </x:c>
      <x:c r="BC52" s="48" t="str">
        <x:v>v1</x:v>
      </x:c>
      <x:c r="BD52" s="68"/>
    </x:row>
    <x:row r="53" ht="36" customHeight="1">
      <x:c r="A53" s="47" t="str">
        <x:v>2026-07-27</x:v>
      </x:c>
      <x:c r="B53" s="48" t="str">
        <x:v>PL027</x:v>
      </x:c>
      <x:c r="C53" s="48" t="str">
        <x:v>V01</x:v>
      </x:c>
      <x:c r="D53" s="48" t="str">
        <x:v>PL027_佛山市天隆通塑料制品有限公司新建项目_01_受理公告或公示版.pdf</x:v>
      </x:c>
      <x:c r="E53" s="48" t="str">
        <x:v>佛山市天隆通塑料制品有限公司新建项目</x:v>
      </x:c>
      <x:c r="F53" s="48" t="str">
        <x:v>PL027_Emission_噪声</x:v>
      </x:c>
      <x:c r="G53" s="48" t="str">
        <x:v>污染物排放标准-噪声排放标准</x:v>
      </x:c>
      <x:c r="H53" s="48" t="str">
        <x:v>请根据项目所属声环境功能区类别，判断噪声排放标准选取是否合理。要求总结声功能区类型、厂界执行标准（GB12348-2008）及昼夜限值，并与环评编制内容进行一致性分析。</x:v>
      </x:c>
      <x:c r="I53" s="48" t="str">
        <x:v>1、噪声排放标准中执行标准与排放限值内容：存在缺漏；
2、报告全文未提及《工业企业厂界环境噪声排放标准》（GB12348-2008）或任何噪声排放标准，未对厂界噪声执行标准作出规定，存在缺漏。
4.</x:v>
      </x:c>
      <x:c r="J53" s="48" t="str">
        <x:v>噪声标准：报告全文未出现GB12348-2008或任何噪声排放标准的引用。
4.</x:v>
      </x:c>
      <x:c r="K53" s="48" t="str">
        <x:v>emission-standard-kb.jsonl; DB44/26-2001; DB44/2367-2022; GB31572-2015; GB14554-93; GB12348-2008; GB18597-2023; GB18599-2020</x:v>
      </x:c>
      <x:c r="L53" s="48" t="str">
        <x:v>2</x:v>
      </x:c>
      <x:c r="M53" s="48" t="str">
        <x:v>2</x:v>
      </x:c>
      <x:c r="N53" s="48" t="str">
        <x:v>False</x:v>
      </x:c>
      <x:c r="O53" s="48" t="str">
        <x:v>存在缺漏</x:v>
      </x:c>
      <x:c r="P53"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53" s="48"/>
      <x:c r="R53" s="48"/>
      <x:c r="S53" s="48" t="str">
        <x:v>是</x:v>
      </x:c>
      <x:c r="T53" s="48" t="str">
        <x:v>原综合排放标准问答对拆分而来</x:v>
      </x:c>
      <x:c r="U53" s="48" t="str">
        <x:v>30份环评_污染物排放控制执行标准复核QA(拆分版)</x:v>
      </x:c>
      <x:c r="V53" s="48" t="str">
        <x:v>噪声排放标准</x:v>
      </x:c>
      <x:c r="W53" s="48" t="str">
        <x:v>存在缺漏</x:v>
      </x:c>
      <x:c r="X53" s="48" t="str">
        <x:v>存在缺漏</x:v>
      </x:c>
      <x:c r="Y53" s="64"/>
      <x:c r="Z53" s="64" t="str">
        <x:v>未复核</x:v>
      </x:c>
      <x:c r="AA53" s="64" t="str">
        <x:v>部分充分</x:v>
      </x:c>
      <x:c r="AB53" s="64" t="str">
        <x:v>有效</x:v>
      </x:c>
      <x:c r="AC53" s="64" t="str">
        <x:v>部分核验</x:v>
      </x:c>
      <x:c r="AD53" s="64" t="str">
        <x:v>自动默认</x:v>
      </x:c>
      <x:c r="AE53" s="64" t="str">
        <x:v>候选池</x:v>
      </x:c>
      <x:c r="AF53" s="64" t="str">
        <x:v>A_仅待终审</x:v>
      </x:c>
      <x:c r="AG53" s="64"/>
      <x:c r="AH53" s="64"/>
      <x:c r="AI53" s="64"/>
      <x:c r="AJ53" s="64"/>
      <x:c r="AK53" s="64"/>
      <x:c r="AL53" s="64"/>
      <x:c r="AM53" s="64"/>
      <x:c r="AN53" s="48" t="str">
        <x:v>146</x:v>
      </x:c>
      <x:c r="AO53" s="48" t="str">
        <x:v>MAP_存在缺漏</x:v>
      </x:c>
      <x:c r="AP53" s="48" t="str">
        <x:v>存在报告证据，但尚未经人工逐项核验；已列依据来源，但未在本阶段逐条核验</x:v>
      </x:c>
      <x:c r="AQ53" s="64"/>
      <x:c r="AR53" s="48" t="str">
        <x:v>noise_emission_standard</x:v>
      </x:c>
      <x:c r="AS53" s="48" t="str">
        <x:v>L2_application</x:v>
      </x:c>
      <x:c r="AT53" s="48" t="str">
        <x:v>rule_applicability</x:v>
      </x:c>
      <x:c r="AU53" s="48" t="str">
        <x:v>basis_grounding</x:v>
      </x:c>
      <x:c r="AV53" s="48" t="str">
        <x:v>report_grounding</x:v>
      </x:c>
      <x:c r="AW53" s="48" t="str">
        <x:v>high</x:v>
      </x:c>
      <x:c r="AX53" s="48" t="str">
        <x:v>medium</x:v>
      </x:c>
      <x:c r="AY53" s="48" t="str">
        <x:v>report_plus_external</x:v>
      </x:c>
      <x:c r="AZ53" s="48" t="str">
        <x:v>True</x:v>
      </x:c>
      <x:c r="BA53" s="48"/>
      <x:c r="BB53" s="48" t="str">
        <x:v>auto_default</x:v>
      </x:c>
      <x:c r="BC53" s="48" t="str">
        <x:v>v1</x:v>
      </x:c>
      <x:c r="BD53" s="68"/>
    </x:row>
    <x:row r="54" ht="36" customHeight="1">
      <x:c r="A54" s="47" t="str">
        <x:v>2026-07-28</x:v>
      </x:c>
      <x:c r="B54" s="48" t="str">
        <x:v>PL028</x:v>
      </x:c>
      <x:c r="C54" s="48" t="str">
        <x:v>V01</x:v>
      </x:c>
      <x:c r="D54" s="48" t="str">
        <x:v>PL028_佛山市顺德区振峰塑料模具制造有限公司分车间新建项目_01_受理公告或公示版.pdf</x:v>
      </x:c>
      <x:c r="E54" s="48" t="str">
        <x:v>佛山市顺德区振峰塑料模具制造有限公司分车间新建项目</x:v>
      </x:c>
      <x:c r="F54" s="48" t="str">
        <x:v>PL028_EnvQuality_Q01</x:v>
      </x:c>
      <x:c r="G54" s="48" t="str">
        <x:v>大气及地表水环境质量现状数据引用</x:v>
      </x:c>
      <x:c r="H54" s="48" t="str">
        <x:v>请根据报告引用的环境质量公报及现状数据，判断大气和地表水环境质量现状数据引用是否准确。</x:v>
      </x:c>
      <x:c r="I54"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54" s="48" t="str">
        <x:v>证据位置:大气：env_text第2525行，‘根据2023年全区的大气环境质量状况公报，O3（臭氧）浓度超过了《环境空气质...’；地表水：env_text第1360行，‘市顺德区生态环境状况公报》的通知（佛环顺函〔2024〕44号），2023年顺德区2个...’，第1356行，‘尾水排入海洲水道’，第1357行，‘海洲水道属于III类水环境功能区’; 大气公报:《2023年度佛山市顺德区生态环境状况公报》（佛环顺函〔2024〕44号）; 地表水资料:《2023年度佛山市顺德区生态环境状况公报》（佛环顺函〔2024〕44号）</x:v>
      </x:c>
      <x:c r="K54" s="48" t="str">
        <x:v>生态环境状况公报知识库; 收纳水体地表水执行标准</x:v>
      </x:c>
      <x:c r="L54" s="48" t="str">
        <x:v>2</x:v>
      </x:c>
      <x:c r="M54" s="48" t="str">
        <x:v>2</x:v>
      </x:c>
      <x:c r="N54" s="48" t="str">
        <x:v>False</x:v>
      </x:c>
      <x:c r="O54" s="48" t="str">
        <x:v>正确</x:v>
      </x:c>
      <x:c r="P54" s="48" t="str">
        <x:v>大气:正确; 地表水:正确; 报告日期:2024</x:v>
      </x:c>
      <x:c r="Q54" s="48"/>
      <x:c r="R54" s="48"/>
      <x:c r="S54" s="48" t="str">
        <x:v>是</x:v>
      </x:c>
      <x:c r="T54" s="48" t="str">
        <x:v>未发现明显问题，大气和地表水环境质量引用数据均正确，公报引用在近3年度窗口内，分析内容与公报一致，均安污水处理厂尾水受纳河道（海洲水道）和执行标准（III类）与官方登记一致。</x:v>
      </x:c>
      <x:c r="U54" s="48" t="str">
        <x:v>30个环评_大气及地表水环境质量现状数据引用复核QA</x:v>
      </x:c>
      <x:c r="V54" s="48" t="str">
        <x:v>环境质量数据引用</x:v>
      </x:c>
      <x:c r="W54" s="48" t="str">
        <x:v>正确</x:v>
      </x:c>
      <x:c r="X54" s="48" t="str">
        <x:v>无误</x:v>
      </x:c>
      <x:c r="Y54" s="64"/>
      <x:c r="Z54" s="64" t="str">
        <x:v>未复核</x:v>
      </x:c>
      <x:c r="AA54" s="64" t="str">
        <x:v>部分充分</x:v>
      </x:c>
      <x:c r="AB54" s="64" t="str">
        <x:v>有效</x:v>
      </x:c>
      <x:c r="AC54" s="64" t="str">
        <x:v>部分核验</x:v>
      </x:c>
      <x:c r="AD54" s="64" t="str">
        <x:v>自动默认</x:v>
      </x:c>
      <x:c r="AE54" s="64" t="str">
        <x:v>候选池</x:v>
      </x:c>
      <x:c r="AF54" s="64" t="str">
        <x:v>A_仅待终审</x:v>
      </x:c>
      <x:c r="AG54" s="64"/>
      <x:c r="AH54" s="64"/>
      <x:c r="AI54" s="64"/>
      <x:c r="AJ54" s="64"/>
      <x:c r="AK54" s="64"/>
      <x:c r="AL54" s="64"/>
      <x:c r="AM54" s="64"/>
      <x:c r="AN54" s="48" t="str">
        <x:v>150</x:v>
      </x:c>
      <x:c r="AO54" s="48" t="str">
        <x:v>MAP_正确</x:v>
      </x:c>
      <x:c r="AP54" s="48" t="str">
        <x:v>存在报告证据，但尚未经人工逐项核验；已列依据来源，但未在本阶段逐条核验</x:v>
      </x:c>
      <x:c r="AQ54" s="64"/>
      <x:c r="AR54" s="48" t="str">
        <x:v>environmental_quality_data</x:v>
      </x:c>
      <x:c r="AS54" s="48" t="str">
        <x:v>L3_analysis</x:v>
      </x:c>
      <x:c r="AT54" s="48" t="str">
        <x:v>consistency_comparison</x:v>
      </x:c>
      <x:c r="AU54" s="48" t="str">
        <x:v>evidence_integration</x:v>
      </x:c>
      <x:c r="AV54" s="48" t="str">
        <x:v>report_grounding；basis_grounding</x:v>
      </x:c>
      <x:c r="AW54" s="48" t="str">
        <x:v>high</x:v>
      </x:c>
      <x:c r="AX54" s="48" t="str">
        <x:v>high</x:v>
      </x:c>
      <x:c r="AY54" s="48" t="str">
        <x:v>report_plus_external</x:v>
      </x:c>
      <x:c r="AZ54" s="48" t="str">
        <x:v>True</x:v>
      </x:c>
      <x:c r="BA54" s="48"/>
      <x:c r="BB54" s="48" t="str">
        <x:v>auto_default</x:v>
      </x:c>
      <x:c r="BC54" s="48" t="str">
        <x:v>v1</x:v>
      </x:c>
      <x:c r="BD54" s="68"/>
    </x:row>
    <x:row r="55" ht="36" customHeight="1">
      <x:c r="A55" s="47" t="str">
        <x:v>2026-07-28</x:v>
      </x:c>
      <x:c r="B55" s="48" t="str">
        <x:v>PL029</x:v>
      </x:c>
      <x:c r="C55" s="48" t="str">
        <x:v>V01</x:v>
      </x:c>
      <x:c r="D55" s="48" t="str">
        <x:v>PL029_佛山市茂安耀科技有限公司新建项目_01_受理公告或公示版.pdf</x:v>
      </x:c>
      <x:c r="E55" s="48" t="str">
        <x:v>佛山市茂安耀科技有限公司新建项目</x:v>
      </x:c>
      <x:c r="F55" s="48" t="str">
        <x:v>PL029_EnvQuality_Q01</x:v>
      </x:c>
      <x:c r="G55" s="48" t="str">
        <x:v>大气及地表水环境质量现状数据引用</x:v>
      </x:c>
      <x:c r="H55" s="48" t="str">
        <x:v>请根据报告引用的环境质量公报及现状数据，判断大气和地表水环境质量现状数据引用是否准确。</x:v>
      </x:c>
      <x:c r="I55"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均表明2023年O3（臭氧）浓度超过二级浓度限值，其余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报告中引用2023年顺德区2个国控断面和3个省控断面均符合相应水质目标等数据与公报一致。项目污水处理厂尾水受纳河道为海洲水道（均安污水处理厂），执行标准为III类，与官方登记一致。</x:v>
      </x:c>
      <x:c r="J55" s="48" t="str">
        <x:v>证据位置:大气：env_text第2567行，‘根据2023年全区的大气环境质量状况公报，O3（臭氧）浓度超过了《环境空气质...’；地表水：env_text第1453行，‘市顺德区生态环境状况公报》的通知（佛环顺函〔2024〕44号），2023年顺德区2个...’，第1449行，‘尾水排入海洲水道’，第1450行，‘海洲水道属于III类水环境功能区’; 大气公报:《2023年度佛山市顺德区生态环境状况公报》（佛环顺函〔2024〕44号）; 地表水资料:《2023年度佛山市顺德区生态环境状况公报》（佛环顺函〔2024〕44号）</x:v>
      </x:c>
      <x:c r="K55" s="48" t="str">
        <x:v>生态环境状况公报知识库; 收纳水体地表水执行标准</x:v>
      </x:c>
      <x:c r="L55" s="48" t="str">
        <x:v>2</x:v>
      </x:c>
      <x:c r="M55" s="48" t="str">
        <x:v>2</x:v>
      </x:c>
      <x:c r="N55" s="48" t="str">
        <x:v>False</x:v>
      </x:c>
      <x:c r="O55" s="48" t="str">
        <x:v>正确</x:v>
      </x:c>
      <x:c r="P55" s="48" t="str">
        <x:v>大气:正确; 地表水:正确; 报告日期:2024</x:v>
      </x:c>
      <x:c r="Q55" s="48"/>
      <x:c r="R55" s="48"/>
      <x:c r="S55" s="48" t="str">
        <x:v>是</x:v>
      </x:c>
      <x:c r="T55" s="48" t="str">
        <x:v>未发现明显问题，大气和地表水环境质量引用数据均正确，公报引用在近3年度窗口内，分析内容与公报一致，均安污水处理厂尾水受纳河道（海洲水道）和执行标准（III类）与官方登记一致。</x:v>
      </x:c>
      <x:c r="U55" s="48" t="str">
        <x:v>30个环评_大气及地表水环境质量现状数据引用复核QA</x:v>
      </x:c>
      <x:c r="V55" s="48" t="str">
        <x:v>环境质量数据引用</x:v>
      </x:c>
      <x:c r="W55" s="48" t="str">
        <x:v>正确</x:v>
      </x:c>
      <x:c r="X55" s="48" t="str">
        <x:v>无误</x:v>
      </x:c>
      <x:c r="Y55" s="64"/>
      <x:c r="Z55" s="64" t="str">
        <x:v>未复核</x:v>
      </x:c>
      <x:c r="AA55" s="64" t="str">
        <x:v>部分充分</x:v>
      </x:c>
      <x:c r="AB55" s="64" t="str">
        <x:v>有效</x:v>
      </x:c>
      <x:c r="AC55" s="64" t="str">
        <x:v>部分核验</x:v>
      </x:c>
      <x:c r="AD55" s="64" t="str">
        <x:v>自动默认</x:v>
      </x:c>
      <x:c r="AE55" s="64" t="str">
        <x:v>候选池</x:v>
      </x:c>
      <x:c r="AF55" s="64" t="str">
        <x:v>A_仅待终审</x:v>
      </x:c>
      <x:c r="AG55" s="64"/>
      <x:c r="AH55" s="64"/>
      <x:c r="AI55" s="64"/>
      <x:c r="AJ55" s="64"/>
      <x:c r="AK55" s="64"/>
      <x:c r="AL55" s="64"/>
      <x:c r="AM55" s="64"/>
      <x:c r="AN55" s="48" t="str">
        <x:v>157</x:v>
      </x:c>
      <x:c r="AO55" s="48" t="str">
        <x:v>MAP_正确</x:v>
      </x:c>
      <x:c r="AP55" s="48" t="str">
        <x:v>存在报告证据，但尚未经人工逐项核验；已列依据来源，但未在本阶段逐条核验</x:v>
      </x:c>
      <x:c r="AQ55" s="64"/>
      <x:c r="AR55" s="48" t="str">
        <x:v>environmental_quality_data</x:v>
      </x:c>
      <x:c r="AS55" s="48" t="str">
        <x:v>L3_analysis</x:v>
      </x:c>
      <x:c r="AT55" s="48" t="str">
        <x:v>consistency_comparison</x:v>
      </x:c>
      <x:c r="AU55" s="48" t="str">
        <x:v>evidence_integration</x:v>
      </x:c>
      <x:c r="AV55" s="48" t="str">
        <x:v>report_grounding；basis_grounding</x:v>
      </x:c>
      <x:c r="AW55" s="48" t="str">
        <x:v>high</x:v>
      </x:c>
      <x:c r="AX55" s="48" t="str">
        <x:v>high</x:v>
      </x:c>
      <x:c r="AY55" s="48" t="str">
        <x:v>report_plus_external</x:v>
      </x:c>
      <x:c r="AZ55" s="48" t="str">
        <x:v>True</x:v>
      </x:c>
      <x:c r="BA55" s="48"/>
      <x:c r="BB55" s="48" t="str">
        <x:v>auto_default</x:v>
      </x:c>
      <x:c r="BC55" s="48" t="str">
        <x:v>v1</x:v>
      </x:c>
      <x:c r="BD55" s="68"/>
    </x:row>
    <x:row r="56" ht="36" customHeight="1">
      <x:c r="A56" s="47" t="str">
        <x:v>2026-07-28</x:v>
      </x:c>
      <x:c r="B56" s="48" t="str">
        <x:v>PL030</x:v>
      </x:c>
      <x:c r="C56" s="48" t="str">
        <x:v>V01</x:v>
      </x:c>
      <x:c r="D56" s="48" t="str">
        <x:v>PL030_佛山市瑞易德塑料五金制品有限公司搬迁项目_01_受理公告或公示版.pdf</x:v>
      </x:c>
      <x:c r="E56" s="48" t="str">
        <x:v>佛山市瑞易德塑料五金制品有限公司搬迁项目</x:v>
      </x:c>
      <x:c r="F56" s="48" t="str">
        <x:v>PL030_EnvQuality_Q01</x:v>
      </x:c>
      <x:c r="G56" s="48" t="str">
        <x:v>大气及地表水环境质量现状数据引用</x:v>
      </x:c>
      <x:c r="H56" s="48" t="str">
        <x:v>请根据报告引用的环境质量公报及现状数据，判断大气和地表水环境质量现状数据引用是否准确。</x:v>
      </x:c>
      <x:c r="I56"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顺德区空气质量综合指数为3.14，O3浓度超过《环境空气质量标准》二级浓度限值，SO2、NO2、PM10、PM2.5、CO五项污染物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2023年顺德区5个饮用水源水质状况全部为优，2个国控断面和3个省控断面均符合相应水质目标，水质优良率100%。项目污水处理厂尾水受纳河道为顺德支流（勒流污水处理厂），执行标准为III类，与官方登记一致。</x:v>
      </x:c>
      <x:c r="J56" s="48" t="str">
        <x:v>证据位置:大气：env_text第1625-1626行引用佛环顺函〔2024〕44号，2023年空气质量综合指数为3.14；第1664行O3浓度超过《环境空气质量标准》；地表水：env_text第1712-1713行勒流污水处理厂尾水排至顺德支流；第1716行引用佛环顺函〔2024〕44号，2023年5个饮用水源; 大气公报:《2023年度佛山市顺德区生态环境状况公报》（佛环顺函〔2024〕44号）; 地表水资料:《2023年度佛山市顺德区生态环境状况公报》（佛环顺函〔2024〕44号）</x:v>
      </x:c>
      <x:c r="K56" s="48" t="str">
        <x:v>生态环境状况公报知识库; 收纳水体地表水执行标准</x:v>
      </x:c>
      <x:c r="L56" s="48" t="str">
        <x:v>2</x:v>
      </x:c>
      <x:c r="M56" s="48" t="str">
        <x:v>2</x:v>
      </x:c>
      <x:c r="N56" s="48" t="str">
        <x:v>False</x:v>
      </x:c>
      <x:c r="O56" s="48" t="str">
        <x:v>正确</x:v>
      </x:c>
      <x:c r="P56" s="48" t="str">
        <x:v>大气:正确; 地表水:正确; 报告日期:2024-04</x:v>
      </x:c>
      <x:c r="Q56" s="48"/>
      <x:c r="R56" s="48"/>
      <x:c r="S56" s="48" t="str">
        <x:v>是</x:v>
      </x:c>
      <x:c r="T56" s="48" t="str">
        <x:v>无明显问题。报告引用《2023年度佛山市顺德区生态环境状况公报》（佛环顺函〔2024〕44号），该公报发布日期为2024-03-26，早于报告编制时间，属于近3年数据窗口内。大气环境质量分析内容（O3超标，其余达标）与公报一致，勒流污水处理厂尾水受纳河道顺德支流与官方登记一致。</x:v>
      </x:c>
      <x:c r="U56" s="48" t="str">
        <x:v>30个环评_大气及地表水环境质量现状数据引用复核QA</x:v>
      </x:c>
      <x:c r="V56" s="48" t="str">
        <x:v>环境质量数据引用</x:v>
      </x:c>
      <x:c r="W56" s="48" t="str">
        <x:v>正确</x:v>
      </x:c>
      <x:c r="X56" s="48" t="str">
        <x:v>无误</x:v>
      </x:c>
      <x:c r="Y56" s="64"/>
      <x:c r="Z56" s="64" t="str">
        <x:v>未复核</x:v>
      </x:c>
      <x:c r="AA56" s="64" t="str">
        <x:v>部分充分</x:v>
      </x:c>
      <x:c r="AB56" s="64" t="str">
        <x:v>有效</x:v>
      </x:c>
      <x:c r="AC56" s="64" t="str">
        <x:v>部分核验</x:v>
      </x:c>
      <x:c r="AD56" s="64" t="str">
        <x:v>自动默认</x:v>
      </x:c>
      <x:c r="AE56" s="64" t="str">
        <x:v>候选池</x:v>
      </x:c>
      <x:c r="AF56" s="64" t="str">
        <x:v>A_仅待终审</x:v>
      </x:c>
      <x:c r="AG56" s="64"/>
      <x:c r="AH56" s="64"/>
      <x:c r="AI56" s="64"/>
      <x:c r="AJ56" s="64"/>
      <x:c r="AK56" s="64"/>
      <x:c r="AL56" s="64"/>
      <x:c r="AM56" s="64"/>
      <x:c r="AN56" s="48" t="str">
        <x:v>164</x:v>
      </x:c>
      <x:c r="AO56" s="48" t="str">
        <x:v>MAP_正确</x:v>
      </x:c>
      <x:c r="AP56" s="48" t="str">
        <x:v>存在报告证据，但尚未经人工逐项核验；已列依据来源，但未在本阶段逐条核验</x:v>
      </x:c>
      <x:c r="AQ56" s="64"/>
      <x:c r="AR56" s="48" t="str">
        <x:v>environmental_quality_data</x:v>
      </x:c>
      <x:c r="AS56" s="48" t="str">
        <x:v>L3_analysis</x:v>
      </x:c>
      <x:c r="AT56" s="48" t="str">
        <x:v>consistency_comparison</x:v>
      </x:c>
      <x:c r="AU56" s="48" t="str">
        <x:v>evidence_integration</x:v>
      </x:c>
      <x:c r="AV56" s="48" t="str">
        <x:v>report_grounding；basis_grounding</x:v>
      </x:c>
      <x:c r="AW56" s="48" t="str">
        <x:v>high</x:v>
      </x:c>
      <x:c r="AX56" s="48" t="str">
        <x:v>high</x:v>
      </x:c>
      <x:c r="AY56" s="48" t="str">
        <x:v>report_plus_external</x:v>
      </x:c>
      <x:c r="AZ56" s="48" t="str">
        <x:v>True</x:v>
      </x:c>
      <x:c r="BA56" s="48"/>
      <x:c r="BB56" s="48" t="str">
        <x:v>auto_default</x:v>
      </x:c>
      <x:c r="BC56" s="48" t="str">
        <x:v>v1</x:v>
      </x:c>
      <x:c r="BD56" s="68"/>
    </x:row>
    <x:row r="57" ht="36" customHeight="1">
      <x:c r="A57" s="47" t="str">
        <x:v>2026-07-27</x:v>
      </x:c>
      <x:c r="B57" s="48" t="str">
        <x:v>PL030</x:v>
      </x:c>
      <x:c r="C57" s="48" t="str">
        <x:v>V01</x:v>
      </x:c>
      <x:c r="D57" s="48" t="str">
        <x:v>PL030_佛山市瑞易德塑料五金制品有限公司搬迁项目_01_受理公告或公示版.pdf</x:v>
      </x:c>
      <x:c r="E57" s="48" t="str">
        <x:v>佛山市瑞易德塑料五金制品有限公司搬迁项目</x:v>
      </x:c>
      <x:c r="F57" s="48" t="str">
        <x:v>PL030_Emission_水污</x:v>
      </x:c>
      <x:c r="G57" s="48" t="str">
        <x:v>污染物排放标准-水污染物排放标准</x:v>
      </x:c>
      <x:c r="H57"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57" s="48" t="str">
        <x:v>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x:v>
      </x:c>
      <x:c r="J57" s="48" t="str">
        <x:v>水标准片段：「尾水应执行《城镇污水处理厂污染物排放标准》（GB18918-2002）一级A标准及《广东省水污染物排放限值》（DB44/26-2001）的较严值。」「生活污水经三级化粪池预处理后排入勒流污水处理厂」
2.</x:v>
      </x:c>
      <x:c r="K57" s="48" t="str">
        <x:v>emission-standard-kb.jsonl; DB44/26-2001; DB44/2367-2022; GB31572-2015; GB14554-93; GB12348-2008; GB18597-2023; GB18599-2020</x:v>
      </x:c>
      <x:c r="L57" s="48" t="str">
        <x:v>2</x:v>
      </x:c>
      <x:c r="M57" s="48" t="str">
        <x:v>2</x:v>
      </x:c>
      <x:c r="N57" s="48" t="str">
        <x:v>False</x:v>
      </x:c>
      <x:c r="O57" s="48" t="str">
        <x:v>存在缺漏</x:v>
      </x:c>
      <x:c r="P57"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57" s="48"/>
      <x:c r="R57" s="48"/>
      <x:c r="S57" s="48" t="str">
        <x:v>是</x:v>
      </x:c>
      <x:c r="T57" s="48" t="str">
        <x:v>原综合排放标准问答对拆分而来</x:v>
      </x:c>
      <x:c r="U57" s="48" t="str">
        <x:v>30份环评_污染物排放控制执行标准复核QA(拆分版)</x:v>
      </x:c>
      <x:c r="V57" s="48" t="str">
        <x:v>水污染物排放标准</x:v>
      </x:c>
      <x:c r="W57" s="48" t="str">
        <x:v>存在缺漏</x:v>
      </x:c>
      <x:c r="X57" s="48" t="str">
        <x:v>存在缺漏</x:v>
      </x:c>
      <x:c r="Y57" s="64"/>
      <x:c r="Z57" s="64" t="str">
        <x:v>未复核</x:v>
      </x:c>
      <x:c r="AA57" s="64" t="str">
        <x:v>部分充分</x:v>
      </x:c>
      <x:c r="AB57" s="64" t="str">
        <x:v>有效</x:v>
      </x:c>
      <x:c r="AC57" s="64" t="str">
        <x:v>部分核验</x:v>
      </x:c>
      <x:c r="AD57" s="64" t="str">
        <x:v>自动默认</x:v>
      </x:c>
      <x:c r="AE57" s="64" t="str">
        <x:v>候选池</x:v>
      </x:c>
      <x:c r="AF57" s="64" t="str">
        <x:v>A_仅待终审</x:v>
      </x:c>
      <x:c r="AG57" s="64"/>
      <x:c r="AH57" s="64"/>
      <x:c r="AI57" s="64"/>
      <x:c r="AJ57" s="64"/>
      <x:c r="AK57" s="64"/>
      <x:c r="AL57" s="64"/>
      <x:c r="AM57" s="64"/>
      <x:c r="AN57" s="48" t="str">
        <x:v>165</x:v>
      </x:c>
      <x:c r="AO57" s="48" t="str">
        <x:v>MAP_存在缺漏</x:v>
      </x:c>
      <x:c r="AP57" s="48" t="str">
        <x:v>存在报告证据，但尚未经人工逐项核验；已列依据来源，但未在本阶段逐条核验</x:v>
      </x:c>
      <x:c r="AQ57" s="64"/>
      <x:c r="AR57" s="48" t="str">
        <x:v>water_emission_standard</x:v>
      </x:c>
      <x:c r="AS57" s="48" t="str">
        <x:v>L3_analysis</x:v>
      </x:c>
      <x:c r="AT57" s="48" t="str">
        <x:v>rule_applicability</x:v>
      </x:c>
      <x:c r="AU57" s="48" t="str">
        <x:v>basis_grounding</x:v>
      </x:c>
      <x:c r="AV57" s="48" t="str">
        <x:v>report_grounding；procedural_reasoning</x:v>
      </x:c>
      <x:c r="AW57" s="48" t="str">
        <x:v>high</x:v>
      </x:c>
      <x:c r="AX57" s="48" t="str">
        <x:v>high</x:v>
      </x:c>
      <x:c r="AY57" s="48" t="str">
        <x:v>report_plus_external</x:v>
      </x:c>
      <x:c r="AZ57" s="48" t="str">
        <x:v>True</x:v>
      </x:c>
      <x:c r="BA57" s="48"/>
      <x:c r="BB57" s="48" t="str">
        <x:v>auto_default</x:v>
      </x:c>
      <x:c r="BC57" s="48" t="str">
        <x:v>v1</x:v>
      </x:c>
      <x:c r="BD57" s="68"/>
    </x:row>
    <x:row r="58" ht="36" customHeight="1">
      <x:c r="A58" s="47" t="str">
        <x:v>2026-07-27</x:v>
      </x:c>
      <x:c r="B58" s="48" t="str">
        <x:v>PL030</x:v>
      </x:c>
      <x:c r="C58" s="48" t="str">
        <x:v>V01</x:v>
      </x:c>
      <x:c r="D58" s="48" t="str">
        <x:v>PL030_佛山市瑞易德塑料五金制品有限公司搬迁项目_01_受理公告或公示版.pdf</x:v>
      </x:c>
      <x:c r="E58" s="48" t="str">
        <x:v>佛山市瑞易德塑料五金制品有限公司搬迁项目</x:v>
      </x:c>
      <x:c r="F58" s="48" t="str">
        <x:v>PL030_Emission_大气</x:v>
      </x:c>
      <x:c r="G58" s="48" t="str">
        <x:v>污染物排放标准-大气污染物排放标准</x:v>
      </x:c>
      <x:c r="H58" s="48" t="str">
        <x:v>请根据项目行业类别、生产工艺和污染因子，判断大气污染物排放标准选取是否合理。要求分析：污染源覆盖是否完整（列出所有大气污染源及对应标准），是否存在缺漏的污染源或标准。</x:v>
      </x:c>
      <x:c r="I58" s="48" t="str">
        <x:v>1、污染排放标准分析污染源内容：不完整；
2、大气污染物排放标准分析：报告在政策相符性分析中提及DB44/2367-2022相关要求（排气筒高度不低于15m、NMHC初始排放速率等），注塑废气经单层密闭负压收集后引至活性炭吸附装置处理，通过45m排气筒G1排放。但未以结构化方式列出各污染因子的执行标准名称、标准号及具体限值。项目涉及注塑（应执行GB31572-2015）、破碎和机加工颗粒物（应执行DB44/27-2001）、恶臭（应执行GB14554-93）等，均未明确引用。存在缺漏。
3.</x:v>
      </x:c>
      <x:c r="J58" s="48" t="str">
        <x:v>大气标准片段：「注塑废气经单层密闭负压收集后引至一套活性炭吸附装置处理，最后通过45m 排气筒G1 排放」「项目收集的废气中NMHC初始排放速率＜2kg/h」
3.</x:v>
      </x:c>
      <x:c r="K58" s="48" t="str">
        <x:v>emission-standard-kb.jsonl; DB44/26-2001; DB44/2367-2022; GB31572-2015; GB14554-93; GB12348-2008; GB18597-2023; GB18599-2020</x:v>
      </x:c>
      <x:c r="L58" s="48" t="str">
        <x:v>2</x:v>
      </x:c>
      <x:c r="M58" s="48" t="str">
        <x:v>2</x:v>
      </x:c>
      <x:c r="N58" s="48" t="str">
        <x:v>False</x:v>
      </x:c>
      <x:c r="O58" s="48" t="str">
        <x:v>存在缺漏</x:v>
      </x:c>
      <x:c r="P58"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58" s="48"/>
      <x:c r="R58" s="48"/>
      <x:c r="S58" s="48" t="str">
        <x:v>是</x:v>
      </x:c>
      <x:c r="T58" s="48" t="str">
        <x:v>原综合排放标准问答对拆分而来</x:v>
      </x:c>
      <x:c r="U58" s="48" t="str">
        <x:v>30份环评_污染物排放控制执行标准复核QA(拆分版)</x:v>
      </x:c>
      <x:c r="V58" s="48" t="str">
        <x:v>大气污染物排放标准</x:v>
      </x:c>
      <x:c r="W58" s="48" t="str">
        <x:v>存在缺漏</x:v>
      </x:c>
      <x:c r="X58" s="48" t="str">
        <x:v>存在缺漏</x:v>
      </x:c>
      <x:c r="Y58" s="64"/>
      <x:c r="Z58" s="64" t="str">
        <x:v>未复核</x:v>
      </x:c>
      <x:c r="AA58" s="64" t="str">
        <x:v>部分充分</x:v>
      </x:c>
      <x:c r="AB58" s="64" t="str">
        <x:v>有效</x:v>
      </x:c>
      <x:c r="AC58" s="64" t="str">
        <x:v>部分核验</x:v>
      </x:c>
      <x:c r="AD58" s="64" t="str">
        <x:v>自动默认</x:v>
      </x:c>
      <x:c r="AE58" s="64" t="str">
        <x:v>候选池</x:v>
      </x:c>
      <x:c r="AF58" s="64" t="str">
        <x:v>A_仅待终审</x:v>
      </x:c>
      <x:c r="AG58" s="64"/>
      <x:c r="AH58" s="64"/>
      <x:c r="AI58" s="64"/>
      <x:c r="AJ58" s="64"/>
      <x:c r="AK58" s="64"/>
      <x:c r="AL58" s="64"/>
      <x:c r="AM58" s="64"/>
      <x:c r="AN58" s="48" t="str">
        <x:v>166</x:v>
      </x:c>
      <x:c r="AO58" s="48" t="str">
        <x:v>MAP_存在缺漏</x:v>
      </x:c>
      <x:c r="AP58" s="48" t="str">
        <x:v>存在报告证据，但尚未经人工逐项核验；已列依据来源，但未在本阶段逐条核验</x:v>
      </x:c>
      <x:c r="AQ58" s="64"/>
      <x:c r="AR58" s="48" t="str">
        <x:v>air_emission_standard</x:v>
      </x:c>
      <x:c r="AS58" s="48" t="str">
        <x:v>L3_analysis</x:v>
      </x:c>
      <x:c r="AT58" s="48" t="str">
        <x:v>multi_evidence_synthesis</x:v>
      </x:c>
      <x:c r="AU58" s="48" t="str">
        <x:v>basis_grounding</x:v>
      </x:c>
      <x:c r="AV58" s="48" t="str">
        <x:v>report_grounding；evidence_integration</x:v>
      </x:c>
      <x:c r="AW58" s="48" t="str">
        <x:v>high</x:v>
      </x:c>
      <x:c r="AX58" s="48" t="str">
        <x:v>high</x:v>
      </x:c>
      <x:c r="AY58" s="48" t="str">
        <x:v>report_plus_external</x:v>
      </x:c>
      <x:c r="AZ58" s="48" t="str">
        <x:v>True</x:v>
      </x:c>
      <x:c r="BA58" s="48"/>
      <x:c r="BB58" s="48" t="str">
        <x:v>auto_default</x:v>
      </x:c>
      <x:c r="BC58" s="48" t="str">
        <x:v>v1</x:v>
      </x:c>
      <x:c r="BD58" s="68"/>
    </x:row>
    <x:row r="59" ht="36" customHeight="1">
      <x:c r="A59" s="47" t="str">
        <x:v>2026-07-27</x:v>
      </x:c>
      <x:c r="B59" s="48" t="str">
        <x:v>PL030</x:v>
      </x:c>
      <x:c r="C59" s="48" t="str">
        <x:v>V01</x:v>
      </x:c>
      <x:c r="D59" s="48" t="str">
        <x:v>PL030_佛山市瑞易德塑料五金制品有限公司搬迁项目_01_受理公告或公示版.pdf</x:v>
      </x:c>
      <x:c r="E59" s="48" t="str">
        <x:v>佛山市瑞易德塑料五金制品有限公司搬迁项目</x:v>
      </x:c>
      <x:c r="F59" s="48" t="str">
        <x:v>PL030_Emission_噪声</x:v>
      </x:c>
      <x:c r="G59" s="48" t="str">
        <x:v>污染物排放标准-噪声排放标准</x:v>
      </x:c>
      <x:c r="H59" s="48" t="str">
        <x:v>请根据项目所属声环境功能区类别，判断噪声排放标准选取是否合理。要求总结声功能区类型、厂界执行标准（GB12348-2008）及昼夜限值，并与环评编制内容进行一致性分析。</x:v>
      </x:c>
      <x:c r="I59" s="48" t="str">
        <x:v>1、噪声排放标准中执行标准与排放限值内容：存在缺漏；
2、报告全文未提及GB12348-2008或任何噪声排放标准，存在缺漏。
4.</x:v>
      </x:c>
      <x:c r="J59" s="48" t="str">
        <x:v>噪声标准：报告全文未出现GB12348-2008或任何噪声排放标准的引用。
4.</x:v>
      </x:c>
      <x:c r="K59" s="48" t="str">
        <x:v>emission-standard-kb.jsonl; DB44/26-2001; DB44/2367-2022; GB31572-2015; GB14554-93; GB12348-2008; GB18597-2023; GB18599-2020</x:v>
      </x:c>
      <x:c r="L59" s="48" t="str">
        <x:v>2</x:v>
      </x:c>
      <x:c r="M59" s="48" t="str">
        <x:v>2</x:v>
      </x:c>
      <x:c r="N59" s="48" t="str">
        <x:v>False</x:v>
      </x:c>
      <x:c r="O59" s="48" t="str">
        <x:v>存在缺漏</x:v>
      </x:c>
      <x:c r="P59"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59" s="48"/>
      <x:c r="R59" s="48"/>
      <x:c r="S59" s="48" t="str">
        <x:v>是</x:v>
      </x:c>
      <x:c r="T59" s="48" t="str">
        <x:v>原综合排放标准问答对拆分而来</x:v>
      </x:c>
      <x:c r="U59" s="48" t="str">
        <x:v>30份环评_污染物排放控制执行标准复核QA(拆分版)</x:v>
      </x:c>
      <x:c r="V59" s="48" t="str">
        <x:v>噪声排放标准</x:v>
      </x:c>
      <x:c r="W59" s="48" t="str">
        <x:v>存在缺漏</x:v>
      </x:c>
      <x:c r="X59" s="48" t="str">
        <x:v>存在缺漏</x:v>
      </x:c>
      <x:c r="Y59" s="64"/>
      <x:c r="Z59" s="64" t="str">
        <x:v>未复核</x:v>
      </x:c>
      <x:c r="AA59" s="64" t="str">
        <x:v>部分充分</x:v>
      </x:c>
      <x:c r="AB59" s="64" t="str">
        <x:v>有效</x:v>
      </x:c>
      <x:c r="AC59" s="64" t="str">
        <x:v>部分核验</x:v>
      </x:c>
      <x:c r="AD59" s="64" t="str">
        <x:v>自动默认</x:v>
      </x:c>
      <x:c r="AE59" s="64" t="str">
        <x:v>候选池</x:v>
      </x:c>
      <x:c r="AF59" s="64" t="str">
        <x:v>A_仅待终审</x:v>
      </x:c>
      <x:c r="AG59" s="64"/>
      <x:c r="AH59" s="64"/>
      <x:c r="AI59" s="64"/>
      <x:c r="AJ59" s="64"/>
      <x:c r="AK59" s="64"/>
      <x:c r="AL59" s="64"/>
      <x:c r="AM59" s="64"/>
      <x:c r="AN59" s="48" t="str">
        <x:v>167</x:v>
      </x:c>
      <x:c r="AO59" s="48" t="str">
        <x:v>MAP_存在缺漏</x:v>
      </x:c>
      <x:c r="AP59" s="48" t="str">
        <x:v>存在报告证据，但尚未经人工逐项核验；已列依据来源，但未在本阶段逐条核验</x:v>
      </x:c>
      <x:c r="AQ59" s="64"/>
      <x:c r="AR59" s="48" t="str">
        <x:v>noise_emission_standard</x:v>
      </x:c>
      <x:c r="AS59" s="48" t="str">
        <x:v>L2_application</x:v>
      </x:c>
      <x:c r="AT59" s="48" t="str">
        <x:v>rule_applicability</x:v>
      </x:c>
      <x:c r="AU59" s="48" t="str">
        <x:v>basis_grounding</x:v>
      </x:c>
      <x:c r="AV59" s="48" t="str">
        <x:v>report_grounding</x:v>
      </x:c>
      <x:c r="AW59" s="48" t="str">
        <x:v>high</x:v>
      </x:c>
      <x:c r="AX59" s="48" t="str">
        <x:v>medium</x:v>
      </x:c>
      <x:c r="AY59" s="48" t="str">
        <x:v>report_plus_external</x:v>
      </x:c>
      <x:c r="AZ59" s="48" t="str">
        <x:v>True</x:v>
      </x:c>
      <x:c r="BA59" s="48"/>
      <x:c r="BB59" s="48" t="str">
        <x:v>auto_default</x:v>
      </x:c>
      <x:c r="BC59" s="48" t="str">
        <x:v>v1</x:v>
      </x:c>
      <x:c r="BD59" s="68"/>
    </x:row>
    <x:row r="60" ht="36" customHeight="1">
      <x:c r="A60" s="47" t="str">
        <x:v>2026-07-28</x:v>
      </x:c>
      <x:c r="B60" s="48" t="str">
        <x:v>PL031</x:v>
      </x:c>
      <x:c r="C60" s="48" t="str">
        <x:v>V01</x:v>
      </x:c>
      <x:c r="D60" s="48" t="str">
        <x:v>PL031_佛山市浩创时代包装制品有限公司新建项目_01_受理公告或公示版.pdf</x:v>
      </x:c>
      <x:c r="E60" s="48" t="str">
        <x:v>佛山市浩创时代包装制品有限公司新建项目</x:v>
      </x:c>
      <x:c r="F60" s="48" t="str">
        <x:v>PL031_EnvQuality_Q01</x:v>
      </x:c>
      <x:c r="G60" s="48" t="str">
        <x:v>大气及地表水环境质量现状数据引用</x:v>
      </x:c>
      <x:c r="H60" s="48" t="str">
        <x:v>请根据报告引用的环境质量公报及现状数据，判断大气和地表水环境质量现状数据引用是否准确。</x:v>
      </x:c>
      <x:c r="I60"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除臭氧浓度不达标外，其余污染物指标（SO2、NO2、PM10、PM2.5、CO）年评价浓度均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李家沙水道（伦教污水处理厂），执行标准为III类，与官方登记一致。</x:v>
      </x:c>
      <x:c r="J60" s="48" t="str">
        <x:v>证据位置:大气：env_text第2415行引用《2023年度佛山市顺德区生态环境状况公报》；第2478行除臭氧浓度不达标外其余污染物指标符合；地表水：env_text第2542-2545行引用2023年度公报；第2548行公报节选；伦教污水处理厂尾水排放至李家沙水道; 大气公报:《2023年度佛山市顺德区生态环境状况公报》（佛环顺函〔2024〕44号）; 地表水资料:《2023年度佛山市顺德区生态环境状况公报》（佛环顺函〔2024〕44号）</x:v>
      </x:c>
      <x:c r="K60" s="48" t="str">
        <x:v>生态环境状况公报知识库; 收纳水体地表水执行标准</x:v>
      </x:c>
      <x:c r="L60" s="48" t="str">
        <x:v>2</x:v>
      </x:c>
      <x:c r="M60" s="48" t="str">
        <x:v>2</x:v>
      </x:c>
      <x:c r="N60" s="48" t="str">
        <x:v>False</x:v>
      </x:c>
      <x:c r="O60" s="48" t="str">
        <x:v>正确</x:v>
      </x:c>
      <x:c r="P60" s="48" t="str">
        <x:v>大气:正确; 地表水:正确; 报告日期:2024-04</x:v>
      </x:c>
      <x:c r="Q60" s="48"/>
      <x:c r="R60" s="48"/>
      <x:c r="S60" s="48" t="str">
        <x:v>是</x:v>
      </x:c>
      <x:c r="T60" s="48" t="str">
        <x:v>无明显问题。报告引用《2023年度佛山市顺德区生态环境状况公报》（佛环顺函〔2024〕44号），该公报发布日期为2024-03-26，早于报告编制时间，属于近3年数据窗口内。大气环境质量分析内容（除O3外其余达标）与公报一致，伦教污水处理厂尾水受纳河道李家沙水道与官方登记一致。报告中部分位置公报标题写作环境质量状况公报，但文号佛环顺函〔2024〕44号可明确追溯至《2023年度佛山市顺德区生态环境状况公报》，不影响核验。</x:v>
      </x:c>
      <x:c r="U60" s="48" t="str">
        <x:v>30个环评_大气及地表水环境质量现状数据引用复核QA</x:v>
      </x:c>
      <x:c r="V60" s="48" t="str">
        <x:v>环境质量数据引用</x:v>
      </x:c>
      <x:c r="W60" s="48" t="str">
        <x:v>正确</x:v>
      </x:c>
      <x:c r="X60" s="48" t="str">
        <x:v>无误</x:v>
      </x:c>
      <x:c r="Y60" s="64"/>
      <x:c r="Z60" s="64" t="str">
        <x:v>未复核</x:v>
      </x:c>
      <x:c r="AA60" s="64" t="str">
        <x:v>部分充分</x:v>
      </x:c>
      <x:c r="AB60" s="64" t="str">
        <x:v>有效</x:v>
      </x:c>
      <x:c r="AC60" s="64" t="str">
        <x:v>部分核验</x:v>
      </x:c>
      <x:c r="AD60" s="64" t="str">
        <x:v>自动默认</x:v>
      </x:c>
      <x:c r="AE60" s="64" t="str">
        <x:v>候选池</x:v>
      </x:c>
      <x:c r="AF60" s="64" t="str">
        <x:v>A_仅待终审</x:v>
      </x:c>
      <x:c r="AG60" s="64"/>
      <x:c r="AH60" s="64"/>
      <x:c r="AI60" s="64"/>
      <x:c r="AJ60" s="64"/>
      <x:c r="AK60" s="64"/>
      <x:c r="AL60" s="64"/>
      <x:c r="AM60" s="64"/>
      <x:c r="AN60" s="48" t="str">
        <x:v>171</x:v>
      </x:c>
      <x:c r="AO60" s="48" t="str">
        <x:v>MAP_正确</x:v>
      </x:c>
      <x:c r="AP60" s="48" t="str">
        <x:v>存在报告证据，但尚未经人工逐项核验；已列依据来源，但未在本阶段逐条核验</x:v>
      </x:c>
      <x:c r="AQ60" s="64"/>
      <x:c r="AR60" s="48" t="str">
        <x:v>environmental_quality_data</x:v>
      </x:c>
      <x:c r="AS60" s="48" t="str">
        <x:v>L3_analysis</x:v>
      </x:c>
      <x:c r="AT60" s="48" t="str">
        <x:v>consistency_comparison</x:v>
      </x:c>
      <x:c r="AU60" s="48" t="str">
        <x:v>evidence_integration</x:v>
      </x:c>
      <x:c r="AV60" s="48" t="str">
        <x:v>report_grounding；basis_grounding</x:v>
      </x:c>
      <x:c r="AW60" s="48" t="str">
        <x:v>high</x:v>
      </x:c>
      <x:c r="AX60" s="48" t="str">
        <x:v>high</x:v>
      </x:c>
      <x:c r="AY60" s="48" t="str">
        <x:v>report_plus_external</x:v>
      </x:c>
      <x:c r="AZ60" s="48" t="str">
        <x:v>True</x:v>
      </x:c>
      <x:c r="BA60" s="48"/>
      <x:c r="BB60" s="48" t="str">
        <x:v>auto_default</x:v>
      </x:c>
      <x:c r="BC60" s="48" t="str">
        <x:v>v1</x:v>
      </x:c>
      <x:c r="BD60" s="68"/>
    </x:row>
    <x:row r="61" ht="36" customHeight="1">
      <x:c r="A61" s="47" t="str">
        <x:v>2026-07-27</x:v>
      </x:c>
      <x:c r="B61" s="48" t="str">
        <x:v>PL031</x:v>
      </x:c>
      <x:c r="C61" s="48" t="str">
        <x:v>V01</x:v>
      </x:c>
      <x:c r="D61" s="48" t="str">
        <x:v>PL031_佛山市浩创时代包装制品有限公司新建项目_01_受理公告或公示版.pdf</x:v>
      </x:c>
      <x:c r="E61" s="48" t="str">
        <x:v>佛山市浩创时代包装制品有限公司新建项目</x:v>
      </x:c>
      <x:c r="F61" s="48" t="str">
        <x:v>PL031_Emission_水污</x:v>
      </x:c>
      <x:c r="G61" s="48" t="str">
        <x:v>污染物排放标准-水污染物排放标准</x:v>
      </x:c>
      <x:c r="H6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61" s="48" t="str">
        <x:v>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x:v>
      </x:c>
      <x:c r="J61" s="48" t="str">
        <x:v>水标准片段：「本项目位于伦教污水处理厂处理范围，尾水执行《城镇污水处理厂污染物排放标准》（GB18918-2002）一级A 标准及《广东省水污染物排放限值》（DB44/26-2001）的较严值。」
2.</x:v>
      </x:c>
      <x:c r="K61" s="48" t="str">
        <x:v>emission-standard-kb.jsonl; DB44/26-2001; DB44/2367-2022; GB31572-2015; GB14554-93; GB12348-2008; GB18597-2023; GB18599-2020</x:v>
      </x:c>
      <x:c r="L61" s="48" t="str">
        <x:v>2</x:v>
      </x:c>
      <x:c r="M61" s="48" t="str">
        <x:v>2</x:v>
      </x:c>
      <x:c r="N61" s="48" t="str">
        <x:v>False</x:v>
      </x:c>
      <x:c r="O61" s="48" t="str">
        <x:v>存在缺漏</x:v>
      </x:c>
      <x:c r="P61"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61" s="48"/>
      <x:c r="R61" s="48"/>
      <x:c r="S61" s="48" t="str">
        <x:v>是</x:v>
      </x:c>
      <x:c r="T61" s="48" t="str">
        <x:v>原综合排放标准问答对拆分而来</x:v>
      </x:c>
      <x:c r="U61" s="48" t="str">
        <x:v>30份环评_污染物排放控制执行标准复核QA(拆分版)</x:v>
      </x:c>
      <x:c r="V61" s="48" t="str">
        <x:v>水污染物排放标准</x:v>
      </x:c>
      <x:c r="W61" s="48" t="str">
        <x:v>存在缺漏</x:v>
      </x:c>
      <x:c r="X61" s="48" t="str">
        <x:v>存在缺漏</x:v>
      </x:c>
      <x:c r="Y61" s="64"/>
      <x:c r="Z61" s="64" t="str">
        <x:v>未复核</x:v>
      </x:c>
      <x:c r="AA61" s="64" t="str">
        <x:v>部分充分</x:v>
      </x:c>
      <x:c r="AB61" s="64" t="str">
        <x:v>有效</x:v>
      </x:c>
      <x:c r="AC61" s="64" t="str">
        <x:v>部分核验</x:v>
      </x:c>
      <x:c r="AD61" s="64" t="str">
        <x:v>自动默认</x:v>
      </x:c>
      <x:c r="AE61" s="64" t="str">
        <x:v>候选池</x:v>
      </x:c>
      <x:c r="AF61" s="64" t="str">
        <x:v>A_仅待终审</x:v>
      </x:c>
      <x:c r="AG61" s="64"/>
      <x:c r="AH61" s="64"/>
      <x:c r="AI61" s="64"/>
      <x:c r="AJ61" s="64"/>
      <x:c r="AK61" s="64"/>
      <x:c r="AL61" s="64"/>
      <x:c r="AM61" s="64"/>
      <x:c r="AN61" s="48" t="str">
        <x:v>172</x:v>
      </x:c>
      <x:c r="AO61" s="48" t="str">
        <x:v>MAP_存在缺漏</x:v>
      </x:c>
      <x:c r="AP61" s="48" t="str">
        <x:v>存在报告证据，但尚未经人工逐项核验；已列依据来源，但未在本阶段逐条核验</x:v>
      </x:c>
      <x:c r="AQ61" s="64"/>
      <x:c r="AR61" s="48" t="str">
        <x:v>water_emission_standard</x:v>
      </x:c>
      <x:c r="AS61" s="48" t="str">
        <x:v>L3_analysis</x:v>
      </x:c>
      <x:c r="AT61" s="48" t="str">
        <x:v>rule_applicability</x:v>
      </x:c>
      <x:c r="AU61" s="48" t="str">
        <x:v>basis_grounding</x:v>
      </x:c>
      <x:c r="AV61" s="48" t="str">
        <x:v>report_grounding；procedural_reasoning</x:v>
      </x:c>
      <x:c r="AW61" s="48" t="str">
        <x:v>high</x:v>
      </x:c>
      <x:c r="AX61" s="48" t="str">
        <x:v>high</x:v>
      </x:c>
      <x:c r="AY61" s="48" t="str">
        <x:v>report_plus_external</x:v>
      </x:c>
      <x:c r="AZ61" s="48" t="str">
        <x:v>True</x:v>
      </x:c>
      <x:c r="BA61" s="48"/>
      <x:c r="BB61" s="48" t="str">
        <x:v>auto_default</x:v>
      </x:c>
      <x:c r="BC61" s="48" t="str">
        <x:v>v1</x:v>
      </x:c>
      <x:c r="BD61" s="68"/>
    </x:row>
    <x:row r="62" ht="36" customHeight="1">
      <x:c r="A62" s="47" t="str">
        <x:v>2026-07-27</x:v>
      </x:c>
      <x:c r="B62" s="48" t="str">
        <x:v>PL031</x:v>
      </x:c>
      <x:c r="C62" s="48" t="str">
        <x:v>V01</x:v>
      </x:c>
      <x:c r="D62" s="48" t="str">
        <x:v>PL031_佛山市浩创时代包装制品有限公司新建项目_01_受理公告或公示版.pdf</x:v>
      </x:c>
      <x:c r="E62" s="48" t="str">
        <x:v>佛山市浩创时代包装制品有限公司新建项目</x:v>
      </x:c>
      <x:c r="F62" s="48" t="str">
        <x:v>PL031_Emission_大气</x:v>
      </x:c>
      <x:c r="G62" s="48" t="str">
        <x:v>污染物排放标准-大气污染物排放标准</x:v>
      </x:c>
      <x:c r="H62" s="48" t="str">
        <x:v>请根据项目行业类别、生产工艺和污染因子，判断大气污染物排放标准选取是否合理。要求分析：污染源覆盖是否完整（列出所有大气污染源及对应标准），是否存在缺漏的污染源或标准。</x:v>
      </x:c>
      <x:c r="I62" s="48" t="str">
        <x:v>1、污染排放标准分析污染源内容：不完整；
2、大气污染物排放标准分析：报告在政策相符性分析中提及多项标准——G1排气筒（注塑、吹瓶）和G2排气筒（丝印及烘干、吸塑）非甲烷总烃排放浓度可达到《合成树脂工业污染物排放标准》（GB31572-2015，含2024年修改单）表4限值；厂区内NMHC满足DB44/2367-2022表3限值（1h平均≤6mg/m3，任意一次≤20mg/m3）；提及DB44/27-2001第II时段排放限值。但排放标准信息分散于政策相符性分析中，未形成结构化的排放标准章节。此外，项目涉及丝印工序使用油性油墨，GB31572-2015为合成树脂工业标准，丝印工序废气是否适用该标准需进一步核实——丝印工序可能更适合执行印刷行业相关VOCs排放标准。存在缺漏。
3.</x:v>
      </x:c>
      <x:c r="J62" s="48" t="str">
        <x:v>大气标准片段：「有机废气G1 排气筒非甲烷总烃排放浓度有组织排放浓度34.956mg/m3；G2 排气筒非甲烷总烃排放浓度有组织排放浓度16.363mg/m3，可达到《合成树脂工业污染物排放标准》（GB31572-2015，含2024 年修改单）表4 大气污染物浓度限值」「厂区内NMHC 满足广东省地方标准《固定污染源挥发性有机物综合排放标准》（DB44/2367-2022）表3 厂区内VOCs 无组织排放限值（≤6mg/m3、≤20mg/m3）」「项目注塑、吹瓶废气初始排放速率为1.89kg/h＜3kg/h」
3.</x:v>
      </x:c>
      <x:c r="K62" s="48" t="str">
        <x:v>emission-standard-kb.jsonl; DB44/26-2001; DB44/2367-2022; GB31572-2015; GB14554-93; GB12348-2008; GB18597-2023; GB18599-2020</x:v>
      </x:c>
      <x:c r="L62" s="48" t="str">
        <x:v>2</x:v>
      </x:c>
      <x:c r="M62" s="48" t="str">
        <x:v>2</x:v>
      </x:c>
      <x:c r="N62" s="48" t="str">
        <x:v>False</x:v>
      </x:c>
      <x:c r="O62" s="48" t="str">
        <x:v>存在缺漏</x:v>
      </x:c>
      <x:c r="P62"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62" s="48"/>
      <x:c r="R62" s="48"/>
      <x:c r="S62" s="48" t="str">
        <x:v>是</x:v>
      </x:c>
      <x:c r="T62" s="48" t="str">
        <x:v>原综合排放标准问答对拆分而来</x:v>
      </x:c>
      <x:c r="U62" s="48" t="str">
        <x:v>30份环评_污染物排放控制执行标准复核QA(拆分版)</x:v>
      </x:c>
      <x:c r="V62" s="48" t="str">
        <x:v>大气污染物排放标准</x:v>
      </x:c>
      <x:c r="W62" s="48" t="str">
        <x:v>存在缺漏</x:v>
      </x:c>
      <x:c r="X62" s="48" t="str">
        <x:v>存在缺漏</x:v>
      </x:c>
      <x:c r="Y62" s="64"/>
      <x:c r="Z62" s="64" t="str">
        <x:v>未复核</x:v>
      </x:c>
      <x:c r="AA62" s="64" t="str">
        <x:v>部分充分</x:v>
      </x:c>
      <x:c r="AB62" s="64" t="str">
        <x:v>有效</x:v>
      </x:c>
      <x:c r="AC62" s="64" t="str">
        <x:v>部分核验</x:v>
      </x:c>
      <x:c r="AD62" s="64" t="str">
        <x:v>自动默认</x:v>
      </x:c>
      <x:c r="AE62" s="64" t="str">
        <x:v>候选池</x:v>
      </x:c>
      <x:c r="AF62" s="64" t="str">
        <x:v>A_仅待终审</x:v>
      </x:c>
      <x:c r="AG62" s="64"/>
      <x:c r="AH62" s="64"/>
      <x:c r="AI62" s="64"/>
      <x:c r="AJ62" s="64"/>
      <x:c r="AK62" s="64"/>
      <x:c r="AL62" s="64"/>
      <x:c r="AM62" s="64"/>
      <x:c r="AN62" s="48" t="str">
        <x:v>173</x:v>
      </x:c>
      <x:c r="AO62" s="48" t="str">
        <x:v>MAP_存在缺漏</x:v>
      </x:c>
      <x:c r="AP62" s="48" t="str">
        <x:v>存在报告证据，但尚未经人工逐项核验；已列依据来源，但未在本阶段逐条核验</x:v>
      </x:c>
      <x:c r="AQ62" s="64"/>
      <x:c r="AR62" s="48" t="str">
        <x:v>air_emission_standard</x:v>
      </x:c>
      <x:c r="AS62" s="48" t="str">
        <x:v>L3_analysis</x:v>
      </x:c>
      <x:c r="AT62" s="48" t="str">
        <x:v>multi_evidence_synthesis</x:v>
      </x:c>
      <x:c r="AU62" s="48" t="str">
        <x:v>basis_grounding</x:v>
      </x:c>
      <x:c r="AV62" s="48" t="str">
        <x:v>report_grounding；evidence_integration</x:v>
      </x:c>
      <x:c r="AW62" s="48" t="str">
        <x:v>high</x:v>
      </x:c>
      <x:c r="AX62" s="48" t="str">
        <x:v>high</x:v>
      </x:c>
      <x:c r="AY62" s="48" t="str">
        <x:v>report_plus_external</x:v>
      </x:c>
      <x:c r="AZ62" s="48" t="str">
        <x:v>True</x:v>
      </x:c>
      <x:c r="BA62" s="48"/>
      <x:c r="BB62" s="48" t="str">
        <x:v>auto_default</x:v>
      </x:c>
      <x:c r="BC62" s="48" t="str">
        <x:v>v1</x:v>
      </x:c>
      <x:c r="BD62" s="68"/>
    </x:row>
    <x:row r="63" ht="36" customHeight="1">
      <x:c r="A63" s="47" t="str">
        <x:v>2026-07-27</x:v>
      </x:c>
      <x:c r="B63" s="48" t="str">
        <x:v>PL031</x:v>
      </x:c>
      <x:c r="C63" s="48" t="str">
        <x:v>V01</x:v>
      </x:c>
      <x:c r="D63" s="48" t="str">
        <x:v>PL031_佛山市浩创时代包装制品有限公司新建项目_01_受理公告或公示版.pdf</x:v>
      </x:c>
      <x:c r="E63" s="48" t="str">
        <x:v>佛山市浩创时代包装制品有限公司新建项目</x:v>
      </x:c>
      <x:c r="F63" s="48" t="str">
        <x:v>PL031_Emission_噪声</x:v>
      </x:c>
      <x:c r="G63" s="48" t="str">
        <x:v>污染物排放标准-噪声排放标准</x:v>
      </x:c>
      <x:c r="H63" s="48" t="str">
        <x:v>请根据项目所属声环境功能区类别，判断噪声排放标准选取是否合理。要求总结声功能区类型、厂界执行标准（GB12348-2008）及昼夜限值，并与环评编制内容进行一致性分析。</x:v>
      </x:c>
      <x:c r="I63" s="48" t="str">
        <x:v>1、噪声排放标准中执行标准与排放限值内容：存在缺漏；
2、报告全文未提及GB12348-2008或任何噪声排放标准，存在缺漏。
4.</x:v>
      </x:c>
      <x:c r="J63" s="48" t="str">
        <x:v>噪声标准：报告全文未出现GB12348-2008或任何噪声排放标准的引用。
4.</x:v>
      </x:c>
      <x:c r="K63" s="48" t="str">
        <x:v>emission-standard-kb.jsonl; DB44/26-2001; DB44/2367-2022; GB31572-2015; GB14554-93; GB12348-2008; GB18597-2023; GB18599-2020</x:v>
      </x:c>
      <x:c r="L63" s="48" t="str">
        <x:v>2</x:v>
      </x:c>
      <x:c r="M63" s="48" t="str">
        <x:v>2</x:v>
      </x:c>
      <x:c r="N63" s="48" t="str">
        <x:v>False</x:v>
      </x:c>
      <x:c r="O63" s="48" t="str">
        <x:v>存在缺漏</x:v>
      </x:c>
      <x:c r="P63"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63" s="48"/>
      <x:c r="R63" s="48"/>
      <x:c r="S63" s="48" t="str">
        <x:v>是</x:v>
      </x:c>
      <x:c r="T63" s="48" t="str">
        <x:v>原综合排放标准问答对拆分而来</x:v>
      </x:c>
      <x:c r="U63" s="48" t="str">
        <x:v>30份环评_污染物排放控制执行标准复核QA(拆分版)</x:v>
      </x:c>
      <x:c r="V63" s="48" t="str">
        <x:v>噪声排放标准</x:v>
      </x:c>
      <x:c r="W63" s="48" t="str">
        <x:v>存在缺漏</x:v>
      </x:c>
      <x:c r="X63" s="48" t="str">
        <x:v>存在缺漏</x:v>
      </x:c>
      <x:c r="Y63" s="64"/>
      <x:c r="Z63" s="64" t="str">
        <x:v>未复核</x:v>
      </x:c>
      <x:c r="AA63" s="64" t="str">
        <x:v>部分充分</x:v>
      </x:c>
      <x:c r="AB63" s="64" t="str">
        <x:v>有效</x:v>
      </x:c>
      <x:c r="AC63" s="64" t="str">
        <x:v>部分核验</x:v>
      </x:c>
      <x:c r="AD63" s="64" t="str">
        <x:v>自动默认</x:v>
      </x:c>
      <x:c r="AE63" s="64" t="str">
        <x:v>候选池</x:v>
      </x:c>
      <x:c r="AF63" s="64" t="str">
        <x:v>A_仅待终审</x:v>
      </x:c>
      <x:c r="AG63" s="64"/>
      <x:c r="AH63" s="64"/>
      <x:c r="AI63" s="64"/>
      <x:c r="AJ63" s="64"/>
      <x:c r="AK63" s="64"/>
      <x:c r="AL63" s="64"/>
      <x:c r="AM63" s="64"/>
      <x:c r="AN63" s="48" t="str">
        <x:v>174</x:v>
      </x:c>
      <x:c r="AO63" s="48" t="str">
        <x:v>MAP_存在缺漏</x:v>
      </x:c>
      <x:c r="AP63" s="48" t="str">
        <x:v>存在报告证据，但尚未经人工逐项核验；已列依据来源，但未在本阶段逐条核验</x:v>
      </x:c>
      <x:c r="AQ63" s="64"/>
      <x:c r="AR63" s="48" t="str">
        <x:v>noise_emission_standard</x:v>
      </x:c>
      <x:c r="AS63" s="48" t="str">
        <x:v>L2_application</x:v>
      </x:c>
      <x:c r="AT63" s="48" t="str">
        <x:v>rule_applicability</x:v>
      </x:c>
      <x:c r="AU63" s="48" t="str">
        <x:v>basis_grounding</x:v>
      </x:c>
      <x:c r="AV63" s="48" t="str">
        <x:v>report_grounding</x:v>
      </x:c>
      <x:c r="AW63" s="48" t="str">
        <x:v>high</x:v>
      </x:c>
      <x:c r="AX63" s="48" t="str">
        <x:v>medium</x:v>
      </x:c>
      <x:c r="AY63" s="48" t="str">
        <x:v>report_plus_external</x:v>
      </x:c>
      <x:c r="AZ63" s="48" t="str">
        <x:v>True</x:v>
      </x:c>
      <x:c r="BA63" s="48"/>
      <x:c r="BB63" s="48" t="str">
        <x:v>auto_default</x:v>
      </x:c>
      <x:c r="BC63" s="48" t="str">
        <x:v>v1</x:v>
      </x:c>
      <x:c r="BD63" s="68"/>
    </x:row>
    <x:row r="64" ht="36" customHeight="1">
      <x:c r="A64" s="47" t="str">
        <x:v>2026-07-27</x:v>
      </x:c>
      <x:c r="B64" s="48" t="str">
        <x:v>PL032</x:v>
      </x:c>
      <x:c r="C64" s="48" t="str">
        <x:v>V01</x:v>
      </x:c>
      <x:c r="D64" s="48" t="str">
        <x:v>PL032_德旺众新材料科技(佛山)有限公司新建建设项目_01_受理公告或公示版.pdf</x:v>
      </x:c>
      <x:c r="E64" s="48" t="str">
        <x:v>德旺众新材料科技(佛山)有限公司新建建设项目</x:v>
      </x:c>
      <x:c r="F64" s="48" t="str">
        <x:v>PL032_Emission_水污</x:v>
      </x:c>
      <x:c r="G64" s="48" t="str">
        <x:v>污染物排放标准-水污染物排放标准</x:v>
      </x:c>
      <x:c r="H64"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64" s="48" t="str">
        <x:v>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x:v>
      </x:c>
      <x:c r="J64" s="48" t="str">
        <x:v>水标准片段：「生活污水经三级化粪池预处理后排至均安污水处理厂处理」（工程组成表），未列出预处理执行标准及限值。
2.</x:v>
      </x:c>
      <x:c r="K64" s="48" t="str">
        <x:v>emission-standard-kb.jsonl; DB44/26-2001; DB44/2367-2022; GB31572-2015; GB14554-93; GB12348-2008; GB18597-2023; GB18599-2020</x:v>
      </x:c>
      <x:c r="L64" s="48" t="str">
        <x:v>2</x:v>
      </x:c>
      <x:c r="M64" s="48" t="str">
        <x:v>2</x:v>
      </x:c>
      <x:c r="N64" s="48" t="str">
        <x:v>False</x:v>
      </x:c>
      <x:c r="O64" s="48" t="str">
        <x:v>存在缺漏</x:v>
      </x:c>
      <x:c r="P64"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64" s="48"/>
      <x:c r="R64" s="48"/>
      <x:c r="S64" s="48" t="str">
        <x:v>是</x:v>
      </x:c>
      <x:c r="T64" s="48" t="str">
        <x:v>原综合排放标准问答对拆分而来</x:v>
      </x:c>
      <x:c r="U64" s="48" t="str">
        <x:v>30份环评_污染物排放控制执行标准复核QA(拆分版)</x:v>
      </x:c>
      <x:c r="V64" s="48" t="str">
        <x:v>水污染物排放标准</x:v>
      </x:c>
      <x:c r="W64" s="48" t="str">
        <x:v>存在缺漏</x:v>
      </x:c>
      <x:c r="X64" s="48" t="str">
        <x:v>存在缺漏</x:v>
      </x:c>
      <x:c r="Y64" s="64"/>
      <x:c r="Z64" s="64" t="str">
        <x:v>未复核</x:v>
      </x:c>
      <x:c r="AA64" s="64" t="str">
        <x:v>部分充分</x:v>
      </x:c>
      <x:c r="AB64" s="64" t="str">
        <x:v>有效</x:v>
      </x:c>
      <x:c r="AC64" s="64" t="str">
        <x:v>部分核验</x:v>
      </x:c>
      <x:c r="AD64" s="64" t="str">
        <x:v>自动默认</x:v>
      </x:c>
      <x:c r="AE64" s="64" t="str">
        <x:v>候选池</x:v>
      </x:c>
      <x:c r="AF64" s="64" t="str">
        <x:v>A_仅待终审</x:v>
      </x:c>
      <x:c r="AG64" s="64"/>
      <x:c r="AH64" s="64"/>
      <x:c r="AI64" s="64"/>
      <x:c r="AJ64" s="64"/>
      <x:c r="AK64" s="64"/>
      <x:c r="AL64" s="64"/>
      <x:c r="AM64" s="64"/>
      <x:c r="AN64" s="48" t="str">
        <x:v>179</x:v>
      </x:c>
      <x:c r="AO64" s="48" t="str">
        <x:v>MAP_存在缺漏</x:v>
      </x:c>
      <x:c r="AP64" s="48" t="str">
        <x:v>存在报告证据，但尚未经人工逐项核验；已列依据来源，但未在本阶段逐条核验</x:v>
      </x:c>
      <x:c r="AQ64" s="64"/>
      <x:c r="AR64" s="48" t="str">
        <x:v>water_emission_standard</x:v>
      </x:c>
      <x:c r="AS64" s="48" t="str">
        <x:v>L3_analysis</x:v>
      </x:c>
      <x:c r="AT64" s="48" t="str">
        <x:v>rule_applicability</x:v>
      </x:c>
      <x:c r="AU64" s="48" t="str">
        <x:v>basis_grounding</x:v>
      </x:c>
      <x:c r="AV64" s="48" t="str">
        <x:v>report_grounding；procedural_reasoning</x:v>
      </x:c>
      <x:c r="AW64" s="48" t="str">
        <x:v>high</x:v>
      </x:c>
      <x:c r="AX64" s="48" t="str">
        <x:v>high</x:v>
      </x:c>
      <x:c r="AY64" s="48" t="str">
        <x:v>report_plus_external</x:v>
      </x:c>
      <x:c r="AZ64" s="48" t="str">
        <x:v>True</x:v>
      </x:c>
      <x:c r="BA64" s="48"/>
      <x:c r="BB64" s="48" t="str">
        <x:v>auto_default</x:v>
      </x:c>
      <x:c r="BC64" s="48" t="str">
        <x:v>v1</x:v>
      </x:c>
      <x:c r="BD64" s="68"/>
    </x:row>
    <x:row r="65" ht="36" customHeight="1">
      <x:c r="A65" s="47" t="str">
        <x:v>2026-07-27</x:v>
      </x:c>
      <x:c r="B65" s="48" t="str">
        <x:v>PL032</x:v>
      </x:c>
      <x:c r="C65" s="48" t="str">
        <x:v>V01</x:v>
      </x:c>
      <x:c r="D65" s="48" t="str">
        <x:v>PL032_德旺众新材料科技(佛山)有限公司新建建设项目_01_受理公告或公示版.pdf</x:v>
      </x:c>
      <x:c r="E65" s="48" t="str">
        <x:v>德旺众新材料科技(佛山)有限公司新建建设项目</x:v>
      </x:c>
      <x:c r="F65" s="48" t="str">
        <x:v>PL032_Emission_大气</x:v>
      </x:c>
      <x:c r="G65" s="48" t="str">
        <x:v>污染物排放标准-大气污染物排放标准</x:v>
      </x:c>
      <x:c r="H65" s="48" t="str">
        <x:v>请根据项目行业类别、生产工艺和污染因子，判断大气污染物排放标准选取是否合理。要求分析：污染源覆盖是否完整（列出所有大气污染源及对应标准），是否存在缺漏的污染源或标准。</x:v>
      </x:c>
      <x:c r="I65" s="48" t="str">
        <x:v>1、污染排放标准分析污染源内容：不完整；
2、大气污染物排放标准分析：报告在政策相符性分析中提及DB44/2367-2022相关要求（排气筒高度不低于15m、NMHC初始排放速率限值、无组织排放控制要求等），有机废气经整室负压密闭收集后通过活性炭吸附装置处理后引至31m排气筒DA001排放。但报告仅笼统表述“本项目挥发性有机物有组织排放可满足现行相关大气污染物排放限值”，未明确引用有组织排放执行的具体标准名称及限值。对于淋涂工序使用紫外光固化涂料的VOCs排放，应明确引用适用的排放标准（如DB44/2367-2022表1有组织排放限值或其他适用标准）并列出具体限值。存在缺漏。
3.</x:v>
      </x:c>
      <x:c r="J65" s="48" t="str">
        <x:v>大气标准片段：「有机废气（VOCs）经整室负压密闭收集后通过楼顶‘活性炭吸附’装置处理达标后引至31m排气筒DA001排放」「本项目挥发性有机物有组织排放可满足现行相关大气污染物排放限值。有机废气厂区内无组织排放满足小时平均浓度值不超过6mg/m3，任意一次浓度值不超过20mg/m3。」「本项目位于重点地区，项目的有机废气初始排放速率低于2kg/h」
3.</x:v>
      </x:c>
      <x:c r="K65" s="48" t="str">
        <x:v>emission-standard-kb.jsonl; DB44/26-2001; DB44/2367-2022; GB31572-2015; GB14554-93; GB12348-2008; GB18597-2023; GB18599-2020</x:v>
      </x:c>
      <x:c r="L65" s="48" t="str">
        <x:v>2</x:v>
      </x:c>
      <x:c r="M65" s="48" t="str">
        <x:v>2</x:v>
      </x:c>
      <x:c r="N65" s="48" t="str">
        <x:v>False</x:v>
      </x:c>
      <x:c r="O65" s="48" t="str">
        <x:v>存在缺漏</x:v>
      </x:c>
      <x:c r="P65"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65" s="48"/>
      <x:c r="R65" s="48"/>
      <x:c r="S65" s="48" t="str">
        <x:v>是</x:v>
      </x:c>
      <x:c r="T65" s="48" t="str">
        <x:v>原综合排放标准问答对拆分而来</x:v>
      </x:c>
      <x:c r="U65" s="48" t="str">
        <x:v>30份环评_污染物排放控制执行标准复核QA(拆分版)</x:v>
      </x:c>
      <x:c r="V65" s="48" t="str">
        <x:v>大气污染物排放标准</x:v>
      </x:c>
      <x:c r="W65" s="48" t="str">
        <x:v>存在缺漏</x:v>
      </x:c>
      <x:c r="X65" s="48" t="str">
        <x:v>存在缺漏</x:v>
      </x:c>
      <x:c r="Y65" s="64"/>
      <x:c r="Z65" s="64" t="str">
        <x:v>未复核</x:v>
      </x:c>
      <x:c r="AA65" s="64" t="str">
        <x:v>部分充分</x:v>
      </x:c>
      <x:c r="AB65" s="64" t="str">
        <x:v>有效</x:v>
      </x:c>
      <x:c r="AC65" s="64" t="str">
        <x:v>部分核验</x:v>
      </x:c>
      <x:c r="AD65" s="64" t="str">
        <x:v>自动默认</x:v>
      </x:c>
      <x:c r="AE65" s="64" t="str">
        <x:v>候选池</x:v>
      </x:c>
      <x:c r="AF65" s="64" t="str">
        <x:v>A_仅待终审</x:v>
      </x:c>
      <x:c r="AG65" s="64"/>
      <x:c r="AH65" s="64"/>
      <x:c r="AI65" s="64"/>
      <x:c r="AJ65" s="64"/>
      <x:c r="AK65" s="64"/>
      <x:c r="AL65" s="64"/>
      <x:c r="AM65" s="64"/>
      <x:c r="AN65" s="48" t="str">
        <x:v>180</x:v>
      </x:c>
      <x:c r="AO65" s="48" t="str">
        <x:v>MAP_存在缺漏</x:v>
      </x:c>
      <x:c r="AP65" s="48" t="str">
        <x:v>存在报告证据，但尚未经人工逐项核验；已列依据来源，但未在本阶段逐条核验</x:v>
      </x:c>
      <x:c r="AQ65" s="64"/>
      <x:c r="AR65" s="48" t="str">
        <x:v>air_emission_standard</x:v>
      </x:c>
      <x:c r="AS65" s="48" t="str">
        <x:v>L3_analysis</x:v>
      </x:c>
      <x:c r="AT65" s="48" t="str">
        <x:v>multi_evidence_synthesis</x:v>
      </x:c>
      <x:c r="AU65" s="48" t="str">
        <x:v>basis_grounding</x:v>
      </x:c>
      <x:c r="AV65" s="48" t="str">
        <x:v>report_grounding；evidence_integration</x:v>
      </x:c>
      <x:c r="AW65" s="48" t="str">
        <x:v>high</x:v>
      </x:c>
      <x:c r="AX65" s="48" t="str">
        <x:v>high</x:v>
      </x:c>
      <x:c r="AY65" s="48" t="str">
        <x:v>report_plus_external</x:v>
      </x:c>
      <x:c r="AZ65" s="48" t="str">
        <x:v>True</x:v>
      </x:c>
      <x:c r="BA65" s="48"/>
      <x:c r="BB65" s="48" t="str">
        <x:v>auto_default</x:v>
      </x:c>
      <x:c r="BC65" s="48" t="str">
        <x:v>v1</x:v>
      </x:c>
      <x:c r="BD65" s="68"/>
    </x:row>
    <x:row r="66" ht="36" customHeight="1">
      <x:c r="A66" s="47" t="str">
        <x:v>2026-07-27</x:v>
      </x:c>
      <x:c r="B66" s="48" t="str">
        <x:v>PL032</x:v>
      </x:c>
      <x:c r="C66" s="48" t="str">
        <x:v>V01</x:v>
      </x:c>
      <x:c r="D66" s="48" t="str">
        <x:v>PL032_德旺众新材料科技(佛山)有限公司新建建设项目_01_受理公告或公示版.pdf</x:v>
      </x:c>
      <x:c r="E66" s="48" t="str">
        <x:v>德旺众新材料科技(佛山)有限公司新建建设项目</x:v>
      </x:c>
      <x:c r="F66" s="48" t="str">
        <x:v>PL032_Emission_噪声</x:v>
      </x:c>
      <x:c r="G66" s="48" t="str">
        <x:v>污染物排放标准-噪声排放标准</x:v>
      </x:c>
      <x:c r="H66" s="48" t="str">
        <x:v>请根据项目所属声环境功能区类别，判断噪声排放标准选取是否合理。要求总结声功能区类型、厂界执行标准（GB12348-2008）及昼夜限值，并与环评编制内容进行一致性分析。</x:v>
      </x:c>
      <x:c r="I66" s="48" t="str">
        <x:v>1、噪声排放标准中执行标准与排放限值内容：存在缺漏；
2、报告全文未提及GB12348-2008或任何噪声排放标准，存在缺漏。
4.</x:v>
      </x:c>
      <x:c r="J66" s="48" t="str">
        <x:v>噪声标准：报告全文未出现GB12348-2008或任何噪声排放标准的引用。
4.</x:v>
      </x:c>
      <x:c r="K66" s="48" t="str">
        <x:v>emission-standard-kb.jsonl; DB44/26-2001; DB44/2367-2022; GB31572-2015; GB14554-93; GB12348-2008; GB18597-2023; GB18599-2020</x:v>
      </x:c>
      <x:c r="L66" s="48" t="str">
        <x:v>2</x:v>
      </x:c>
      <x:c r="M66" s="48" t="str">
        <x:v>2</x:v>
      </x:c>
      <x:c r="N66" s="48" t="str">
        <x:v>False</x:v>
      </x:c>
      <x:c r="O66" s="48" t="str">
        <x:v>存在缺漏</x:v>
      </x:c>
      <x:c r="P66"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66" s="48"/>
      <x:c r="R66" s="48"/>
      <x:c r="S66" s="48" t="str">
        <x:v>是</x:v>
      </x:c>
      <x:c r="T66" s="48" t="str">
        <x:v>原综合排放标准问答对拆分而来</x:v>
      </x:c>
      <x:c r="U66" s="48" t="str">
        <x:v>30份环评_污染物排放控制执行标准复核QA(拆分版)</x:v>
      </x:c>
      <x:c r="V66" s="48" t="str">
        <x:v>噪声排放标准</x:v>
      </x:c>
      <x:c r="W66" s="48" t="str">
        <x:v>存在缺漏</x:v>
      </x:c>
      <x:c r="X66" s="48" t="str">
        <x:v>存在缺漏</x:v>
      </x:c>
      <x:c r="Y66" s="64"/>
      <x:c r="Z66" s="64" t="str">
        <x:v>未复核</x:v>
      </x:c>
      <x:c r="AA66" s="64" t="str">
        <x:v>部分充分</x:v>
      </x:c>
      <x:c r="AB66" s="64" t="str">
        <x:v>有效</x:v>
      </x:c>
      <x:c r="AC66" s="64" t="str">
        <x:v>部分核验</x:v>
      </x:c>
      <x:c r="AD66" s="64" t="str">
        <x:v>自动默认</x:v>
      </x:c>
      <x:c r="AE66" s="64" t="str">
        <x:v>候选池</x:v>
      </x:c>
      <x:c r="AF66" s="64" t="str">
        <x:v>A_仅待终审</x:v>
      </x:c>
      <x:c r="AG66" s="64"/>
      <x:c r="AH66" s="64"/>
      <x:c r="AI66" s="64"/>
      <x:c r="AJ66" s="64"/>
      <x:c r="AK66" s="64"/>
      <x:c r="AL66" s="64"/>
      <x:c r="AM66" s="64"/>
      <x:c r="AN66" s="48" t="str">
        <x:v>181</x:v>
      </x:c>
      <x:c r="AO66" s="48" t="str">
        <x:v>MAP_存在缺漏</x:v>
      </x:c>
      <x:c r="AP66" s="48" t="str">
        <x:v>存在报告证据，但尚未经人工逐项核验；已列依据来源，但未在本阶段逐条核验</x:v>
      </x:c>
      <x:c r="AQ66" s="64"/>
      <x:c r="AR66" s="48" t="str">
        <x:v>noise_emission_standard</x:v>
      </x:c>
      <x:c r="AS66" s="48" t="str">
        <x:v>L2_application</x:v>
      </x:c>
      <x:c r="AT66" s="48" t="str">
        <x:v>rule_applicability</x:v>
      </x:c>
      <x:c r="AU66" s="48" t="str">
        <x:v>basis_grounding</x:v>
      </x:c>
      <x:c r="AV66" s="48" t="str">
        <x:v>report_grounding</x:v>
      </x:c>
      <x:c r="AW66" s="48" t="str">
        <x:v>high</x:v>
      </x:c>
      <x:c r="AX66" s="48" t="str">
        <x:v>medium</x:v>
      </x:c>
      <x:c r="AY66" s="48" t="str">
        <x:v>report_plus_external</x:v>
      </x:c>
      <x:c r="AZ66" s="48" t="str">
        <x:v>True</x:v>
      </x:c>
      <x:c r="BA66" s="48"/>
      <x:c r="BB66" s="48" t="str">
        <x:v>auto_default</x:v>
      </x:c>
      <x:c r="BC66" s="48" t="str">
        <x:v>v1</x:v>
      </x:c>
      <x:c r="BD66" s="68"/>
    </x:row>
    <x:row r="67" ht="36" customHeight="1">
      <x:c r="A67" s="50" t="str">
        <x:v>2026-07-28</x:v>
      </x:c>
      <x:c r="B67" s="51" t="str">
        <x:v>PL033</x:v>
      </x:c>
      <x:c r="C67" s="51" t="str">
        <x:v>V01</x:v>
      </x:c>
      <x:c r="D67" s="51" t="str">
        <x:v>PL033_广东施格纳电气有限公司新建项目_01_受理公告或公示版.pdf</x:v>
      </x:c>
      <x:c r="E67" s="51" t="str">
        <x:v>广东施格纳电气有限公司新建项目</x:v>
      </x:c>
      <x:c r="F67" s="51" t="str">
        <x:v>PL033_EnvQuality_Q01</x:v>
      </x:c>
      <x:c r="G67" s="51" t="str">
        <x:v>大气及地表水环境质量现状数据引用</x:v>
      </x:c>
      <x:c r="H67" s="51" t="str">
        <x:v>请根据报告引用的环境质量公报及现状数据，判断大气和地表水环境质量现状数据引用是否准确。</x:v>
      </x:c>
      <x:c r="I67" s="51"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x:v>
      </x:c>
      <x:c r="J67" s="51" t="str">
        <x:v>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x:v>
      </x:c>
      <x:c r="K67" s="51" t="str">
        <x:v>生态环境状况公报知识库; 收纳水体地表水执行标准</x:v>
      </x:c>
      <x:c r="L67" s="51" t="str">
        <x:v>2</x:v>
      </x:c>
      <x:c r="M67" s="51" t="str">
        <x:v>2</x:v>
      </x:c>
      <x:c r="N67" s="51" t="str">
        <x:v>False</x:v>
      </x:c>
      <x:c r="O67" s="51" t="str">
        <x:v>正确</x:v>
      </x:c>
      <x:c r="P67" s="51" t="str">
        <x:v>大气:正确; 地表水:正确; 报告日期:2024-04</x:v>
      </x:c>
      <x:c r="Q67" s="51"/>
      <x:c r="R67" s="51"/>
      <x:c r="S67" s="51" t="str">
        <x:v>是</x:v>
      </x:c>
      <x:c r="T67" s="51" t="str">
        <x:v>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x:v>
      </x:c>
      <x:c r="U67" s="51" t="str">
        <x:v>30个环评_大气及地表水环境质量现状数据引用复核QA</x:v>
      </x:c>
      <x:c r="V67" s="51" t="str">
        <x:v>环境质量数据引用</x:v>
      </x:c>
      <x:c r="W67" s="51" t="str">
        <x:v>正确</x:v>
      </x:c>
      <x:c r="X67" s="51" t="str">
        <x:v>无误</x:v>
      </x:c>
      <x:c r="Y67" s="65"/>
      <x:c r="Z67" s="65" t="str">
        <x:v>未复核</x:v>
      </x:c>
      <x:c r="AA67" s="65" t="str">
        <x:v>部分充分</x:v>
      </x:c>
      <x:c r="AB67" s="65" t="str">
        <x:v>有效</x:v>
      </x:c>
      <x:c r="AC67" s="65" t="str">
        <x:v>部分核验</x:v>
      </x:c>
      <x:c r="AD67" s="65" t="str">
        <x:v>自动默认</x:v>
      </x:c>
      <x:c r="AE67" s="65" t="str">
        <x:v>候选池</x:v>
      </x:c>
      <x:c r="AF67" s="65" t="str">
        <x:v>A_仅待终审</x:v>
      </x:c>
      <x:c r="AG67" s="65"/>
      <x:c r="AH67" s="65"/>
      <x:c r="AI67" s="65"/>
      <x:c r="AJ67" s="65"/>
      <x:c r="AK67" s="65"/>
      <x:c r="AL67" s="65"/>
      <x:c r="AM67" s="65"/>
      <x:c r="AN67" s="51" t="str">
        <x:v>185</x:v>
      </x:c>
      <x:c r="AO67" s="51" t="str">
        <x:v>MAP_正确</x:v>
      </x:c>
      <x:c r="AP67" s="51" t="str">
        <x:v>存在报告证据，但尚未经人工逐项核验；已列依据来源，但未在本阶段逐条核验</x:v>
      </x:c>
      <x:c r="AQ67" s="65"/>
      <x:c r="AR67" s="51" t="str">
        <x:v>environmental_quality_data</x:v>
      </x:c>
      <x:c r="AS67" s="51" t="str">
        <x:v>L3_analysis</x:v>
      </x:c>
      <x:c r="AT67" s="51" t="str">
        <x:v>consistency_comparison</x:v>
      </x:c>
      <x:c r="AU67" s="51" t="str">
        <x:v>evidence_integration</x:v>
      </x:c>
      <x:c r="AV67" s="51" t="str">
        <x:v>report_grounding；basis_grounding</x:v>
      </x:c>
      <x:c r="AW67" s="51" t="str">
        <x:v>high</x:v>
      </x:c>
      <x:c r="AX67" s="51" t="str">
        <x:v>high</x:v>
      </x:c>
      <x:c r="AY67" s="51" t="str">
        <x:v>report_plus_external</x:v>
      </x:c>
      <x:c r="AZ67" s="51" t="str">
        <x:v>True</x:v>
      </x:c>
      <x:c r="BA67" s="51"/>
      <x:c r="BB67" s="51" t="str">
        <x:v>auto_default</x:v>
      </x:c>
      <x:c r="BC67" s="51" t="str">
        <x:v>v1</x:v>
      </x:c>
      <x:c r="BD67" s="69"/>
    </x:row>
  </x:sheetData>
  <x:conditionalFormatting sqref="AP2:AP67">
    <x:cfRule type="expression" dxfId="6" priority="1">
      <x:formula>LEN(AP2)&gt;0</x:formula>
    </x:cfRule>
  </x:conditionalFormatting>
  <x:conditionalFormatting sqref="AA2:AA67">
    <x:cfRule type="cellIs" dxfId="7" priority="2" operator="equal">
      <x:formula>"不足"</x:formula>
    </x:cfRule>
  </x:conditionalFormatting>
  <x:conditionalFormatting sqref="Z2:Z67">
    <x:cfRule type="cellIs" dxfId="8" priority="3" operator="equal">
      <x:formula>"已冻结"</x:formula>
    </x:cfRule>
  </x:conditionalFormatting>
  <x:dataValidations count="8">
    <x:dataValidation type="list" sqref="Y2:Y67">
      <x:formula1>"无误,存在错误,存在缺漏,证据不足,需人工复核,待判断"</x:formula1>
    </x:dataValidation>
    <x:dataValidation type="list" sqref="Z2:Z67">
      <x:formula1>"未复核,一审完成,二审完成,已裁决,已冻结,排除"</x:formula1>
    </x:dataValidation>
    <x:dataValidation type="list" sqref="AA2:AA67">
      <x:formula1>"充分,部分充分,不足,原始材料缺失,待判断"</x:formula1>
    </x:dataValidation>
    <x:dataValidation type="list" sqref="AB2:AB67">
      <x:formula1>"有效,表述歧义,字段错位,题答不匹配,重复,原始材料缺失,排除,待判断"</x:formula1>
    </x:dataValidation>
    <x:dataValidation type="list" sqref="AC2:AC67">
      <x:formula1>"已核验,部分核验,未核验,不需要外部依据,待判断"</x:formula1>
    </x:dataValidation>
    <x:dataValidation type="list" sqref="AD2:AD67">
      <x:formula1>"自动默认,人工确认,人工覆盖"</x:formula1>
    </x:dataValidation>
    <x:dataValidation type="list" sqref="AE2:AE67">
      <x:formula1>"候选池,趋势实验候选,趋势实验冻结,正式实验候选,正式实验冻结,排除"</x:formula1>
    </x:dataValidation>
    <x:dataValidation type="list" sqref="AF2:AF67">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0c07542528984d11"/>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2026-07-24</x:v>
      </x:c>
      <x:c r="B2" s="48" t="str">
        <x:v>PL001</x:v>
      </x:c>
      <x:c r="C2" s="48" t="str">
        <x:v>V01</x:v>
      </x:c>
      <x:c r="D2" s="48" t="str">
        <x:v>PL001_佛山市亮正新材料有限公司新建项目</x:v>
      </x:c>
      <x:c r="E2" s="48" t="str">
        <x:v>佛山市亮正新材料有限公司新建项目</x:v>
      </x:c>
      <x:c r="F2" s="48" t="str">
        <x:v>PL001_V01_Q03</x:v>
      </x:c>
      <x:c r="G2" s="48" t="str">
        <x:v>环评投资核算</x:v>
      </x:c>
      <x:c r="H2" s="48" t="str">
        <x:v>请根据报告中的总投资、环保投资和环保工程投资明细，判断环保投资核算是否前后一致、比例是否正确。</x:v>
      </x:c>
      <x:c r="I2" s="48" t="str">
        <x:v>环评投资核算判定结论：需复核；具体分析：报告填报总投资为50万元、环保投资为10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x:v>
      </x:c>
      <x:c r="J2" s="48" t="str">
        <x:v>一、建设项目基本情况：总投资50万元、环保投资10万元、占比20%。来源：解析文本拼接_01_001-020(4).md</x:v>
      </x:c>
      <x:c r="K2" s="48" t="str">
        <x:v>报告原文-环保投资明细表</x:v>
      </x:c>
      <x:c r="L2" s="48" t="str">
        <x:v>2</x:v>
      </x:c>
      <x:c r="M2" s="48" t="str">
        <x:v>2</x:v>
      </x:c>
      <x:c r="N2" s="48" t="str">
        <x:v>False</x:v>
      </x:c>
      <x:c r="O2" s="48" t="str">
        <x:v>需复核</x:v>
      </x:c>
      <x:c r="P2" s="48"/>
      <x:c r="Q2" s="48"/>
      <x:c r="R2" s="48"/>
      <x:c r="S2" s="48" t="str">
        <x:v>是</x:v>
      </x:c>
      <x:c r="T2" s="48"/>
      <x:c r="U2" s="48" t="str">
        <x:v>30个PL_环评投资核算QA</x:v>
      </x:c>
      <x:c r="V2" s="48" t="str">
        <x:v>环评投资概算</x:v>
      </x:c>
      <x:c r="W2" s="48" t="str">
        <x:v>需复核</x:v>
      </x:c>
      <x:c r="X2" s="48" t="str">
        <x:v>证据不足</x:v>
      </x:c>
      <x:c r="Y2" s="64"/>
      <x:c r="Z2" s="64" t="str">
        <x:v>未复核</x:v>
      </x:c>
      <x:c r="AA2" s="64" t="str">
        <x:v>不足</x:v>
      </x:c>
      <x:c r="AB2" s="64" t="str">
        <x:v>有效</x:v>
      </x:c>
      <x:c r="AC2" s="64" t="str">
        <x:v>不需要外部依据</x:v>
      </x:c>
      <x:c r="AD2" s="64" t="str">
        <x:v>自动默认</x:v>
      </x:c>
      <x:c r="AE2" s="64" t="str">
        <x:v>候选池</x:v>
      </x:c>
      <x:c r="AF2" s="64" t="str">
        <x:v>B_证据不足</x:v>
      </x:c>
      <x:c r="AG2" s="64"/>
      <x:c r="AH2" s="64"/>
      <x:c r="AI2" s="64"/>
      <x:c r="AJ2" s="64"/>
      <x:c r="AK2" s="64"/>
      <x:c r="AL2" s="64"/>
      <x:c r="AM2" s="64"/>
      <x:c r="AN2" s="48" t="str">
        <x:v>3</x:v>
      </x:c>
      <x:c r="AO2" s="48" t="str">
        <x:v>MAP_需复核+EVIDENCE_INSUFFICIENCY_SIGNAL</x:v>
      </x:c>
      <x:c r="AP2" s="48" t="str">
        <x:v>原结论明确要求人工复核；命中证据不足候选词：未检索到、无法核对；投资复核主要依据报告内金额与算式</x:v>
      </x:c>
      <x:c r="AQ2" s="64"/>
      <x:c r="AR2" s="48" t="str">
        <x:v>environmental_investment</x:v>
      </x:c>
      <x:c r="AS2" s="48" t="str">
        <x:v>L2_application</x:v>
      </x:c>
      <x:c r="AT2" s="48" t="str">
        <x:v>quantitative_verification</x:v>
      </x:c>
      <x:c r="AU2" s="48" t="str">
        <x:v>numerical_accuracy</x:v>
      </x:c>
      <x:c r="AV2" s="48" t="str">
        <x:v>report_grounding；procedural_reasoning</x:v>
      </x:c>
      <x:c r="AW2" s="48" t="str">
        <x:v>low</x:v>
      </x:c>
      <x:c r="AX2" s="48" t="str">
        <x:v>medium</x:v>
      </x:c>
      <x:c r="AY2" s="48" t="str">
        <x:v>cross_section</x:v>
      </x:c>
      <x:c r="AZ2" s="48" t="str">
        <x:v>True</x:v>
      </x:c>
      <x:c r="BA2" s="48"/>
      <x:c r="BB2" s="48" t="str">
        <x:v>auto_default</x:v>
      </x:c>
      <x:c r="BC2" s="48" t="str">
        <x:v>v1</x:v>
      </x:c>
      <x:c r="BD2" s="68"/>
    </x:row>
    <x:row r="3" ht="36" customHeight="1">
      <x:c r="A3" s="47" t="str">
        <x:v>2026-07-27</x:v>
      </x:c>
      <x:c r="B3" s="48" t="str">
        <x:v>PL001</x:v>
      </x:c>
      <x:c r="C3" s="48" t="str">
        <x:v>V01</x:v>
      </x:c>
      <x:c r="D3" s="48" t="str">
        <x:v>PL001_佛山市亮正新材料有限公司新建项目_01_核查材料.docx</x:v>
      </x:c>
      <x:c r="E3" s="48" t="str">
        <x:v>佛山市亮正新材料有限公司新建项目</x:v>
      </x:c>
      <x:c r="F3" s="48" t="str">
        <x:v>PL001_Emission_水污</x:v>
      </x:c>
      <x:c r="G3" s="48" t="str">
        <x:v>污染物排放标准-水污染物排放标准</x:v>
      </x:c>
      <x:c r="H3"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 s="48" t="str">
        <x:v>1、水污染物排放标准中生活污水排放执行标准：存在错误；
2、水污染物排放标准结论的过程分析内容：存在错误。报告称"生活污水经独立生活污水处理设施处理后达到《城镇污水处理厂污染物排放标准》（GB18918-2002）二级标准后排入古齐涌"。GB18918-2002的适用对象是城镇污水处理厂，不适用于企业自建的独立生活污水处理设施。本项目生活污水经企业自建独立处理设施处理后直接排入地表水体（古齐涌），应执行广东省地方标准《水污染物排放限值》（DB44/26-2001）第二时段相应标准。对比同区域其他项目（PL002-PL005），生活污水均执行DB44/26-2001第二时段三级标准后排入市政管网经城镇污水处理厂处理，而本项目直接排放至河涌却引用了GB18918-2002，标准选取明显不当。印刷机清洗废水委托第三方处理，标准引用未见明显问题。</x:v>
      </x:c>
      <x:c r="J3" s="48" t="str">
        <x:v>水标准原文："本项目生活污水经独立生活污水处理设施处理后达到《城镇污水处理厂污染物排放标准》（GB18918-2002）二级标准后排入古齐涌，然后排至新涌大河，最后汇入顺德支流。"</x:v>
      </x:c>
      <x:c r="K3" s="48" t="str">
        <x:v>emission-standard-kb.jsonl; DB44/26-2001; DB44/2367-2022; GB31572-2015; GB14554-93; GB12348-2008; GB18597-2023; GB18599-2020</x:v>
      </x:c>
      <x:c r="L3" s="48" t="str">
        <x:v>2</x:v>
      </x:c>
      <x:c r="M3" s="48" t="str">
        <x:v>2</x:v>
      </x:c>
      <x:c r="N3" s="48" t="str">
        <x:v>False</x:v>
      </x:c>
      <x:c r="O3" s="48" t="str">
        <x:v>存在错误</x:v>
      </x:c>
      <x:c r="P3" s="48" t="str">
        <x:v>水:存在错误；气:存在缺漏；噪声:存在缺漏；固废:存在缺漏</x:v>
      </x:c>
      <x:c r="Q3" s="48"/>
      <x:c r="R3" s="48"/>
      <x:c r="S3" s="48" t="str">
        <x:v>是</x:v>
      </x:c>
      <x:c r="T3" s="48" t="str">
        <x:v>原综合排放标准问答对拆分而来</x:v>
      </x:c>
      <x:c r="U3" s="48" t="str">
        <x:v>30份环评_污染物排放控制执行标准复核QA(拆分版)</x:v>
      </x:c>
      <x:c r="V3" s="48" t="str">
        <x:v>水污染物排放标准</x:v>
      </x:c>
      <x:c r="W3" s="48" t="str">
        <x:v>存在错误</x:v>
      </x:c>
      <x:c r="X3" s="48" t="str">
        <x:v>存在错误</x:v>
      </x:c>
      <x:c r="Y3" s="64"/>
      <x:c r="Z3" s="64" t="str">
        <x:v>未复核</x:v>
      </x:c>
      <x:c r="AA3" s="64" t="str">
        <x:v>不足</x:v>
      </x:c>
      <x:c r="AB3" s="64" t="str">
        <x:v>有效</x:v>
      </x:c>
      <x:c r="AC3" s="64" t="str">
        <x:v>部分核验</x:v>
      </x:c>
      <x:c r="AD3" s="64" t="str">
        <x:v>自动默认</x:v>
      </x:c>
      <x:c r="AE3" s="64" t="str">
        <x:v>候选池</x:v>
      </x:c>
      <x:c r="AF3" s="64" t="str">
        <x:v>B_证据不足</x:v>
      </x:c>
      <x:c r="AG3" s="64"/>
      <x:c r="AH3" s="64"/>
      <x:c r="AI3" s="64"/>
      <x:c r="AJ3" s="64"/>
      <x:c r="AK3" s="64"/>
      <x:c r="AL3" s="64"/>
      <x:c r="AM3" s="64"/>
      <x:c r="AN3" s="48" t="str">
        <x:v>5</x:v>
      </x:c>
      <x:c r="AO3" s="48" t="str">
        <x:v>MAP_存在错误</x:v>
      </x:c>
      <x:c r="AP3" s="48" t="str">
        <x:v>命中证据不足候选词：未见；已列依据来源，但未在本阶段逐条核验</x:v>
      </x:c>
      <x:c r="AQ3" s="64"/>
      <x:c r="AR3" s="48" t="str">
        <x:v>water_emission_standard</x:v>
      </x:c>
      <x:c r="AS3" s="48" t="str">
        <x:v>L3_analysis</x:v>
      </x:c>
      <x:c r="AT3" s="48" t="str">
        <x:v>rule_applicability</x:v>
      </x:c>
      <x:c r="AU3" s="48" t="str">
        <x:v>basis_grounding</x:v>
      </x:c>
      <x:c r="AV3" s="48" t="str">
        <x:v>report_grounding；procedural_reasoning</x:v>
      </x:c>
      <x:c r="AW3" s="48" t="str">
        <x:v>high</x:v>
      </x:c>
      <x:c r="AX3" s="48" t="str">
        <x:v>high</x:v>
      </x:c>
      <x:c r="AY3" s="48" t="str">
        <x:v>report_plus_external</x:v>
      </x:c>
      <x:c r="AZ3" s="48" t="str">
        <x:v>True</x:v>
      </x:c>
      <x:c r="BA3" s="48"/>
      <x:c r="BB3" s="48" t="str">
        <x:v>auto_default</x:v>
      </x:c>
      <x:c r="BC3" s="48" t="str">
        <x:v>v1</x:v>
      </x:c>
      <x:c r="BD3" s="68"/>
    </x:row>
    <x:row r="4" ht="36" customHeight="1">
      <x:c r="A4" s="47" t="str">
        <x:v>2026-07-27</x:v>
      </x:c>
      <x:c r="B4" s="48" t="str">
        <x:v>PL001</x:v>
      </x:c>
      <x:c r="C4" s="48" t="str">
        <x:v>V01</x:v>
      </x:c>
      <x:c r="D4" s="48" t="str">
        <x:v>PL001_佛山市亮正新材料有限公司新建项目_01_核查材料.docx</x:v>
      </x:c>
      <x:c r="E4" s="48" t="str">
        <x:v>佛山市亮正新材料有限公司新建项目</x:v>
      </x:c>
      <x:c r="F4" s="48" t="str">
        <x:v>PL001_Emission_噪声</x:v>
      </x:c>
      <x:c r="G4" s="48" t="str">
        <x:v>污染物排放标准-噪声排放标准</x:v>
      </x:c>
      <x:c r="H4" s="48" t="str">
        <x:v>请根据项目所属声环境功能区类别，判断噪声排放标准选取是否合理。要求总结声功能区类型、厂界执行标准（GB12348-2008）及昼夜限值，并与环评编制内容进行一致性分析。</x:v>
      </x:c>
      <x:c r="I4" s="48" t="str">
        <x:v>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x:v>
      </x:c>
      <x:c r="J4" s="48" t="str">
        <x:v>噪声标准原文："项目厂界外1m执行《工业企业厂界环境噪声排放标准》（GB12348-2008）中的2类标准：昼间≤60dB(A)、夜间≤50dB(A)。"</x:v>
      </x:c>
      <x:c r="K4" s="48" t="str">
        <x:v>emission-standard-kb.jsonl; DB44/26-2001; DB44/2367-2022; GB31572-2015; GB14554-93; GB12348-2008; GB18597-2023; GB18599-2020</x:v>
      </x:c>
      <x:c r="L4" s="48" t="str">
        <x:v>2</x:v>
      </x:c>
      <x:c r="M4" s="48" t="str">
        <x:v>2</x:v>
      </x:c>
      <x:c r="N4" s="48" t="str">
        <x:v>False</x:v>
      </x:c>
      <x:c r="O4" s="48" t="str">
        <x:v>存在缺漏</x:v>
      </x:c>
      <x:c r="P4" s="48" t="str">
        <x:v>水:存在错误；气:存在缺漏；噪声:存在缺漏；固废:存在缺漏</x:v>
      </x:c>
      <x:c r="Q4" s="48"/>
      <x:c r="R4" s="48"/>
      <x:c r="S4" s="48" t="str">
        <x:v>是</x:v>
      </x:c>
      <x:c r="T4" s="48" t="str">
        <x:v>原综合排放标准问答对拆分而来</x:v>
      </x:c>
      <x:c r="U4" s="48" t="str">
        <x:v>30份环评_污染物排放控制执行标准复核QA(拆分版)</x:v>
      </x:c>
      <x:c r="V4" s="48" t="str">
        <x:v>噪声排放标准</x:v>
      </x:c>
      <x:c r="W4" s="48" t="str">
        <x:v>存在缺漏</x:v>
      </x:c>
      <x:c r="X4" s="48" t="str">
        <x:v>存在缺漏</x:v>
      </x:c>
      <x:c r="Y4" s="64"/>
      <x:c r="Z4" s="64" t="str">
        <x:v>未复核</x:v>
      </x:c>
      <x:c r="AA4" s="64" t="str">
        <x:v>不足</x:v>
      </x:c>
      <x:c r="AB4" s="64" t="str">
        <x:v>有效</x:v>
      </x:c>
      <x:c r="AC4" s="64" t="str">
        <x:v>部分核验</x:v>
      </x:c>
      <x:c r="AD4" s="64" t="str">
        <x:v>自动默认</x:v>
      </x:c>
      <x:c r="AE4" s="64" t="str">
        <x:v>候选池</x:v>
      </x:c>
      <x:c r="AF4" s="64" t="str">
        <x:v>B_证据不足</x:v>
      </x:c>
      <x:c r="AG4" s="64"/>
      <x:c r="AH4" s="64"/>
      <x:c r="AI4" s="64"/>
      <x:c r="AJ4" s="64"/>
      <x:c r="AK4" s="64"/>
      <x:c r="AL4" s="64"/>
      <x:c r="AM4" s="64"/>
      <x:c r="AN4" s="48" t="str">
        <x:v>7</x:v>
      </x:c>
      <x:c r="AO4" s="48" t="str">
        <x:v>MAP_存在缺漏</x:v>
      </x:c>
      <x:c r="AP4" s="48" t="str">
        <x:v>命中证据不足候选词：无法判断；已列依据来源，但未在本阶段逐条核验</x:v>
      </x:c>
      <x:c r="AQ4" s="64"/>
      <x:c r="AR4" s="48" t="str">
        <x:v>noise_emission_standard</x:v>
      </x:c>
      <x:c r="AS4" s="48" t="str">
        <x:v>L2_application</x:v>
      </x:c>
      <x:c r="AT4" s="48" t="str">
        <x:v>rule_applicability</x:v>
      </x:c>
      <x:c r="AU4" s="48" t="str">
        <x:v>basis_grounding</x:v>
      </x:c>
      <x:c r="AV4" s="48" t="str">
        <x:v>report_grounding</x:v>
      </x:c>
      <x:c r="AW4" s="48" t="str">
        <x:v>high</x:v>
      </x:c>
      <x:c r="AX4" s="48" t="str">
        <x:v>medium</x:v>
      </x:c>
      <x:c r="AY4" s="48" t="str">
        <x:v>report_plus_external</x:v>
      </x:c>
      <x:c r="AZ4" s="48" t="str">
        <x:v>True</x:v>
      </x:c>
      <x:c r="BA4" s="48"/>
      <x:c r="BB4" s="48" t="str">
        <x:v>auto_default</x:v>
      </x:c>
      <x:c r="BC4" s="48" t="str">
        <x:v>v1</x:v>
      </x:c>
      <x:c r="BD4" s="68"/>
    </x:row>
    <x:row r="5" ht="36" customHeight="1">
      <x:c r="A5" s="47" t="str">
        <x:v>2026-07-24</x:v>
      </x:c>
      <x:c r="B5" s="48" t="str">
        <x:v>PL002</x:v>
      </x:c>
      <x:c r="C5" s="48" t="str">
        <x:v>V01</x:v>
      </x:c>
      <x:c r="D5" s="48" t="str">
        <x:v>PL002_佛山市顺德区启卓工程塑料实业有限公司搬迁项目</x:v>
      </x:c>
      <x:c r="E5" s="48" t="str">
        <x:v>佛山市顺德区启卓工程塑料实业有限公司搬迁项目</x:v>
      </x:c>
      <x:c r="F5" s="48" t="str">
        <x:v>PL002_V02_Q03</x:v>
      </x:c>
      <x:c r="G5" s="48" t="str">
        <x:v>环评投资核算</x:v>
      </x:c>
      <x:c r="H5" s="48" t="str">
        <x:v>请根据报告中的总投资、环保投资和环保工程投资明细，判断环保投资核算是否前后一致、比例是否正确。</x:v>
      </x:c>
      <x:c r="I5" s="48" t="str">
        <x:v>环评投资核算判定结论：需复核；具体分析：报告填报总投资为150万元、环保投资为15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5" s="48" t="str">
        <x:v>一、建设项目基本情况：总投资150万元、环保投资15万元、占比10%。来源：解析文本拼接_01_001-020(4).md</x:v>
      </x:c>
      <x:c r="K5" s="48" t="str">
        <x:v>报告原文-环保投资明细表</x:v>
      </x:c>
      <x:c r="L5" s="48" t="str">
        <x:v>2</x:v>
      </x:c>
      <x:c r="M5" s="48" t="str">
        <x:v>2</x:v>
      </x:c>
      <x:c r="N5" s="48" t="str">
        <x:v>False</x:v>
      </x:c>
      <x:c r="O5" s="48" t="str">
        <x:v>需复核</x:v>
      </x:c>
      <x:c r="P5" s="48"/>
      <x:c r="Q5" s="48"/>
      <x:c r="R5" s="48"/>
      <x:c r="S5" s="48" t="str">
        <x:v>是</x:v>
      </x:c>
      <x:c r="T5" s="48"/>
      <x:c r="U5" s="48" t="str">
        <x:v>30个PL_环评投资核算QA</x:v>
      </x:c>
      <x:c r="V5" s="48" t="str">
        <x:v>环评投资概算</x:v>
      </x:c>
      <x:c r="W5" s="48" t="str">
        <x:v>需复核</x:v>
      </x:c>
      <x:c r="X5" s="48" t="str">
        <x:v>证据不足</x:v>
      </x:c>
      <x:c r="Y5" s="64"/>
      <x:c r="Z5" s="64" t="str">
        <x:v>未复核</x:v>
      </x:c>
      <x:c r="AA5" s="64" t="str">
        <x:v>不足</x:v>
      </x:c>
      <x:c r="AB5" s="64" t="str">
        <x:v>有效</x:v>
      </x:c>
      <x:c r="AC5" s="64" t="str">
        <x:v>不需要外部依据</x:v>
      </x:c>
      <x:c r="AD5" s="64" t="str">
        <x:v>自动默认</x:v>
      </x:c>
      <x:c r="AE5" s="64" t="str">
        <x:v>候选池</x:v>
      </x:c>
      <x:c r="AF5" s="64" t="str">
        <x:v>B_证据不足</x:v>
      </x:c>
      <x:c r="AG5" s="64"/>
      <x:c r="AH5" s="64"/>
      <x:c r="AI5" s="64"/>
      <x:c r="AJ5" s="64"/>
      <x:c r="AK5" s="64"/>
      <x:c r="AL5" s="64"/>
      <x:c r="AM5" s="64"/>
      <x:c r="AN5" s="48" t="str">
        <x:v>10</x:v>
      </x:c>
      <x:c r="AO5" s="48" t="str">
        <x:v>MAP_需复核+EVIDENCE_INSUFFICIENCY_SIGNAL</x:v>
      </x:c>
      <x:c r="AP5" s="48" t="str">
        <x:v>原结论明确要求人工复核；命中证据不足候选词：未检索到、无法核对；投资复核主要依据报告内金额与算式</x:v>
      </x:c>
      <x:c r="AQ5" s="64"/>
      <x:c r="AR5" s="48" t="str">
        <x:v>environmental_investment</x:v>
      </x:c>
      <x:c r="AS5" s="48" t="str">
        <x:v>L2_application</x:v>
      </x:c>
      <x:c r="AT5" s="48" t="str">
        <x:v>quantitative_verification</x:v>
      </x:c>
      <x:c r="AU5" s="48" t="str">
        <x:v>numerical_accuracy</x:v>
      </x:c>
      <x:c r="AV5" s="48" t="str">
        <x:v>report_grounding；procedural_reasoning</x:v>
      </x:c>
      <x:c r="AW5" s="48" t="str">
        <x:v>low</x:v>
      </x:c>
      <x:c r="AX5" s="48" t="str">
        <x:v>medium</x:v>
      </x:c>
      <x:c r="AY5" s="48" t="str">
        <x:v>cross_section</x:v>
      </x:c>
      <x:c r="AZ5" s="48" t="str">
        <x:v>True</x:v>
      </x:c>
      <x:c r="BA5" s="48"/>
      <x:c r="BB5" s="48" t="str">
        <x:v>auto_default</x:v>
      </x:c>
      <x:c r="BC5" s="48" t="str">
        <x:v>v1</x:v>
      </x:c>
      <x:c r="BD5" s="68"/>
    </x:row>
    <x:row r="6" ht="36" customHeight="1">
      <x:c r="A6" s="47" t="str">
        <x:v>2026-07-24</x:v>
      </x:c>
      <x:c r="B6" s="48" t="str">
        <x:v>PL004</x:v>
      </x:c>
      <x:c r="C6" s="48" t="str">
        <x:v>V01</x:v>
      </x:c>
      <x:c r="D6" s="48" t="str">
        <x:v>PL004_恒励新材料科技（佛山）有限公司新建项目</x:v>
      </x:c>
      <x:c r="E6" s="48" t="str">
        <x:v>恒励新材料科技（佛山）有限公司新建项目</x:v>
      </x:c>
      <x:c r="F6" s="48" t="str">
        <x:v>PL004_V01_Q03</x:v>
      </x:c>
      <x:c r="G6" s="48" t="str">
        <x:v>环评投资核算</x:v>
      </x:c>
      <x:c r="H6" s="48" t="str">
        <x:v>请根据报告中的总投资、环保投资和环保工程投资明细，判断环保投资核算是否前后一致、比例是否正确。</x:v>
      </x:c>
      <x:c r="I6" s="48"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6" s="48" t="str">
        <x:v>一、建设项目基本情况：总投资100万元、环保投资10万元、占比10%。来源：解析文本拼接_01_001-020(4).md</x:v>
      </x:c>
      <x:c r="K6" s="48" t="str">
        <x:v>报告原文-环保投资明细表</x:v>
      </x:c>
      <x:c r="L6" s="48" t="str">
        <x:v>2</x:v>
      </x:c>
      <x:c r="M6" s="48" t="str">
        <x:v>2</x:v>
      </x:c>
      <x:c r="N6" s="48" t="str">
        <x:v>False</x:v>
      </x:c>
      <x:c r="O6" s="48" t="str">
        <x:v>需复核</x:v>
      </x:c>
      <x:c r="P6" s="48"/>
      <x:c r="Q6" s="48"/>
      <x:c r="R6" s="48"/>
      <x:c r="S6" s="48" t="str">
        <x:v>是</x:v>
      </x:c>
      <x:c r="T6" s="48"/>
      <x:c r="U6" s="48" t="str">
        <x:v>30个PL_环评投资核算QA</x:v>
      </x:c>
      <x:c r="V6" s="48" t="str">
        <x:v>环评投资概算</x:v>
      </x:c>
      <x:c r="W6" s="48" t="str">
        <x:v>需复核</x:v>
      </x:c>
      <x:c r="X6" s="48" t="str">
        <x:v>证据不足</x:v>
      </x:c>
      <x:c r="Y6" s="64"/>
      <x:c r="Z6" s="64" t="str">
        <x:v>未复核</x:v>
      </x:c>
      <x:c r="AA6" s="64" t="str">
        <x:v>不足</x:v>
      </x:c>
      <x:c r="AB6" s="64" t="str">
        <x:v>有效</x:v>
      </x:c>
      <x:c r="AC6" s="64" t="str">
        <x:v>不需要外部依据</x:v>
      </x:c>
      <x:c r="AD6" s="64" t="str">
        <x:v>自动默认</x:v>
      </x:c>
      <x:c r="AE6" s="64" t="str">
        <x:v>候选池</x:v>
      </x:c>
      <x:c r="AF6" s="64" t="str">
        <x:v>B_证据不足</x:v>
      </x:c>
      <x:c r="AG6" s="64"/>
      <x:c r="AH6" s="64"/>
      <x:c r="AI6" s="64"/>
      <x:c r="AJ6" s="64"/>
      <x:c r="AK6" s="64"/>
      <x:c r="AL6" s="64"/>
      <x:c r="AM6" s="64"/>
      <x:c r="AN6" s="48" t="str">
        <x:v>24</x:v>
      </x:c>
      <x:c r="AO6" s="48" t="str">
        <x:v>MAP_需复核+EVIDENCE_INSUFFICIENCY_SIGNAL</x:v>
      </x:c>
      <x:c r="AP6" s="48" t="str">
        <x:v>原结论明确要求人工复核；命中证据不足候选词：未检索到、无法核对；投资复核主要依据报告内金额与算式</x:v>
      </x:c>
      <x:c r="AQ6" s="64"/>
      <x:c r="AR6" s="48" t="str">
        <x:v>environmental_investment</x:v>
      </x:c>
      <x:c r="AS6" s="48" t="str">
        <x:v>L2_application</x:v>
      </x:c>
      <x:c r="AT6" s="48" t="str">
        <x:v>quantitative_verification</x:v>
      </x:c>
      <x:c r="AU6" s="48" t="str">
        <x:v>numerical_accuracy</x:v>
      </x:c>
      <x:c r="AV6" s="48" t="str">
        <x:v>report_grounding；procedural_reasoning</x:v>
      </x:c>
      <x:c r="AW6" s="48" t="str">
        <x:v>low</x:v>
      </x:c>
      <x:c r="AX6" s="48" t="str">
        <x:v>medium</x:v>
      </x:c>
      <x:c r="AY6" s="48" t="str">
        <x:v>cross_section</x:v>
      </x:c>
      <x:c r="AZ6" s="48" t="str">
        <x:v>True</x:v>
      </x:c>
      <x:c r="BA6" s="48"/>
      <x:c r="BB6" s="48" t="str">
        <x:v>auto_default</x:v>
      </x:c>
      <x:c r="BC6" s="48" t="str">
        <x:v>v1</x:v>
      </x:c>
      <x:c r="BD6" s="68"/>
    </x:row>
    <x:row r="7" ht="36" customHeight="1">
      <x:c r="A7" s="47" t="str">
        <x:v>2026-07-28</x:v>
      </x:c>
      <x:c r="B7" s="48" t="str">
        <x:v>PL007</x:v>
      </x:c>
      <x:c r="C7" s="48" t="str">
        <x:v>V01</x:v>
      </x:c>
      <x:c r="D7" s="48" t="str">
        <x:v>广东云晟新材料有限公司年产水性涂料2400吨新建项目环境影响报告表</x:v>
      </x:c>
      <x:c r="E7" s="48" t="str">
        <x:v>广东云晟新材料有限公司年产水性涂料2400吨新建项目</x:v>
      </x:c>
      <x:c r="F7" s="48" t="str">
        <x:v>PL007_EnvQuality_Q01</x:v>
      </x:c>
      <x:c r="G7" s="48" t="str">
        <x:v>大气及地表水环境质量现状数据引用</x:v>
      </x:c>
      <x:c r="H7" s="48" t="str">
        <x:v>请根据报告引用的环境质量公报及现状数据，判断大气和地表水环境质量现状数据引用是否准确。</x:v>
      </x:c>
      <x:c r="I7" s="48" t="str">
        <x:v>1、大气及地表水环境质量引用数据无法判断，需补充2021年度佛山市顺德区环境质量状况公报原文；
2、项目大气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
项目地表水环境质量引用《佛山市生态环境局顺德分局关于发布2021年度佛山市顺德区环境质量状况公报的通知（佛顺环函〔2021〕19号）》。因缺少对应年度公报（知识库未覆盖2021年度），暂无法核验。经检索，截至审核日该地区最新的环境状况公报为《2024年度佛山市顺德区生态环境状况公报》，可供参考。</x:v>
      </x:c>
      <x:c r="J7" s="48" t="str">
        <x:v>证据位置:大气：表2第0行第1列（大气环境段落）；地表水：表2第0行第1列（水环境段落）; 大气公报:《佛山市生态环境局顺德分局关于发布2021年度佛山市顺德区环境质量状况公报的通知（佛顺环函〔2021〕19号）》; 地表水资料:《佛山市生态环境局顺德分局关于发布2021年度佛山市顺德区环境质量状况公报的通知（佛顺环函〔2021〕19号）》</x:v>
      </x:c>
      <x:c r="K7" s="48" t="str">
        <x:v>生态环境状况公报知识库; 收纳水体地表水执行标准</x:v>
      </x:c>
      <x:c r="L7" s="48" t="str">
        <x:v>2</x:v>
      </x:c>
      <x:c r="M7" s="48" t="str">
        <x:v>2</x:v>
      </x:c>
      <x:c r="N7" s="48" t="str">
        <x:v>False</x:v>
      </x:c>
      <x:c r="O7" s="48" t="str">
        <x:v>无法判断</x:v>
      </x:c>
      <x:c r="P7" s="48" t="str">
        <x:v>大气:无法判断; 地表水:无法判断; 报告日期:2023-03</x:v>
      </x:c>
      <x:c r="Q7" s="48"/>
      <x:c r="R7" s="48"/>
      <x:c r="S7" s="48" t="str">
        <x:v>是</x:v>
      </x:c>
      <x:c r="T7" s="48" t="str">
        <x:v>知识库未覆盖报告引用年度公报，无法核验</x:v>
      </x:c>
      <x:c r="U7" s="48" t="str">
        <x:v>30个环评_大气及地表水环境质量现状数据引用复核QA</x:v>
      </x:c>
      <x:c r="V7" s="48" t="str">
        <x:v>环境质量数据引用</x:v>
      </x:c>
      <x:c r="W7" s="48" t="str">
        <x:v>无法判断</x:v>
      </x:c>
      <x:c r="X7" s="48" t="str">
        <x:v>证据不足</x:v>
      </x:c>
      <x:c r="Y7" s="64"/>
      <x:c r="Z7" s="64" t="str">
        <x:v>未复核</x:v>
      </x:c>
      <x:c r="AA7" s="64" t="str">
        <x:v>不足</x:v>
      </x:c>
      <x:c r="AB7" s="64" t="str">
        <x:v>有效</x:v>
      </x:c>
      <x:c r="AC7" s="64" t="str">
        <x:v>部分核验</x:v>
      </x:c>
      <x:c r="AD7" s="64" t="str">
        <x:v>自动默认</x:v>
      </x:c>
      <x:c r="AE7" s="64" t="str">
        <x:v>候选池</x:v>
      </x:c>
      <x:c r="AF7" s="64" t="str">
        <x:v>B_证据不足</x:v>
      </x:c>
      <x:c r="AG7" s="64"/>
      <x:c r="AH7" s="64"/>
      <x:c r="AI7" s="64"/>
      <x:c r="AJ7" s="64"/>
      <x:c r="AK7" s="64"/>
      <x:c r="AL7" s="64"/>
      <x:c r="AM7" s="64"/>
      <x:c r="AN7" s="48" t="str">
        <x:v>40</x:v>
      </x:c>
      <x:c r="AO7" s="48" t="str">
        <x:v>MAP_无法判断+EVIDENCE_INSUFFICIENCY_SIGNAL</x:v>
      </x:c>
      <x:c r="AP7" s="48" t="str">
        <x:v>需人工区分证据不足、材料缺失或尚未审核；命中证据不足候选词：无法判断；已列依据来源，但未在本阶段逐条核验</x:v>
      </x:c>
      <x:c r="AQ7" s="64"/>
      <x:c r="AR7" s="48" t="str">
        <x:v>environmental_quality_data</x:v>
      </x:c>
      <x:c r="AS7" s="48" t="str">
        <x:v>L3_analysis</x:v>
      </x:c>
      <x:c r="AT7" s="48" t="str">
        <x:v>consistency_comparison</x:v>
      </x:c>
      <x:c r="AU7" s="48" t="str">
        <x:v>evidence_integration</x:v>
      </x:c>
      <x:c r="AV7" s="48" t="str">
        <x:v>report_grounding；basis_grounding</x:v>
      </x:c>
      <x:c r="AW7" s="48" t="str">
        <x:v>high</x:v>
      </x:c>
      <x:c r="AX7" s="48" t="str">
        <x:v>high</x:v>
      </x:c>
      <x:c r="AY7" s="48" t="str">
        <x:v>report_plus_external</x:v>
      </x:c>
      <x:c r="AZ7" s="48" t="str">
        <x:v>True</x:v>
      </x:c>
      <x:c r="BA7" s="48"/>
      <x:c r="BB7" s="48" t="str">
        <x:v>auto_default</x:v>
      </x:c>
      <x:c r="BC7" s="48" t="str">
        <x:v>v1</x:v>
      </x:c>
      <x:c r="BD7" s="68"/>
    </x:row>
    <x:row r="8" ht="36" customHeight="1">
      <x:c r="A8" s="47" t="str">
        <x:v>2026-07-27</x:v>
      </x:c>
      <x:c r="B8" s="48" t="str">
        <x:v>PL012</x:v>
      </x:c>
      <x:c r="C8" s="48" t="str">
        <x:v>V01</x:v>
      </x:c>
      <x:c r="D8" s="48" t="str">
        <x:v>PL012_佛山市瀚铭新材料有限公司新建项目_01_修改评估意见.docx</x:v>
      </x:c>
      <x:c r="E8" s="48" t="str">
        <x:v>佛山市瀚铭新材料有限公司新建项目</x:v>
      </x:c>
      <x:c r="F8" s="48" t="str">
        <x:v>PL012_Emission_水污</x:v>
      </x:c>
      <x:c r="G8" s="48" t="str">
        <x:v>污染物排放标准-水污染物排放标准</x:v>
      </x:c>
      <x:c r="H8"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8" s="48" t="str">
        <x:v>1、水污染物排放标准中生活污水排放执行标准：需复核；
2、水污染物排放标准结论的过程分析内容：项目生活污水经三级化粪池预处理达到《水污染物排放限值》（DB44/26-2001）第二时段三级标准后，经市政管网引入杏坛污水处理厂处理达到《城镇污水处理厂污染物排放标准》（GB18918-2002）一级A标准及DB44/26-2001第二时段一级标准的较严值后排入顺德支流。设备清洗废水和车间地面清洗废水委托佛山市顺德区绿点废水回收处理有限公司回收处理，不外排。水标准选取完整、适用，预处理标准和污水厂尾水标准引用正确，符合顺德区城镇污水处理厂尾水执行一级A及DB44/26-2001较严值的要求。</x:v>
      </x:c>
      <x:c r="J8" s="48" t="str">
        <x:v>水标准：'生活污水经三级化粪池预处理达到广东省地方标准《水污染物排放限值》（DB44/26-2001）第二时段三级标准后，经市政污水管网引入杏坛污水处理厂处理达到《城镇污水处理厂污染物排放标准》（GB18918-2002）一级A标准及广东省地方标准《水污染物排放限值》（DB44/26-2001）第二时段一级标准的较严值后排入顺德支流。'
2.</x:v>
      </x:c>
      <x:c r="K8" s="48" t="str">
        <x:v>emission-standard-kb.jsonl; DB44/26-2001; DB44/2367-2022; GB31572-2015; GB14554-93; GB12348-2008; GB18597-2023; GB18599-2020</x:v>
      </x:c>
      <x:c r="L8" s="48" t="str">
        <x:v>2</x:v>
      </x:c>
      <x:c r="M8" s="48" t="str">
        <x:v>2</x:v>
      </x:c>
      <x:c r="N8" s="48" t="str">
        <x:v>False</x:v>
      </x:c>
      <x:c r="O8" s="48" t="str">
        <x:v>需复核</x:v>
      </x:c>
      <x:c r="P8"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8" s="48"/>
      <x:c r="R8" s="48"/>
      <x:c r="S8" s="48" t="str">
        <x:v>是</x:v>
      </x:c>
      <x:c r="T8" s="48" t="str">
        <x:v>原综合排放标准问答对拆分而来</x:v>
      </x:c>
      <x:c r="U8" s="48" t="str">
        <x:v>30份环评_污染物排放控制执行标准复核QA(拆分版)</x:v>
      </x:c>
      <x:c r="V8" s="48" t="str">
        <x:v>水污染物排放标准</x:v>
      </x:c>
      <x:c r="W8" s="48" t="str">
        <x:v>需复核</x:v>
      </x:c>
      <x:c r="X8" s="48" t="str">
        <x:v>需人工复核</x:v>
      </x:c>
      <x:c r="Y8" s="64"/>
      <x:c r="Z8" s="64" t="str">
        <x:v>未复核</x:v>
      </x:c>
      <x:c r="AA8" s="64" t="str">
        <x:v>部分充分</x:v>
      </x:c>
      <x:c r="AB8" s="64" t="str">
        <x:v>有效</x:v>
      </x:c>
      <x:c r="AC8" s="64" t="str">
        <x:v>部分核验</x:v>
      </x:c>
      <x:c r="AD8" s="64" t="str">
        <x:v>自动默认</x:v>
      </x:c>
      <x:c r="AE8" s="64" t="str">
        <x:v>候选池</x:v>
      </x:c>
      <x:c r="AF8" s="64" t="str">
        <x:v>B_证据不足</x:v>
      </x:c>
      <x:c r="AG8" s="64"/>
      <x:c r="AH8" s="64"/>
      <x:c r="AI8" s="64"/>
      <x:c r="AJ8" s="64"/>
      <x:c r="AK8" s="64"/>
      <x:c r="AL8" s="64"/>
      <x:c r="AM8" s="64"/>
      <x:c r="AN8" s="48" t="str">
        <x:v>66</x:v>
      </x:c>
      <x:c r="AO8" s="48" t="str">
        <x:v>MAP_需复核</x:v>
      </x:c>
      <x:c r="AP8" s="48" t="str">
        <x:v>原结论明确要求人工复核；存在报告证据，但尚未经人工逐项核验；已列依据来源，但未在本阶段逐条核验</x:v>
      </x:c>
      <x:c r="AQ8" s="64"/>
      <x:c r="AR8" s="48" t="str">
        <x:v>water_emission_standard</x:v>
      </x:c>
      <x:c r="AS8" s="48" t="str">
        <x:v>L3_analysis</x:v>
      </x:c>
      <x:c r="AT8" s="48" t="str">
        <x:v>rule_applicability</x:v>
      </x:c>
      <x:c r="AU8" s="48" t="str">
        <x:v>basis_grounding</x:v>
      </x:c>
      <x:c r="AV8" s="48" t="str">
        <x:v>report_grounding；procedural_reasoning</x:v>
      </x:c>
      <x:c r="AW8" s="48" t="str">
        <x:v>high</x:v>
      </x:c>
      <x:c r="AX8" s="48" t="str">
        <x:v>high</x:v>
      </x:c>
      <x:c r="AY8" s="48" t="str">
        <x:v>report_plus_external</x:v>
      </x:c>
      <x:c r="AZ8" s="48" t="str">
        <x:v>True</x:v>
      </x:c>
      <x:c r="BA8" s="48"/>
      <x:c r="BB8" s="48" t="str">
        <x:v>auto_default</x:v>
      </x:c>
      <x:c r="BC8" s="48" t="str">
        <x:v>v1</x:v>
      </x:c>
      <x:c r="BD8" s="68"/>
    </x:row>
    <x:row r="9" ht="36" customHeight="1">
      <x:c r="A9" s="47" t="str">
        <x:v>2026-07-27</x:v>
      </x:c>
      <x:c r="B9" s="48" t="str">
        <x:v>PL013</x:v>
      </x:c>
      <x:c r="C9" s="48" t="str">
        <x:v>V01</x:v>
      </x:c>
      <x:c r="D9" s="48" t="str">
        <x:v>PL013_佛山市顺德区百洛电器有限公司迁扩建项目_01_修改评估意见.docx</x:v>
      </x:c>
      <x:c r="E9" s="48" t="str">
        <x:v>佛山市顺德区百洛电器有限公司迁扩建项目</x:v>
      </x:c>
      <x:c r="F9" s="48" t="str">
        <x:v>PL013_Emission_水污</x:v>
      </x:c>
      <x:c r="G9" s="48" t="str">
        <x:v>污染物排放标准-水污染物排放标准</x:v>
      </x:c>
      <x:c r="H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9" s="48" t="str">
        <x:v>1、水污染物排放标准中生活污水排放执行标准：需复核；
2、水污染物排放标准结论的过程分析内容：项目生活污水经三级化粪预处理后达到DB44/26-2001第二时段三级标准后排入伦教污水处理厂，尾水排放至李家沙水道，执行GB18918-2002一级A标准及DB44/26-2001第二时段一级标准的较严值。项目无生产废水。水标准选取完整正确，预处理标准和尾水标准均符合顺德区城镇污水处理厂尾水排放要求。</x:v>
      </x:c>
      <x:c r="J9" s="48" t="str">
        <x:v>水标准：'项目生活污水经三级化粪预处理后达到广东省地方标准《水污染物排放限值》（DB44/26-2001）第二时段三级标准后排入伦教污水处理厂，尾水排入李家沙水道。'；'新、扩和改建城镇污水处理厂尾水应符合《城镇污水处理厂污染物排放标准》（GB18918-2002）一级A标准及广东省地方标准《水污染物排放标准》（DB44/26-2001）第二时段一级标准的较严值。'
3.</x:v>
      </x:c>
      <x:c r="K9" s="48" t="str">
        <x:v>emission-standard-kb.jsonl; DB44/26-2001; DB44/2367-2022; GB31572-2015; GB14554-93; GB12348-2008; GB18597-2023; GB18599-2020</x:v>
      </x:c>
      <x:c r="L9" s="48" t="str">
        <x:v>2</x:v>
      </x:c>
      <x:c r="M9" s="48" t="str">
        <x:v>2</x:v>
      </x:c>
      <x:c r="N9" s="48" t="str">
        <x:v>False</x:v>
      </x:c>
      <x:c r="O9" s="48" t="str">
        <x:v>需复核</x:v>
      </x:c>
      <x:c r="P9"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9" s="48"/>
      <x:c r="R9" s="48"/>
      <x:c r="S9" s="48" t="str">
        <x:v>是</x:v>
      </x:c>
      <x:c r="T9" s="48" t="str">
        <x:v>原综合排放标准问答对拆分而来</x:v>
      </x:c>
      <x:c r="U9" s="48" t="str">
        <x:v>30份环评_污染物排放控制执行标准复核QA(拆分版)</x:v>
      </x:c>
      <x:c r="V9" s="48" t="str">
        <x:v>水污染物排放标准</x:v>
      </x:c>
      <x:c r="W9" s="48" t="str">
        <x:v>需复核</x:v>
      </x:c>
      <x:c r="X9" s="48" t="str">
        <x:v>需人工复核</x:v>
      </x:c>
      <x:c r="Y9" s="64"/>
      <x:c r="Z9" s="64" t="str">
        <x:v>未复核</x:v>
      </x:c>
      <x:c r="AA9" s="64" t="str">
        <x:v>部分充分</x:v>
      </x:c>
      <x:c r="AB9" s="64" t="str">
        <x:v>有效</x:v>
      </x:c>
      <x:c r="AC9" s="64" t="str">
        <x:v>部分核验</x:v>
      </x:c>
      <x:c r="AD9" s="64" t="str">
        <x:v>自动默认</x:v>
      </x:c>
      <x:c r="AE9" s="64" t="str">
        <x:v>候选池</x:v>
      </x:c>
      <x:c r="AF9" s="64" t="str">
        <x:v>B_证据不足</x:v>
      </x:c>
      <x:c r="AG9" s="64"/>
      <x:c r="AH9" s="64"/>
      <x:c r="AI9" s="64"/>
      <x:c r="AJ9" s="64"/>
      <x:c r="AK9" s="64"/>
      <x:c r="AL9" s="64"/>
      <x:c r="AM9" s="64"/>
      <x:c r="AN9" s="48" t="str">
        <x:v>71</x:v>
      </x:c>
      <x:c r="AO9" s="48" t="str">
        <x:v>MAP_需复核</x:v>
      </x:c>
      <x:c r="AP9" s="48" t="str">
        <x:v>原结论明确要求人工复核；存在报告证据，但尚未经人工逐项核验；已列依据来源，但未在本阶段逐条核验</x:v>
      </x:c>
      <x:c r="AQ9" s="64"/>
      <x:c r="AR9" s="48" t="str">
        <x:v>water_emission_standard</x:v>
      </x:c>
      <x:c r="AS9" s="48" t="str">
        <x:v>L3_analysis</x:v>
      </x:c>
      <x:c r="AT9" s="48" t="str">
        <x:v>rule_applicability</x:v>
      </x:c>
      <x:c r="AU9" s="48" t="str">
        <x:v>basis_grounding</x:v>
      </x:c>
      <x:c r="AV9" s="48" t="str">
        <x:v>report_grounding；procedural_reasoning</x:v>
      </x:c>
      <x:c r="AW9" s="48" t="str">
        <x:v>high</x:v>
      </x:c>
      <x:c r="AX9" s="48" t="str">
        <x:v>high</x:v>
      </x:c>
      <x:c r="AY9" s="48" t="str">
        <x:v>report_plus_external</x:v>
      </x:c>
      <x:c r="AZ9" s="48" t="str">
        <x:v>True</x:v>
      </x:c>
      <x:c r="BA9" s="48"/>
      <x:c r="BB9" s="48" t="str">
        <x:v>auto_default</x:v>
      </x:c>
      <x:c r="BC9" s="48" t="str">
        <x:v>v1</x:v>
      </x:c>
      <x:c r="BD9" s="68"/>
    </x:row>
    <x:row r="10" ht="36" customHeight="1">
      <x:c r="A10" s="47" t="str">
        <x:v>2026-07-27</x:v>
      </x:c>
      <x:c r="B10" s="48" t="str">
        <x:v>PL013</x:v>
      </x:c>
      <x:c r="C10" s="48" t="str">
        <x:v>V01</x:v>
      </x:c>
      <x:c r="D10" s="48" t="str">
        <x:v>PL013_佛山市顺德区百洛电器有限公司迁扩建项目_01_修改评估意见.docx</x:v>
      </x:c>
      <x:c r="E10" s="48" t="str">
        <x:v>佛山市顺德区百洛电器有限公司迁扩建项目</x:v>
      </x:c>
      <x:c r="F10" s="48" t="str">
        <x:v>PL013_Emission_大气</x:v>
      </x:c>
      <x:c r="G10" s="48" t="str">
        <x:v>污染物排放标准-大气污染物排放标准</x:v>
      </x:c>
      <x:c r="H10" s="48" t="str">
        <x:v>请根据项目行业类别、生产工艺和污染因子，判断大气污染物排放标准选取是否合理。要求分析：污染源覆盖是否完整（列出所有大气污染源及对应标准），是否存在缺漏的污染源或标准。</x:v>
      </x:c>
      <x:c r="I10" s="48" t="str">
        <x:v>1、污染排放标准分析污染源内容：不完整；
2、大气污染物排放标准分析：VOCs（TVOC、NMHC）执行DB44/2367-2022表1排放限值；厂区内VOCs执行DB44/2367-2022表3无组织排放限值（1h平均浓度≤6mg/m3，任意一次浓度≤20mg/m3）；锡及其化合物执行DB44/27-2001第二时段二级排放标准及厂界无组织监控浓度限值；臭气浓度执行GB14554-1993表1二级新扩改建厂界标准值及表2排放标准值。项目属电子工业，不适用GB31572-2015（合成树脂工业），上述综合标准和行业标准选取合理。排气筒未高出周围200m半径范围最高建筑5m以上，排放速率按50%执行，符合DB44/27-2001规定。大气标准选取完整、准确。</x:v>
      </x:c>
      <x:c r="J10" s="48" t="str">
        <x:v>大气标准：'VOCs（TVOC、NMHC）执行广东省地方标准《固定污染源挥发性有机物综合排放标准》（DB44/2367-2022）表1中TVOC、NMHC的排放限值；锡及其化合物执行广东省《大气污染物排放限值》（DB44/27-2001）中第二时段二级排放标准和厂界无组织监控浓度限值；臭气浓度执行《恶臭污染物排放标准》（GB14554-1993）表1二级新扩改建恶臭污染物厂界标准值及表2恶臭污染物排放标准值。'；'厂区内挥发性有机物无组织排放监控点浓度应满足《固定污染源挥发性有机物综合排放标准》（DB44/2367-2022）中表3厂区内VOCs无组织排放限值要求，监控点处1 h平均浓度值≤6 mg/m3，监控点处任意一次浓度值≤20 mg/m3。'
2.</x:v>
      </x:c>
      <x:c r="K10" s="48" t="str">
        <x:v>emission-standard-kb.jsonl; DB44/26-2001; DB44/2367-2022; GB31572-2015; GB14554-93; GB12348-2008; GB18597-2023; GB18599-2020</x:v>
      </x:c>
      <x:c r="L10" s="48" t="str">
        <x:v>2</x:v>
      </x:c>
      <x:c r="M10" s="48" t="str">
        <x:v>2</x:v>
      </x:c>
      <x:c r="N10" s="48" t="str">
        <x:v>False</x:v>
      </x:c>
      <x:c r="O10" s="48" t="str">
        <x:v>需复核</x:v>
      </x:c>
      <x:c r="P10"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10" s="48"/>
      <x:c r="R10" s="48"/>
      <x:c r="S10" s="48" t="str">
        <x:v>是</x:v>
      </x:c>
      <x:c r="T10" s="48" t="str">
        <x:v>原综合排放标准问答对拆分而来</x:v>
      </x:c>
      <x:c r="U10" s="48" t="str">
        <x:v>30份环评_污染物排放控制执行标准复核QA(拆分版)</x:v>
      </x:c>
      <x:c r="V10" s="48" t="str">
        <x:v>大气污染物排放标准</x:v>
      </x:c>
      <x:c r="W10" s="48" t="str">
        <x:v>需复核</x:v>
      </x:c>
      <x:c r="X10" s="48" t="str">
        <x:v>需人工复核</x:v>
      </x:c>
      <x:c r="Y10" s="64"/>
      <x:c r="Z10" s="64" t="str">
        <x:v>未复核</x:v>
      </x:c>
      <x:c r="AA10" s="64" t="str">
        <x:v>部分充分</x:v>
      </x:c>
      <x:c r="AB10" s="64" t="str">
        <x:v>有效</x:v>
      </x:c>
      <x:c r="AC10" s="64" t="str">
        <x:v>部分核验</x:v>
      </x:c>
      <x:c r="AD10" s="64" t="str">
        <x:v>自动默认</x:v>
      </x:c>
      <x:c r="AE10" s="64" t="str">
        <x:v>候选池</x:v>
      </x:c>
      <x:c r="AF10" s="64" t="str">
        <x:v>B_证据不足</x:v>
      </x:c>
      <x:c r="AG10" s="64"/>
      <x:c r="AH10" s="64"/>
      <x:c r="AI10" s="64"/>
      <x:c r="AJ10" s="64"/>
      <x:c r="AK10" s="64"/>
      <x:c r="AL10" s="64"/>
      <x:c r="AM10" s="64"/>
      <x:c r="AN10" s="48" t="str">
        <x:v>72</x:v>
      </x:c>
      <x:c r="AO10" s="48" t="str">
        <x:v>MAP_需复核</x:v>
      </x:c>
      <x:c r="AP10" s="48" t="str">
        <x:v>原结论明确要求人工复核；存在报告证据，但尚未经人工逐项核验；已列依据来源，但未在本阶段逐条核验</x:v>
      </x:c>
      <x:c r="AQ10" s="64"/>
      <x:c r="AR10" s="48" t="str">
        <x:v>air_emission_standard</x:v>
      </x:c>
      <x:c r="AS10" s="48" t="str">
        <x:v>L3_analysis</x:v>
      </x:c>
      <x:c r="AT10" s="48" t="str">
        <x:v>multi_evidence_synthesis</x:v>
      </x:c>
      <x:c r="AU10" s="48" t="str">
        <x:v>basis_grounding</x:v>
      </x:c>
      <x:c r="AV10" s="48" t="str">
        <x:v>report_grounding；evidence_integration</x:v>
      </x:c>
      <x:c r="AW10" s="48" t="str">
        <x:v>high</x:v>
      </x:c>
      <x:c r="AX10" s="48" t="str">
        <x:v>high</x:v>
      </x:c>
      <x:c r="AY10" s="48" t="str">
        <x:v>report_plus_external</x:v>
      </x:c>
      <x:c r="AZ10" s="48" t="str">
        <x:v>True</x:v>
      </x:c>
      <x:c r="BA10" s="48"/>
      <x:c r="BB10" s="48" t="str">
        <x:v>auto_default</x:v>
      </x:c>
      <x:c r="BC10" s="48" t="str">
        <x:v>v1</x:v>
      </x:c>
      <x:c r="BD10" s="68"/>
    </x:row>
    <x:row r="11" ht="36" customHeight="1">
      <x:c r="A11" s="47" t="str">
        <x:v>2026-07-27</x:v>
      </x:c>
      <x:c r="B11" s="48" t="str">
        <x:v>PL014</x:v>
      </x:c>
      <x:c r="C11" s="48" t="str">
        <x:v>V01</x:v>
      </x:c>
      <x:c r="D11" s="48" t="str">
        <x:v>PL014_佛山市顺德区蓝顿涂料有限公司迁建项目_01_修改评估意见.docx</x:v>
      </x:c>
      <x:c r="E11" s="48" t="str">
        <x:v>佛山市顺德区蓝顿涂料有限公司迁建项目</x:v>
      </x:c>
      <x:c r="F11" s="48" t="str">
        <x:v>PL014_Emission_水污</x:v>
      </x:c>
      <x:c r="G11" s="48" t="str">
        <x:v>污染物排放标准-水污染物排放标准</x:v>
      </x:c>
      <x:c r="H1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1" s="48" t="str">
        <x:v>1、水污染物排放标准中生活污水排放执行标准：无法判断；
2、水污染物排放标准结论的过程分析内容：文本显示迁建前项目生活污水经独立生活污水处理设施处理达标后排至竹筒窖涌，但未明确列出所执行的排放标准名称和限值。设备清洗废水、水帘机更换废水、喷枪清洗废水委托绿点废水回收公司处置。迁建后项目的水排放标准在本段文本中未明确呈现，无法判断。</x:v>
      </x:c>
      <x:c r="J11" s="48" t="str">
        <x:v>水标准：'迁建前项目外排废水主要为员工生活污水……经独立的生活污水处理设施处理达标后排至附近竹筒窖涌。'（未明确执行标准名称）</x:v>
      </x:c>
      <x:c r="K11" s="48" t="str">
        <x:v>emission-standard-kb.jsonl; DB44/26-2001; DB44/2367-2022; GB31572-2015; GB14554-93; GB12348-2008; GB18597-2023; GB18599-2020</x:v>
      </x:c>
      <x:c r="L11" s="48" t="str">
        <x:v>2</x:v>
      </x:c>
      <x:c r="M11" s="48" t="str">
        <x:v>2</x:v>
      </x:c>
      <x:c r="N11" s="48" t="str">
        <x:v>False</x:v>
      </x:c>
      <x:c r="O11" s="48" t="str">
        <x:v>无法判断</x:v>
      </x:c>
      <x:c r="P11"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11" s="48"/>
      <x:c r="R11" s="48"/>
      <x:c r="S11" s="48" t="str">
        <x:v>是</x:v>
      </x:c>
      <x:c r="T11" s="48" t="str">
        <x:v>原综合排放标准问答对拆分而来</x:v>
      </x:c>
      <x:c r="U11" s="48" t="str">
        <x:v>30份环评_污染物排放控制执行标准复核QA(拆分版)</x:v>
      </x:c>
      <x:c r="V11" s="48" t="str">
        <x:v>水污染物排放标准</x:v>
      </x:c>
      <x:c r="W11" s="48" t="str">
        <x:v>无法判断</x:v>
      </x:c>
      <x:c r="X11" s="48" t="str">
        <x:v>证据不足</x:v>
      </x:c>
      <x:c r="Y11" s="64"/>
      <x:c r="Z11" s="64" t="str">
        <x:v>未复核</x:v>
      </x:c>
      <x:c r="AA11" s="64" t="str">
        <x:v>不足</x:v>
      </x:c>
      <x:c r="AB11" s="64" t="str">
        <x:v>有效</x:v>
      </x:c>
      <x:c r="AC11" s="64" t="str">
        <x:v>部分核验</x:v>
      </x:c>
      <x:c r="AD11" s="64" t="str">
        <x:v>自动默认</x:v>
      </x:c>
      <x:c r="AE11" s="64" t="str">
        <x:v>候选池</x:v>
      </x:c>
      <x:c r="AF11" s="64" t="str">
        <x:v>B_证据不足</x:v>
      </x:c>
      <x:c r="AG11" s="64"/>
      <x:c r="AH11" s="64"/>
      <x:c r="AI11" s="64"/>
      <x:c r="AJ11" s="64"/>
      <x:c r="AK11" s="64"/>
      <x:c r="AL11" s="64"/>
      <x:c r="AM11" s="64"/>
      <x:c r="AN11" s="48" t="str">
        <x:v>76</x:v>
      </x:c>
      <x:c r="AO11" s="48" t="str">
        <x:v>MAP_无法判断+EVIDENCE_INSUFFICIENCY_SIGNAL</x:v>
      </x:c>
      <x:c r="AP11" s="48" t="str">
        <x:v>需人工区分证据不足、材料缺失或尚未审核；命中证据不足候选词：无法判断；已列依据来源，但未在本阶段逐条核验</x:v>
      </x:c>
      <x:c r="AQ11" s="64"/>
      <x:c r="AR11" s="48" t="str">
        <x:v>water_emission_standard</x:v>
      </x:c>
      <x:c r="AS11" s="48" t="str">
        <x:v>L3_analysis</x:v>
      </x:c>
      <x:c r="AT11" s="48" t="str">
        <x:v>rule_applicability</x:v>
      </x:c>
      <x:c r="AU11" s="48" t="str">
        <x:v>basis_grounding</x:v>
      </x:c>
      <x:c r="AV11" s="48" t="str">
        <x:v>report_grounding；procedural_reasoning</x:v>
      </x:c>
      <x:c r="AW11" s="48" t="str">
        <x:v>high</x:v>
      </x:c>
      <x:c r="AX11" s="48" t="str">
        <x:v>high</x:v>
      </x:c>
      <x:c r="AY11" s="48" t="str">
        <x:v>report_plus_external</x:v>
      </x:c>
      <x:c r="AZ11" s="48" t="str">
        <x:v>True</x:v>
      </x:c>
      <x:c r="BA11" s="48"/>
      <x:c r="BB11" s="48" t="str">
        <x:v>auto_default</x:v>
      </x:c>
      <x:c r="BC11" s="48" t="str">
        <x:v>v1</x:v>
      </x:c>
      <x:c r="BD11" s="68"/>
    </x:row>
    <x:row r="12" ht="36" customHeight="1">
      <x:c r="A12" s="47" t="str">
        <x:v>2026-07-27</x:v>
      </x:c>
      <x:c r="B12" s="48" t="str">
        <x:v>PL014</x:v>
      </x:c>
      <x:c r="C12" s="48" t="str">
        <x:v>V01</x:v>
      </x:c>
      <x:c r="D12" s="48" t="str">
        <x:v>PL014_佛山市顺德区蓝顿涂料有限公司迁建项目_01_修改评估意见.docx</x:v>
      </x:c>
      <x:c r="E12" s="48" t="str">
        <x:v>佛山市顺德区蓝顿涂料有限公司迁建项目</x:v>
      </x:c>
      <x:c r="F12" s="48" t="str">
        <x:v>PL014_Emission_大气</x:v>
      </x:c>
      <x:c r="G12" s="48" t="str">
        <x:v>污染物排放标准-大气污染物排放标准</x:v>
      </x:c>
      <x:c r="H12" s="48" t="str">
        <x:v>请根据项目行业类别、生产工艺和污染因子，判断大气污染物排放标准选取是否合理。要求分析：污染源覆盖是否完整（列出所有大气污染源及对应标准），是否存在缺漏的污染源或标准。</x:v>
      </x:c>
      <x:c r="I12" s="48" t="str">
        <x:v>1、污染排放标准分析污染源内容：不完整；
2、大气污染物排放标准分析：迁建前项目有组织颗粒物、VOCs执行《涂料、油墨及胶黏剂工业大气污染物排放标准》（GB37824-2019）表2特别排放限值，该行业标准选取适用涂料制造业，正确。臭气浓度执行GB14554-1993表2，适用。但无组织颗粒物引用了'GB44/27-2001'第二时段无组织排放监控浓度限值，此处存在两个问题：（1）标准编号书写错误，应为'DB44/27-2001'而非'GB44/27-2001'，广东省地方标准前缀为DB44而非GB44；（2）涂料行业颗粒物无组织排放应优先执行行业标准GB37824-2019的相关限值，而非综合标准DB44/27-2001，同一污染物有组织执行行业标准、无组织却执行综合标准，选取不一致。厂区内NMHC执行GB37822-2019表A.1厂区内VOCs无组织特别排放限值，适用。迁建后项目的大气排放标准在本段文本中未完整呈现。</x:v>
      </x:c>
      <x:c r="J12" s="48" t="str">
        <x:v>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x:v>
      </x:c>
      <x:c r="K12" s="48" t="str">
        <x:v>emission-standard-kb.jsonl; DB44/26-2001; DB44/2367-2022; GB31572-2015; GB14554-93; GB12348-2008; GB18597-2023; GB18599-2020</x:v>
      </x:c>
      <x:c r="L12" s="48" t="str">
        <x:v>2</x:v>
      </x:c>
      <x:c r="M12" s="48" t="str">
        <x:v>2</x:v>
      </x:c>
      <x:c r="N12" s="48" t="str">
        <x:v>False</x:v>
      </x:c>
      <x:c r="O12" s="48" t="str">
        <x:v>需复核</x:v>
      </x:c>
      <x:c r="P12"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12" s="48"/>
      <x:c r="R12" s="48"/>
      <x:c r="S12" s="48" t="str">
        <x:v>是</x:v>
      </x:c>
      <x:c r="T12" s="48" t="str">
        <x:v>原综合排放标准问答对拆分而来</x:v>
      </x:c>
      <x:c r="U12" s="48" t="str">
        <x:v>30份环评_污染物排放控制执行标准复核QA(拆分版)</x:v>
      </x:c>
      <x:c r="V12" s="48" t="str">
        <x:v>大气污染物排放标准</x:v>
      </x:c>
      <x:c r="W12" s="48" t="str">
        <x:v>需复核</x:v>
      </x:c>
      <x:c r="X12" s="48" t="str">
        <x:v>需人工复核</x:v>
      </x:c>
      <x:c r="Y12" s="64"/>
      <x:c r="Z12" s="64" t="str">
        <x:v>未复核</x:v>
      </x:c>
      <x:c r="AA12" s="64" t="str">
        <x:v>部分充分</x:v>
      </x:c>
      <x:c r="AB12" s="64" t="str">
        <x:v>有效</x:v>
      </x:c>
      <x:c r="AC12" s="64" t="str">
        <x:v>部分核验</x:v>
      </x:c>
      <x:c r="AD12" s="64" t="str">
        <x:v>自动默认</x:v>
      </x:c>
      <x:c r="AE12" s="64" t="str">
        <x:v>候选池</x:v>
      </x:c>
      <x:c r="AF12" s="64" t="str">
        <x:v>B_证据不足</x:v>
      </x:c>
      <x:c r="AG12" s="64"/>
      <x:c r="AH12" s="64"/>
      <x:c r="AI12" s="64"/>
      <x:c r="AJ12" s="64"/>
      <x:c r="AK12" s="64"/>
      <x:c r="AL12" s="64"/>
      <x:c r="AM12" s="64"/>
      <x:c r="AN12" s="48" t="str">
        <x:v>77</x:v>
      </x:c>
      <x:c r="AO12" s="48" t="str">
        <x:v>MAP_需复核</x:v>
      </x:c>
      <x:c r="AP12" s="48" t="str">
        <x:v>原结论明确要求人工复核；存在报告证据，但尚未经人工逐项核验；已列依据来源，但未在本阶段逐条核验</x:v>
      </x:c>
      <x:c r="AQ12" s="64"/>
      <x:c r="AR12" s="48" t="str">
        <x:v>air_emission_standard</x:v>
      </x:c>
      <x:c r="AS12" s="48" t="str">
        <x:v>L3_analysis</x:v>
      </x:c>
      <x:c r="AT12" s="48" t="str">
        <x:v>multi_evidence_synthesis</x:v>
      </x:c>
      <x:c r="AU12" s="48" t="str">
        <x:v>basis_grounding</x:v>
      </x:c>
      <x:c r="AV12" s="48" t="str">
        <x:v>report_grounding；evidence_integration</x:v>
      </x:c>
      <x:c r="AW12" s="48" t="str">
        <x:v>high</x:v>
      </x:c>
      <x:c r="AX12" s="48" t="str">
        <x:v>high</x:v>
      </x:c>
      <x:c r="AY12" s="48" t="str">
        <x:v>report_plus_external</x:v>
      </x:c>
      <x:c r="AZ12" s="48" t="str">
        <x:v>True</x:v>
      </x:c>
      <x:c r="BA12" s="48"/>
      <x:c r="BB12" s="48" t="str">
        <x:v>auto_default</x:v>
      </x:c>
      <x:c r="BC12" s="48" t="str">
        <x:v>v1</x:v>
      </x:c>
      <x:c r="BD12" s="68"/>
    </x:row>
    <x:row r="13" ht="36" customHeight="1">
      <x:c r="A13" s="47" t="str">
        <x:v>2026-07-27</x:v>
      </x:c>
      <x:c r="B13" s="48" t="str">
        <x:v>PL014</x:v>
      </x:c>
      <x:c r="C13" s="48" t="str">
        <x:v>V01</x:v>
      </x:c>
      <x:c r="D13" s="48" t="str">
        <x:v>PL014_佛山市顺德区蓝顿涂料有限公司迁建项目_01_修改评估意见.docx</x:v>
      </x:c>
      <x:c r="E13" s="48" t="str">
        <x:v>佛山市顺德区蓝顿涂料有限公司迁建项目</x:v>
      </x:c>
      <x:c r="F13" s="48" t="str">
        <x:v>PL014_Emission_噪声</x:v>
      </x:c>
      <x:c r="G13" s="48" t="str">
        <x:v>污染物排放标准-噪声排放标准</x:v>
      </x:c>
      <x:c r="H13" s="48" t="str">
        <x:v>请根据项目所属声环境功能区类别，判断噪声排放标准选取是否合理。要求总结声功能区类型、厂界执行标准（GB12348-2008）及昼夜限值，并与环评编制内容进行一致性分析。</x:v>
      </x:c>
      <x:c r="I13" s="48" t="str">
        <x:v>1、噪声排放标准中执行标准与排放限值内容：需复核；
2、文本显示迁建前项目厂界噪声达到GB12348-2008 3类标准。标准选取正确。迁建后项目噪声标准未在本段明确。</x:v>
      </x:c>
      <x:c r="J13" s="48" t="str">
        <x:v>噪声标准：'根据监测结果可知，厂界噪声可达到《工业企业厂界环境噪声排放标准》（GB12348-2008）中3类标准。'
4.</x:v>
      </x:c>
      <x:c r="K13" s="48" t="str">
        <x:v>emission-standard-kb.jsonl; DB44/26-2001; DB44/2367-2022; GB31572-2015; GB14554-93; GB12348-2008; GB18597-2023; GB18599-2020</x:v>
      </x:c>
      <x:c r="L13" s="48" t="str">
        <x:v>2</x:v>
      </x:c>
      <x:c r="M13" s="48" t="str">
        <x:v>2</x:v>
      </x:c>
      <x:c r="N13" s="48" t="str">
        <x:v>False</x:v>
      </x:c>
      <x:c r="O13" s="48" t="str">
        <x:v>需复核</x:v>
      </x:c>
      <x:c r="P13"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13" s="48"/>
      <x:c r="R13" s="48"/>
      <x:c r="S13" s="48" t="str">
        <x:v>是</x:v>
      </x:c>
      <x:c r="T13" s="48" t="str">
        <x:v>原综合排放标准问答对拆分而来</x:v>
      </x:c>
      <x:c r="U13" s="48" t="str">
        <x:v>30份环评_污染物排放控制执行标准复核QA(拆分版)</x:v>
      </x:c>
      <x:c r="V13" s="48" t="str">
        <x:v>噪声排放标准</x:v>
      </x:c>
      <x:c r="W13" s="48" t="str">
        <x:v>需复核</x:v>
      </x:c>
      <x:c r="X13" s="48" t="str">
        <x:v>需人工复核</x:v>
      </x:c>
      <x:c r="Y13" s="64"/>
      <x:c r="Z13" s="64" t="str">
        <x:v>未复核</x:v>
      </x:c>
      <x:c r="AA13" s="64" t="str">
        <x:v>部分充分</x:v>
      </x:c>
      <x:c r="AB13" s="64" t="str">
        <x:v>有效</x:v>
      </x:c>
      <x:c r="AC13" s="64" t="str">
        <x:v>部分核验</x:v>
      </x:c>
      <x:c r="AD13" s="64" t="str">
        <x:v>自动默认</x:v>
      </x:c>
      <x:c r="AE13" s="64" t="str">
        <x:v>候选池</x:v>
      </x:c>
      <x:c r="AF13" s="64" t="str">
        <x:v>B_证据不足</x:v>
      </x:c>
      <x:c r="AG13" s="64"/>
      <x:c r="AH13" s="64"/>
      <x:c r="AI13" s="64"/>
      <x:c r="AJ13" s="64"/>
      <x:c r="AK13" s="64"/>
      <x:c r="AL13" s="64"/>
      <x:c r="AM13" s="64"/>
      <x:c r="AN13" s="48" t="str">
        <x:v>78</x:v>
      </x:c>
      <x:c r="AO13" s="48" t="str">
        <x:v>MAP_需复核</x:v>
      </x:c>
      <x:c r="AP13" s="48" t="str">
        <x:v>原结论明确要求人工复核；存在报告证据，但尚未经人工逐项核验；已列依据来源，但未在本阶段逐条核验</x:v>
      </x:c>
      <x:c r="AQ13" s="64"/>
      <x:c r="AR13" s="48" t="str">
        <x:v>noise_emission_standard</x:v>
      </x:c>
      <x:c r="AS13" s="48" t="str">
        <x:v>L2_application</x:v>
      </x:c>
      <x:c r="AT13" s="48" t="str">
        <x:v>rule_applicability</x:v>
      </x:c>
      <x:c r="AU13" s="48" t="str">
        <x:v>basis_grounding</x:v>
      </x:c>
      <x:c r="AV13" s="48" t="str">
        <x:v>report_grounding</x:v>
      </x:c>
      <x:c r="AW13" s="48" t="str">
        <x:v>high</x:v>
      </x:c>
      <x:c r="AX13" s="48" t="str">
        <x:v>medium</x:v>
      </x:c>
      <x:c r="AY13" s="48" t="str">
        <x:v>report_plus_external</x:v>
      </x:c>
      <x:c r="AZ13" s="48" t="str">
        <x:v>True</x:v>
      </x:c>
      <x:c r="BA13" s="48"/>
      <x:c r="BB13" s="48" t="str">
        <x:v>auto_default</x:v>
      </x:c>
      <x:c r="BC13" s="48" t="str">
        <x:v>v1</x:v>
      </x:c>
      <x:c r="BD13" s="68"/>
    </x:row>
    <x:row r="14" ht="36" customHeight="1">
      <x:c r="A14" s="47" t="str">
        <x:v>2026-07-28</x:v>
      </x:c>
      <x:c r="B14" s="48" t="str">
        <x:v>PL015</x:v>
      </x:c>
      <x:c r="C14" s="48" t="str">
        <x:v>V01</x:v>
      </x:c>
      <x:c r="D14" s="48" t="str">
        <x:v>PL015_佛山市镪优金属制品有限公司迁扩建项目_01_修改评估意见.docx</x:v>
      </x:c>
      <x:c r="E14" s="48" t="str">
        <x:v>佛山市镪优金属制品有限公司迁扩建项目</x:v>
      </x:c>
      <x:c r="F14" s="48" t="str">
        <x:v>PL015_EnvQuality_Q01</x:v>
      </x:c>
      <x:c r="G14" s="48" t="str">
        <x:v>大气及地表水环境质量现状数据引用</x:v>
      </x:c>
      <x:c r="H14" s="48" t="str">
        <x:v>请根据报告引用的环境质量公报及现状数据，判断大气和地表水环境质量现状数据引用是否准确。</x:v>
      </x:c>
      <x:c r="I14" s="48" t="str">
        <x:v>1、大气及地表水环境质量引用数据无法判断，需补充逢简工业园废水处理站受纳水体官方登记信息；
2、项目大气环境质量引用《2022年度佛山市顺德区生态环境状况公报》。环评对大气环境质量分析内容与《2022年度佛山市顺德区生态环境状况公报》中大气环境状况描述一致，报告引用2022年度公报数据，项目所在区域大气环境为不达标区，超标污染物为臭氧，与公报中O3超标、SO2、NO2、PM10、PM2.5、CO五项污染物年评价浓度达到二级标准的结论一致。经检索，截至审核日该地区最新的环境状况公报为《2024年度佛山市顺德区生态环境状况公报》，可供参考。
项目地表水环境质量引用《2022年度佛山市顺德区生态环境状况公报》。环评对地表水环境质量分析内容与《2022年度佛山市顺德区生态环境状况公报》中地表水环境状况描述一致，报告引用顺德支流新涌断面2022年水质定类为Ⅲ类，符合《地表水环境质量标准》（GB3838-2002）之Ⅲ类标准，与公报一致。但项目依托的逢简工业园废水处理站不在知识库中，因缺少该废水处理站受纳水体及执行标准的官方登记信息暂无法核验。</x:v>
      </x:c>
      <x:c r="J14" s="48" t="str">
        <x:v>证据位置:大气：报告第1407行引用2022年度公报数据；第126行超标污染物为臭氧、属不达标区。地表水：报告第1492-1493行引用2022年公报顺德支流新涌断面Ⅲ类；逢简工业园废水处理站尾水排入见龙涌后汇入顺德支流。; 大气公报:《2022年度佛山市顺德区生态环境状况公报》; 地表水资料:《2022年度佛山市顺德区生态环境状况公报》</x:v>
      </x:c>
      <x:c r="K14" s="48" t="str">
        <x:v>生态环境状况公报知识库; 收纳水体地表水执行标准</x:v>
      </x:c>
      <x:c r="L14" s="48" t="str">
        <x:v>2</x:v>
      </x:c>
      <x:c r="M14" s="48" t="str">
        <x:v>2</x:v>
      </x:c>
      <x:c r="N14" s="48" t="str">
        <x:v>False</x:v>
      </x:c>
      <x:c r="O14" s="48" t="str">
        <x:v>无法判断</x:v>
      </x:c>
      <x:c r="P14" s="48" t="str">
        <x:v>大气:正确; 地表水:无法判断; 报告日期:2023</x:v>
      </x:c>
      <x:c r="Q14" s="48"/>
      <x:c r="R14" s="48"/>
      <x:c r="S14" s="48" t="str">
        <x:v>是</x:v>
      </x:c>
      <x:c r="T14" s="48" t="str">
        <x:v>项目依托的逢简工业园废水处理站不在污水处理厂知识库中，无法核验其尾水受纳水体（报告称见龙涌后汇入顺德支流）和执行标准是否与官方登记一致，地表水判定为无法判断。</x:v>
      </x:c>
      <x:c r="U14" s="48" t="str">
        <x:v>30个环评_大气及地表水环境质量现状数据引用复核QA</x:v>
      </x:c>
      <x:c r="V14" s="48" t="str">
        <x:v>环境质量数据引用</x:v>
      </x:c>
      <x:c r="W14" s="48" t="str">
        <x:v>无法判断</x:v>
      </x:c>
      <x:c r="X14" s="48" t="str">
        <x:v>证据不足</x:v>
      </x:c>
      <x:c r="Y14" s="64"/>
      <x:c r="Z14" s="64" t="str">
        <x:v>未复核</x:v>
      </x:c>
      <x:c r="AA14" s="64" t="str">
        <x:v>不足</x:v>
      </x:c>
      <x:c r="AB14" s="64" t="str">
        <x:v>有效</x:v>
      </x:c>
      <x:c r="AC14" s="64" t="str">
        <x:v>部分核验</x:v>
      </x:c>
      <x:c r="AD14" s="64" t="str">
        <x:v>自动默认</x:v>
      </x:c>
      <x:c r="AE14" s="64" t="str">
        <x:v>候选池</x:v>
      </x:c>
      <x:c r="AF14" s="64" t="str">
        <x:v>B_证据不足</x:v>
      </x:c>
      <x:c r="AG14" s="64"/>
      <x:c r="AH14" s="64"/>
      <x:c r="AI14" s="64"/>
      <x:c r="AJ14" s="64"/>
      <x:c r="AK14" s="64"/>
      <x:c r="AL14" s="64"/>
      <x:c r="AM14" s="64"/>
      <x:c r="AN14" s="48" t="str">
        <x:v>80</x:v>
      </x:c>
      <x:c r="AO14" s="48" t="str">
        <x:v>MAP_无法判断+EVIDENCE_INSUFFICIENCY_SIGNAL</x:v>
      </x:c>
      <x:c r="AP14" s="48" t="str">
        <x:v>需人工区分证据不足、材料缺失或尚未审核；命中证据不足候选词：无法判断；已列依据来源，但未在本阶段逐条核验</x:v>
      </x:c>
      <x:c r="AQ14" s="64"/>
      <x:c r="AR14" s="48" t="str">
        <x:v>environmental_quality_data</x:v>
      </x:c>
      <x:c r="AS14" s="48" t="str">
        <x:v>L3_analysis</x:v>
      </x:c>
      <x:c r="AT14" s="48" t="str">
        <x:v>consistency_comparison</x:v>
      </x:c>
      <x:c r="AU14" s="48" t="str">
        <x:v>evidence_integration</x:v>
      </x:c>
      <x:c r="AV14" s="48" t="str">
        <x:v>report_grounding；basis_grounding</x:v>
      </x:c>
      <x:c r="AW14" s="48" t="str">
        <x:v>high</x:v>
      </x:c>
      <x:c r="AX14" s="48" t="str">
        <x:v>high</x:v>
      </x:c>
      <x:c r="AY14" s="48" t="str">
        <x:v>report_plus_external</x:v>
      </x:c>
      <x:c r="AZ14" s="48" t="str">
        <x:v>True</x:v>
      </x:c>
      <x:c r="BA14" s="48"/>
      <x:c r="BB14" s="48" t="str">
        <x:v>auto_default</x:v>
      </x:c>
      <x:c r="BC14" s="48" t="str">
        <x:v>v1</x:v>
      </x:c>
      <x:c r="BD14" s="68"/>
    </x:row>
    <x:row r="15" ht="36" customHeight="1">
      <x:c r="A15" s="47" t="str">
        <x:v>2026-07-27</x:v>
      </x:c>
      <x:c r="B15" s="48" t="str">
        <x:v>PL015</x:v>
      </x:c>
      <x:c r="C15" s="48" t="str">
        <x:v>V01</x:v>
      </x:c>
      <x:c r="D15" s="48" t="str">
        <x:v>PL015_佛山市镪优金属制品有限公司迁扩建项目_01_修改评估意见.docx</x:v>
      </x:c>
      <x:c r="E15" s="48" t="str">
        <x:v>佛山市镪优金属制品有限公司迁扩建项目</x:v>
      </x:c>
      <x:c r="F15" s="48" t="str">
        <x:v>PL015_Emission_水污</x:v>
      </x:c>
      <x:c r="G15" s="48" t="str">
        <x:v>污染物排放标准-水污染物排放标准</x:v>
      </x:c>
      <x:c r="H15"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5" s="48" t="str">
        <x:v>1、水污染物排放标准中生活污水排放执行标准：需复核；
2、水污染物排放标准结论的过程分析内容：生活污水经三级化粪池处理达到DB44/26-2001第二时段三级标准后，通过工业区管网排至逢简工业园废水处理站，尾水执行GB18918-2002一级B标准及DB44/26-2001第二时段一级标准较严值。生产废水经自建污水处理站处理达到DB44/26-2001第二时段二级标准后排入逢简工业园废水处理站。问题：逢简工业园废水处理站出水执行GB18918-2002一级B标准。根据顺德区对城镇污水处理厂尾水排放的要求（参照2013年顺德区通知），新扩改建城镇污水处理厂尾水应执行GB18918-2002一级A标准及DB44/26-2001第二时段一级标准较严值。此处执行一级B标准可能偏低，需核实逢简工业园废水处理站是否属于城镇污水处理厂范畴及其适用标准。若属于工业废水集中处理设施，其排放标准可能另有规定，但文本未予以说明。</x:v>
      </x:c>
      <x:c r="J15" s="48" t="str">
        <x:v>水标准：'项目生活污水经三级化粪池处理达到广东省地方标准《水污染物排放限值》（DB44/26-2001）第二时段三级标准后……逢简工业园废水处理站出水执行《城镇污水处理厂污染物排放标准》（GBl8918-2002）一级B标准及广东省地方标准《水污染物排放限值》（DB44/26-2001）第二时段一级标准的较严值。'；'项目生产废水经自建污水处理站处理，达到《水污染物排放限值》（DB44/26-2001）第二时段二级标准后……排至逢简工业园废水处理站处理。'
2.</x:v>
      </x:c>
      <x:c r="K15" s="48" t="str">
        <x:v>emission-standard-kb.jsonl; DB44/26-2001; DB44/2367-2022; GB31572-2015; GB14554-93; GB12348-2008; GB18597-2023; GB18599-2020</x:v>
      </x:c>
      <x:c r="L15" s="48" t="str">
        <x:v>2</x:v>
      </x:c>
      <x:c r="M15" s="48" t="str">
        <x:v>2</x:v>
      </x:c>
      <x:c r="N15" s="48" t="str">
        <x:v>False</x:v>
      </x:c>
      <x:c r="O15" s="48" t="str">
        <x:v>需复核</x:v>
      </x:c>
      <x:c r="P15"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15" s="48"/>
      <x:c r="R15" s="48"/>
      <x:c r="S15" s="48" t="str">
        <x:v>是</x:v>
      </x:c>
      <x:c r="T15" s="48" t="str">
        <x:v>原综合排放标准问答对拆分而来</x:v>
      </x:c>
      <x:c r="U15" s="48" t="str">
        <x:v>30份环评_污染物排放控制执行标准复核QA(拆分版)</x:v>
      </x:c>
      <x:c r="V15" s="48" t="str">
        <x:v>水污染物排放标准</x:v>
      </x:c>
      <x:c r="W15" s="48" t="str">
        <x:v>需复核</x:v>
      </x:c>
      <x:c r="X15" s="48" t="str">
        <x:v>需人工复核</x:v>
      </x:c>
      <x:c r="Y15" s="64"/>
      <x:c r="Z15" s="64" t="str">
        <x:v>未复核</x:v>
      </x:c>
      <x:c r="AA15" s="64" t="str">
        <x:v>部分充分</x:v>
      </x:c>
      <x:c r="AB15" s="64" t="str">
        <x:v>有效</x:v>
      </x:c>
      <x:c r="AC15" s="64" t="str">
        <x:v>部分核验</x:v>
      </x:c>
      <x:c r="AD15" s="64" t="str">
        <x:v>自动默认</x:v>
      </x:c>
      <x:c r="AE15" s="64" t="str">
        <x:v>候选池</x:v>
      </x:c>
      <x:c r="AF15" s="64" t="str">
        <x:v>B_证据不足</x:v>
      </x:c>
      <x:c r="AG15" s="64"/>
      <x:c r="AH15" s="64"/>
      <x:c r="AI15" s="64"/>
      <x:c r="AJ15" s="64"/>
      <x:c r="AK15" s="64"/>
      <x:c r="AL15" s="64"/>
      <x:c r="AM15" s="64"/>
      <x:c r="AN15" s="48" t="str">
        <x:v>81</x:v>
      </x:c>
      <x:c r="AO15" s="48" t="str">
        <x:v>MAP_需复核</x:v>
      </x:c>
      <x:c r="AP15" s="48" t="str">
        <x:v>原结论明确要求人工复核；存在报告证据，但尚未经人工逐项核验；已列依据来源，但未在本阶段逐条核验</x:v>
      </x:c>
      <x:c r="AQ15" s="64"/>
      <x:c r="AR15" s="48" t="str">
        <x:v>water_emission_standard</x:v>
      </x:c>
      <x:c r="AS15" s="48" t="str">
        <x:v>L3_analysis</x:v>
      </x:c>
      <x:c r="AT15" s="48" t="str">
        <x:v>rule_applicability</x:v>
      </x:c>
      <x:c r="AU15" s="48" t="str">
        <x:v>basis_grounding</x:v>
      </x:c>
      <x:c r="AV15" s="48" t="str">
        <x:v>report_grounding；procedural_reasoning</x:v>
      </x:c>
      <x:c r="AW15" s="48" t="str">
        <x:v>high</x:v>
      </x:c>
      <x:c r="AX15" s="48" t="str">
        <x:v>high</x:v>
      </x:c>
      <x:c r="AY15" s="48" t="str">
        <x:v>report_plus_external</x:v>
      </x:c>
      <x:c r="AZ15" s="48" t="str">
        <x:v>True</x:v>
      </x:c>
      <x:c r="BA15" s="48"/>
      <x:c r="BB15" s="48" t="str">
        <x:v>auto_default</x:v>
      </x:c>
      <x:c r="BC15" s="48" t="str">
        <x:v>v1</x:v>
      </x:c>
      <x:c r="BD15" s="68"/>
    </x:row>
    <x:row r="16" ht="36" customHeight="1">
      <x:c r="A16" s="47" t="str">
        <x:v>2026-07-24</x:v>
      </x:c>
      <x:c r="B16" s="48" t="str">
        <x:v>PL018</x:v>
      </x:c>
      <x:c r="C16" s="48" t="str">
        <x:v>V01</x:v>
      </x:c>
      <x:c r="D16" s="48" t="str">
        <x:v>PL018_广东台塑智能科技有限公司新建项目</x:v>
      </x:c>
      <x:c r="E16" s="48" t="str">
        <x:v>广东台塑智能科技有限公司新建项目</x:v>
      </x:c>
      <x:c r="F16" s="48" t="str">
        <x:v>PL018_V01_Q03</x:v>
      </x:c>
      <x:c r="G16" s="48" t="str">
        <x:v>环评投资核算</x:v>
      </x:c>
      <x:c r="H16" s="48" t="str">
        <x:v>请根据报告中的总投资、环保投资和环保工程投资明细，判断环保投资核算是否前后一致、比例是否正确。</x:v>
      </x:c>
      <x:c r="I16" s="48" t="str">
        <x:v>环评投资核算判定结论：需复核；具体分析：报告填报总投资为1000万元、环保投资为30万元、环保投资占比为3%。按“环保投资÷总投资×100%”复算为3.00%，与报告填报值一致；但现有解析文本未检索到环保工程投资明细表，无法核对分项合计是否与环保投资一致。因此，占比计算正确，环保投资前后一致性仍需结合原报告投资明细表复核。</x:v>
      </x:c>
      <x:c r="J16" s="48" t="str">
        <x:v>一、建设项目基本情况：总投资1000万元、环保投资30万元、占比3%。来源：解析文本拼接_01_001-020(4).md</x:v>
      </x:c>
      <x:c r="K16" s="48" t="str">
        <x:v>报告原文-环保投资明细表</x:v>
      </x:c>
      <x:c r="L16" s="48" t="str">
        <x:v>2</x:v>
      </x:c>
      <x:c r="M16" s="48" t="str">
        <x:v>2</x:v>
      </x:c>
      <x:c r="N16" s="48" t="str">
        <x:v>False</x:v>
      </x:c>
      <x:c r="O16" s="48" t="str">
        <x:v>需复核</x:v>
      </x:c>
      <x:c r="P16" s="48"/>
      <x:c r="Q16" s="48"/>
      <x:c r="R16" s="48"/>
      <x:c r="S16" s="48" t="str">
        <x:v>是</x:v>
      </x:c>
      <x:c r="T16" s="48"/>
      <x:c r="U16" s="48" t="str">
        <x:v>30个PL_环评投资核算QA</x:v>
      </x:c>
      <x:c r="V16" s="48" t="str">
        <x:v>环评投资概算</x:v>
      </x:c>
      <x:c r="W16" s="48" t="str">
        <x:v>需复核</x:v>
      </x:c>
      <x:c r="X16" s="48" t="str">
        <x:v>证据不足</x:v>
      </x:c>
      <x:c r="Y16" s="64"/>
      <x:c r="Z16" s="64" t="str">
        <x:v>未复核</x:v>
      </x:c>
      <x:c r="AA16" s="64" t="str">
        <x:v>不足</x:v>
      </x:c>
      <x:c r="AB16" s="64" t="str">
        <x:v>有效</x:v>
      </x:c>
      <x:c r="AC16" s="64" t="str">
        <x:v>不需要外部依据</x:v>
      </x:c>
      <x:c r="AD16" s="64" t="str">
        <x:v>自动默认</x:v>
      </x:c>
      <x:c r="AE16" s="64" t="str">
        <x:v>候选池</x:v>
      </x:c>
      <x:c r="AF16" s="64" t="str">
        <x:v>B_证据不足</x:v>
      </x:c>
      <x:c r="AG16" s="64"/>
      <x:c r="AH16" s="64"/>
      <x:c r="AI16" s="64"/>
      <x:c r="AJ16" s="64"/>
      <x:c r="AK16" s="64"/>
      <x:c r="AL16" s="64"/>
      <x:c r="AM16" s="64"/>
      <x:c r="AN16" s="48" t="str">
        <x:v>86</x:v>
      </x:c>
      <x:c r="AO16" s="48" t="str">
        <x:v>MAP_需复核+EVIDENCE_INSUFFICIENCY_SIGNAL</x:v>
      </x:c>
      <x:c r="AP16" s="48" t="str">
        <x:v>原结论明确要求人工复核；命中证据不足候选词：未检索到、无法核对；投资复核主要依据报告内金额与算式</x:v>
      </x:c>
      <x:c r="AQ16" s="64"/>
      <x:c r="AR16" s="48" t="str">
        <x:v>environmental_investment</x:v>
      </x:c>
      <x:c r="AS16" s="48" t="str">
        <x:v>L2_application</x:v>
      </x:c>
      <x:c r="AT16" s="48" t="str">
        <x:v>quantitative_verification</x:v>
      </x:c>
      <x:c r="AU16" s="48" t="str">
        <x:v>numerical_accuracy</x:v>
      </x:c>
      <x:c r="AV16" s="48" t="str">
        <x:v>report_grounding；procedural_reasoning</x:v>
      </x:c>
      <x:c r="AW16" s="48" t="str">
        <x:v>low</x:v>
      </x:c>
      <x:c r="AX16" s="48" t="str">
        <x:v>medium</x:v>
      </x:c>
      <x:c r="AY16" s="48" t="str">
        <x:v>cross_section</x:v>
      </x:c>
      <x:c r="AZ16" s="48" t="str">
        <x:v>True</x:v>
      </x:c>
      <x:c r="BA16" s="48"/>
      <x:c r="BB16" s="48" t="str">
        <x:v>auto_default</x:v>
      </x:c>
      <x:c r="BC16" s="48" t="str">
        <x:v>v1</x:v>
      </x:c>
      <x:c r="BD16" s="68"/>
    </x:row>
    <x:row r="17" ht="36" customHeight="1">
      <x:c r="A17" s="47" t="str">
        <x:v>2026-07-27</x:v>
      </x:c>
      <x:c r="B17" s="48" t="str">
        <x:v>PL018</x:v>
      </x:c>
      <x:c r="C17" s="48" t="str">
        <x:v>V01</x:v>
      </x:c>
      <x:c r="D17" s="48" t="str">
        <x:v>PL018_广东台塑智能科技有限公司新建项目_01_受理公告或公示版.pdf</x:v>
      </x:c>
      <x:c r="E17" s="48" t="str">
        <x:v>广东台塑智能科技有限公司新建项目</x:v>
      </x:c>
      <x:c r="F17" s="48" t="str">
        <x:v>PL018_Emission_水污</x:v>
      </x:c>
      <x:c r="G17" s="48" t="str">
        <x:v>污染物排放标准-水污染物排放标准</x:v>
      </x:c>
      <x:c r="H17"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7" s="48" t="str">
        <x:v>1、水污染物排放标准中生活污水排放执行标准：需复核；
2、水污染物排放标准结论的过程分析内容：文本显示生活污水经三级化粪处理达标后排至北滘污水处理厂处理。间接循环冷却水定期排水可作为清净下水通过市政雨水管网排放；直接循环冷却水定期交由佛山市科源达环保污水处理有限公司回收处理。文本引用了顺环委办[2023]30号文件进行涉水政策符合性分析，但未明确列出生活污水预处理执行的排放标准名称（如DB44/26-2001第二时段三级标准）和北滘污水处理厂尾水执行标准（如GB18918-2002一级A及DB44/26-2001较严值），水标准信息不完整，无法完整判断。</x:v>
      </x:c>
      <x:c r="J17"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17" s="48" t="str">
        <x:v>emission-standard-kb.jsonl; DB44/26-2001; DB44/2367-2022; GB31572-2015; GB14554-93; GB12348-2008; GB18597-2023; GB18599-2020</x:v>
      </x:c>
      <x:c r="L17" s="48" t="str">
        <x:v>2</x:v>
      </x:c>
      <x:c r="M17" s="48" t="str">
        <x:v>2</x:v>
      </x:c>
      <x:c r="N17" s="48" t="str">
        <x:v>False</x:v>
      </x:c>
      <x:c r="O17" s="48" t="str">
        <x:v>需复核</x:v>
      </x:c>
      <x:c r="P17"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17" s="48"/>
      <x:c r="R17" s="48"/>
      <x:c r="S17" s="48" t="str">
        <x:v>是</x:v>
      </x:c>
      <x:c r="T17" s="48" t="str">
        <x:v>原综合排放标准问答对拆分而来</x:v>
      </x:c>
      <x:c r="U17" s="48" t="str">
        <x:v>30份环评_污染物排放控制执行标准复核QA(拆分版)</x:v>
      </x:c>
      <x:c r="V17" s="48" t="str">
        <x:v>水污染物排放标准</x:v>
      </x:c>
      <x:c r="W17" s="48" t="str">
        <x:v>需复核</x:v>
      </x:c>
      <x:c r="X17" s="48" t="str">
        <x:v>需人工复核</x:v>
      </x:c>
      <x:c r="Y17" s="64"/>
      <x:c r="Z17" s="64" t="str">
        <x:v>未复核</x:v>
      </x:c>
      <x:c r="AA17" s="64" t="str">
        <x:v>部分充分</x:v>
      </x:c>
      <x:c r="AB17" s="64" t="str">
        <x:v>有效</x:v>
      </x:c>
      <x:c r="AC17" s="64" t="str">
        <x:v>部分核验</x:v>
      </x:c>
      <x:c r="AD17" s="64" t="str">
        <x:v>自动默认</x:v>
      </x:c>
      <x:c r="AE17" s="64" t="str">
        <x:v>候选池</x:v>
      </x:c>
      <x:c r="AF17" s="64" t="str">
        <x:v>B_证据不足</x:v>
      </x:c>
      <x:c r="AG17" s="64"/>
      <x:c r="AH17" s="64"/>
      <x:c r="AI17" s="64"/>
      <x:c r="AJ17" s="64"/>
      <x:c r="AK17" s="64"/>
      <x:c r="AL17" s="64"/>
      <x:c r="AM17" s="64"/>
      <x:c r="AN17" s="48" t="str">
        <x:v>88</x:v>
      </x:c>
      <x:c r="AO17" s="48" t="str">
        <x:v>MAP_需复核</x:v>
      </x:c>
      <x:c r="AP17" s="48" t="str">
        <x:v>原结论明确要求人工复核；存在报告证据，但尚未经人工逐项核验；已列依据来源，但未在本阶段逐条核验</x:v>
      </x:c>
      <x:c r="AQ17" s="64"/>
      <x:c r="AR17" s="48" t="str">
        <x:v>water_emission_standard</x:v>
      </x:c>
      <x:c r="AS17" s="48" t="str">
        <x:v>L3_analysis</x:v>
      </x:c>
      <x:c r="AT17" s="48" t="str">
        <x:v>rule_applicability</x:v>
      </x:c>
      <x:c r="AU17" s="48" t="str">
        <x:v>basis_grounding</x:v>
      </x:c>
      <x:c r="AV17" s="48" t="str">
        <x:v>report_grounding；procedural_reasoning</x:v>
      </x:c>
      <x:c r="AW17" s="48" t="str">
        <x:v>high</x:v>
      </x:c>
      <x:c r="AX17" s="48" t="str">
        <x:v>high</x:v>
      </x:c>
      <x:c r="AY17" s="48" t="str">
        <x:v>report_plus_external</x:v>
      </x:c>
      <x:c r="AZ17" s="48" t="str">
        <x:v>True</x:v>
      </x:c>
      <x:c r="BA17" s="48"/>
      <x:c r="BB17" s="48" t="str">
        <x:v>auto_default</x:v>
      </x:c>
      <x:c r="BC17" s="48" t="str">
        <x:v>v1</x:v>
      </x:c>
      <x:c r="BD17" s="68"/>
    </x:row>
    <x:row r="18" ht="36" customHeight="1">
      <x:c r="A18" s="47" t="str">
        <x:v>2026-07-27</x:v>
      </x:c>
      <x:c r="B18" s="48" t="str">
        <x:v>PL018</x:v>
      </x:c>
      <x:c r="C18" s="48" t="str">
        <x:v>V01</x:v>
      </x:c>
      <x:c r="D18" s="48" t="str">
        <x:v>PL018_广东台塑智能科技有限公司新建项目_01_受理公告或公示版.pdf</x:v>
      </x:c>
      <x:c r="E18" s="48" t="str">
        <x:v>广东台塑智能科技有限公司新建项目</x:v>
      </x:c>
      <x:c r="F18" s="48" t="str">
        <x:v>PL018_Emission_大气</x:v>
      </x:c>
      <x:c r="G18" s="48" t="str">
        <x:v>污染物排放标准-大气污染物排放标准</x:v>
      </x:c>
      <x:c r="H18" s="48" t="str">
        <x:v>请根据项目行业类别、生产工艺和污染因子，判断大气污染物排放标准选取是否合理。要求分析：污染源覆盖是否完整（列出所有大气污染源及对应标准），是否存在缺漏的污染源或标准。</x:v>
      </x:c>
      <x:c r="I18" s="48" t="str">
        <x:v>1、污染排放标准分析污染源内容：不完整；
2、大气污染物排放标准分析：文本可见VOCs治理后厂区内无组织排放监控点NMHC小时平均浓度≤6mg/m3、任意一次浓度≤20mg/m3，符合DB44/2367-2022表3厂区内VOCs无组织排放限值。有机废气经活性炭吸附处理后通过排气筒G1（24m）排放。但文本未完整列出VOCs有组织排放执行标准（DB44/2367-2022表1或其他行业标准）、颗粒物（破碎粉尘）执行标准（DB44/27-2001或其他）、是否涉及恶臭标准（GB14554-93）等。大气标准信息不完整，仅厂区内VOCs无组织限值可判断为正确。</x:v>
      </x:c>
      <x:c r="J18"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18" s="48" t="str">
        <x:v>emission-standard-kb.jsonl; DB44/26-2001; DB44/2367-2022; GB31572-2015; GB14554-93; GB12348-2008; GB18597-2023; GB18599-2020</x:v>
      </x:c>
      <x:c r="L18" s="48" t="str">
        <x:v>2</x:v>
      </x:c>
      <x:c r="M18" s="48" t="str">
        <x:v>2</x:v>
      </x:c>
      <x:c r="N18" s="48" t="str">
        <x:v>False</x:v>
      </x:c>
      <x:c r="O18" s="48" t="str">
        <x:v>需复核</x:v>
      </x:c>
      <x:c r="P18"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18" s="48"/>
      <x:c r="R18" s="48"/>
      <x:c r="S18" s="48" t="str">
        <x:v>是</x:v>
      </x:c>
      <x:c r="T18" s="48" t="str">
        <x:v>原综合排放标准问答对拆分而来</x:v>
      </x:c>
      <x:c r="U18" s="48" t="str">
        <x:v>30份环评_污染物排放控制执行标准复核QA(拆分版)</x:v>
      </x:c>
      <x:c r="V18" s="48" t="str">
        <x:v>大气污染物排放标准</x:v>
      </x:c>
      <x:c r="W18" s="48" t="str">
        <x:v>需复核</x:v>
      </x:c>
      <x:c r="X18" s="48" t="str">
        <x:v>需人工复核</x:v>
      </x:c>
      <x:c r="Y18" s="64"/>
      <x:c r="Z18" s="64" t="str">
        <x:v>未复核</x:v>
      </x:c>
      <x:c r="AA18" s="64" t="str">
        <x:v>部分充分</x:v>
      </x:c>
      <x:c r="AB18" s="64" t="str">
        <x:v>有效</x:v>
      </x:c>
      <x:c r="AC18" s="64" t="str">
        <x:v>部分核验</x:v>
      </x:c>
      <x:c r="AD18" s="64" t="str">
        <x:v>自动默认</x:v>
      </x:c>
      <x:c r="AE18" s="64" t="str">
        <x:v>候选池</x:v>
      </x:c>
      <x:c r="AF18" s="64" t="str">
        <x:v>B_证据不足</x:v>
      </x:c>
      <x:c r="AG18" s="64"/>
      <x:c r="AH18" s="64"/>
      <x:c r="AI18" s="64"/>
      <x:c r="AJ18" s="64"/>
      <x:c r="AK18" s="64"/>
      <x:c r="AL18" s="64"/>
      <x:c r="AM18" s="64"/>
      <x:c r="AN18" s="48" t="str">
        <x:v>89</x:v>
      </x:c>
      <x:c r="AO18" s="48" t="str">
        <x:v>MAP_需复核</x:v>
      </x:c>
      <x:c r="AP18" s="48" t="str">
        <x:v>原结论明确要求人工复核；存在报告证据，但尚未经人工逐项核验；已列依据来源，但未在本阶段逐条核验</x:v>
      </x:c>
      <x:c r="AQ18" s="64"/>
      <x:c r="AR18" s="48" t="str">
        <x:v>air_emission_standard</x:v>
      </x:c>
      <x:c r="AS18" s="48" t="str">
        <x:v>L3_analysis</x:v>
      </x:c>
      <x:c r="AT18" s="48" t="str">
        <x:v>multi_evidence_synthesis</x:v>
      </x:c>
      <x:c r="AU18" s="48" t="str">
        <x:v>basis_grounding</x:v>
      </x:c>
      <x:c r="AV18" s="48" t="str">
        <x:v>report_grounding；evidence_integration</x:v>
      </x:c>
      <x:c r="AW18" s="48" t="str">
        <x:v>high</x:v>
      </x:c>
      <x:c r="AX18" s="48" t="str">
        <x:v>high</x:v>
      </x:c>
      <x:c r="AY18" s="48" t="str">
        <x:v>report_plus_external</x:v>
      </x:c>
      <x:c r="AZ18" s="48" t="str">
        <x:v>True</x:v>
      </x:c>
      <x:c r="BA18" s="48"/>
      <x:c r="BB18" s="48" t="str">
        <x:v>auto_default</x:v>
      </x:c>
      <x:c r="BC18" s="48" t="str">
        <x:v>v1</x:v>
      </x:c>
      <x:c r="BD18" s="68"/>
    </x:row>
    <x:row r="19" ht="36" customHeight="1">
      <x:c r="A19" s="47" t="str">
        <x:v>2026-07-27</x:v>
      </x:c>
      <x:c r="B19" s="48" t="str">
        <x:v>PL018</x:v>
      </x:c>
      <x:c r="C19" s="48" t="str">
        <x:v>V01</x:v>
      </x:c>
      <x:c r="D19" s="48" t="str">
        <x:v>PL018_广东台塑智能科技有限公司新建项目_01_受理公告或公示版.pdf</x:v>
      </x:c>
      <x:c r="E19" s="48" t="str">
        <x:v>广东台塑智能科技有限公司新建项目</x:v>
      </x:c>
      <x:c r="F19" s="48" t="str">
        <x:v>PL018_Emission_噪声</x:v>
      </x:c>
      <x:c r="G19" s="48" t="str">
        <x:v>污染物排放标准-噪声排放标准</x:v>
      </x:c>
      <x:c r="H19" s="48" t="str">
        <x:v>请根据项目所属声环境功能区类别，判断噪声排放标准选取是否合理。要求总结声功能区类型、厂界执行标准（GB12348-2008）及昼夜限值，并与环评编制内容进行一致性分析。</x:v>
      </x:c>
      <x:c r="I19" s="48" t="str">
        <x:v>1、噪声排放标准中执行标准与排放限值内容：无法判断；
2、文本未在可见章节中明确列出噪声排放标准。无法判断。</x:v>
      </x:c>
      <x:c r="J19" s="48" t="str">
        <x:v>1. 大气VOCs厂区内限值：'厂区内无组织排放监控点NMHC的小时平均浓度值不超过6 mg/m3，任意一次浓度值不超过20 mg/m3。'；'各排气筒各项污染因子均能达标排放，厂区内无组织排放监控点NMHC相应浓度达到要求。'
2. 废水：'项目废水排入北滘污水处理厂，间接循环冷却水定期排水可作为清净下水通过市政雨水管网排放；直接循环冷却水定期交由佛山市科源达环保污水处理有限公司回收处理。'
3. 工程分析：'本项目主要从事轿车塑料配件、小家电塑料组装件、电线的生产'；'本项目有机废气经集气罩收集后通过活性炭吸附废气处理设施进行处理，处理达标后通过排气筒G1（24m）引至楼顶排放。'
4. 原辅材料：'油性油墨……按异佛尔酮100%挥发，VOCs挥发系数按60%算'；'稀释剂……按100%挥发，VOCs挥发系数按100%算（900g/L）'</x:v>
      </x:c>
      <x:c r="K19" s="48" t="str">
        <x:v>emission-standard-kb.jsonl; DB44/26-2001; DB44/2367-2022; GB31572-2015; GB14554-93; GB12348-2008; GB18597-2023; GB18599-2020</x:v>
      </x:c>
      <x:c r="L19" s="48" t="str">
        <x:v>2</x:v>
      </x:c>
      <x:c r="M19" s="48" t="str">
        <x:v>2</x:v>
      </x:c>
      <x:c r="N19" s="48" t="str">
        <x:v>False</x:v>
      </x:c>
      <x:c r="O19" s="48" t="str">
        <x:v>无法判断</x:v>
      </x:c>
      <x:c r="P19" s="48" t="str">
        <x:v>水:无法判断——生活污水排入北滘污水处理厂，但未明确预处理标准和尾水标准名称。; 大气:部分可判断/需复核——VOCs厂区内无组织限值（NMHC≤6mg/m3、≤20mg/m3）符合DB44/2367-2022表3，但VOCs有组织、颗粒物等标准未完整列出。; 噪声:无法判断——文本未在可见章节明确列出噪声排放标准。; 固体废物:无法判断——文本提及危险废物暂存点但未明确引用固体废物污染控制标准。</x:v>
      </x:c>
      <x:c r="Q19" s="48"/>
      <x:c r="R19" s="48"/>
      <x:c r="S19" s="48" t="str">
        <x:v>是</x:v>
      </x:c>
      <x:c r="T19" s="48" t="str">
        <x:v>原综合排放标准问答对拆分而来</x:v>
      </x:c>
      <x:c r="U19" s="48" t="str">
        <x:v>30份环评_污染物排放控制执行标准复核QA(拆分版)</x:v>
      </x:c>
      <x:c r="V19" s="48" t="str">
        <x:v>噪声排放标准</x:v>
      </x:c>
      <x:c r="W19" s="48" t="str">
        <x:v>无法判断</x:v>
      </x:c>
      <x:c r="X19" s="48" t="str">
        <x:v>证据不足</x:v>
      </x:c>
      <x:c r="Y19" s="64"/>
      <x:c r="Z19" s="64" t="str">
        <x:v>未复核</x:v>
      </x:c>
      <x:c r="AA19" s="64" t="str">
        <x:v>不足</x:v>
      </x:c>
      <x:c r="AB19" s="64" t="str">
        <x:v>有效</x:v>
      </x:c>
      <x:c r="AC19" s="64" t="str">
        <x:v>部分核验</x:v>
      </x:c>
      <x:c r="AD19" s="64" t="str">
        <x:v>自动默认</x:v>
      </x:c>
      <x:c r="AE19" s="64" t="str">
        <x:v>候选池</x:v>
      </x:c>
      <x:c r="AF19" s="64" t="str">
        <x:v>B_证据不足</x:v>
      </x:c>
      <x:c r="AG19" s="64"/>
      <x:c r="AH19" s="64"/>
      <x:c r="AI19" s="64"/>
      <x:c r="AJ19" s="64"/>
      <x:c r="AK19" s="64"/>
      <x:c r="AL19" s="64"/>
      <x:c r="AM19" s="64"/>
      <x:c r="AN19" s="48" t="str">
        <x:v>90</x:v>
      </x:c>
      <x:c r="AO19" s="48" t="str">
        <x:v>MAP_无法判断+EVIDENCE_INSUFFICIENCY_SIGNAL</x:v>
      </x:c>
      <x:c r="AP19" s="48" t="str">
        <x:v>需人工区分证据不足、材料缺失或尚未审核；命中证据不足候选词：无法判断；已列依据来源，但未在本阶段逐条核验</x:v>
      </x:c>
      <x:c r="AQ19" s="64"/>
      <x:c r="AR19" s="48" t="str">
        <x:v>noise_emission_standard</x:v>
      </x:c>
      <x:c r="AS19" s="48" t="str">
        <x:v>L2_application</x:v>
      </x:c>
      <x:c r="AT19" s="48" t="str">
        <x:v>rule_applicability</x:v>
      </x:c>
      <x:c r="AU19" s="48" t="str">
        <x:v>basis_grounding</x:v>
      </x:c>
      <x:c r="AV19" s="48" t="str">
        <x:v>report_grounding</x:v>
      </x:c>
      <x:c r="AW19" s="48" t="str">
        <x:v>high</x:v>
      </x:c>
      <x:c r="AX19" s="48" t="str">
        <x:v>medium</x:v>
      </x:c>
      <x:c r="AY19" s="48" t="str">
        <x:v>report_plus_external</x:v>
      </x:c>
      <x:c r="AZ19" s="48" t="str">
        <x:v>True</x:v>
      </x:c>
      <x:c r="BA19" s="48"/>
      <x:c r="BB19" s="48" t="str">
        <x:v>auto_default</x:v>
      </x:c>
      <x:c r="BC19" s="48" t="str">
        <x:v>v1</x:v>
      </x:c>
      <x:c r="BD19" s="68"/>
    </x:row>
    <x:row r="20" ht="36" customHeight="1">
      <x:c r="A20" s="47" t="str">
        <x:v>2026-07-27</x:v>
      </x:c>
      <x:c r="B20" s="48" t="str">
        <x:v>PL019</x:v>
      </x:c>
      <x:c r="C20" s="48" t="str">
        <x:v>V01</x:v>
      </x:c>
      <x:c r="D20" s="48" t="str">
        <x:v>PL019_佛山市智龙科技有限公司迁扩建项目_01_受理公告或公示版.pdf</x:v>
      </x:c>
      <x:c r="E20" s="48" t="str">
        <x:v>佛山市智龙科技有限公司迁扩建项目</x:v>
      </x:c>
      <x:c r="F20" s="48" t="str">
        <x:v>PL019_Emission_水污</x:v>
      </x:c>
      <x:c r="G20" s="48" t="str">
        <x:v>污染物排放标准-水污染物排放标准</x:v>
      </x:c>
      <x:c r="H20"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0" s="48" t="str">
        <x:v>1、水污染物排放标准中生活污水排放执行标准：需复核；
2、水污染物排放标准结论的过程分析内容：文本在政策符合性分析中明确，迁扩建项目位于勒流污水处理厂处理范围，尾水执行《城镇污水处理厂污染物排放标准》（GB18918-2002）一级A标准及《广东省水污染物排放限值》（DB44/26-2001）的较严值。该尾水标准选取符合顺德区城镇污水处理厂尾水排放要求，正确。但生活污水预处理标准（如DB44/26-2001第二时段三级标准）未在可见文本中明确列出，水标准信息不完整。</x:v>
      </x:c>
      <x:c r="J20" s="48" t="str">
        <x:v>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20" s="48" t="str">
        <x:v>emission-standard-kb.jsonl; DB44/26-2001; DB44/2367-2022; GB31572-2015; GB14554-93; GB12348-2008; GB18597-2023; GB18599-2020</x:v>
      </x:c>
      <x:c r="L20" s="48" t="str">
        <x:v>2</x:v>
      </x:c>
      <x:c r="M20" s="48" t="str">
        <x:v>2</x:v>
      </x:c>
      <x:c r="N20" s="48" t="str">
        <x:v>False</x:v>
      </x:c>
      <x:c r="O20" s="48" t="str">
        <x:v>需复核</x:v>
      </x:c>
      <x:c r="P20"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20" s="48"/>
      <x:c r="R20" s="48"/>
      <x:c r="S20" s="48" t="str">
        <x:v>是</x:v>
      </x:c>
      <x:c r="T20" s="48" t="str">
        <x:v>原综合排放标准问答对拆分而来</x:v>
      </x:c>
      <x:c r="U20" s="48" t="str">
        <x:v>30份环评_污染物排放控制执行标准复核QA(拆分版)</x:v>
      </x:c>
      <x:c r="V20" s="48" t="str">
        <x:v>水污染物排放标准</x:v>
      </x:c>
      <x:c r="W20" s="48" t="str">
        <x:v>需复核</x:v>
      </x:c>
      <x:c r="X20" s="48" t="str">
        <x:v>需人工复核</x:v>
      </x:c>
      <x:c r="Y20" s="64"/>
      <x:c r="Z20" s="64" t="str">
        <x:v>未复核</x:v>
      </x:c>
      <x:c r="AA20" s="64" t="str">
        <x:v>部分充分</x:v>
      </x:c>
      <x:c r="AB20" s="64" t="str">
        <x:v>有效</x:v>
      </x:c>
      <x:c r="AC20" s="64" t="str">
        <x:v>部分核验</x:v>
      </x:c>
      <x:c r="AD20" s="64" t="str">
        <x:v>自动默认</x:v>
      </x:c>
      <x:c r="AE20" s="64" t="str">
        <x:v>候选池</x:v>
      </x:c>
      <x:c r="AF20" s="64" t="str">
        <x:v>B_证据不足</x:v>
      </x:c>
      <x:c r="AG20" s="64"/>
      <x:c r="AH20" s="64"/>
      <x:c r="AI20" s="64"/>
      <x:c r="AJ20" s="64"/>
      <x:c r="AK20" s="64"/>
      <x:c r="AL20" s="64"/>
      <x:c r="AM20" s="64"/>
      <x:c r="AN20" s="48" t="str">
        <x:v>95</x:v>
      </x:c>
      <x:c r="AO20" s="48" t="str">
        <x:v>MAP_需复核</x:v>
      </x:c>
      <x:c r="AP20" s="48" t="str">
        <x:v>原结论明确要求人工复核；存在报告证据，但尚未经人工逐项核验；已列依据来源，但未在本阶段逐条核验</x:v>
      </x:c>
      <x:c r="AQ20" s="64"/>
      <x:c r="AR20" s="48" t="str">
        <x:v>water_emission_standard</x:v>
      </x:c>
      <x:c r="AS20" s="48" t="str">
        <x:v>L3_analysis</x:v>
      </x:c>
      <x:c r="AT20" s="48" t="str">
        <x:v>rule_applicability</x:v>
      </x:c>
      <x:c r="AU20" s="48" t="str">
        <x:v>basis_grounding</x:v>
      </x:c>
      <x:c r="AV20" s="48" t="str">
        <x:v>report_grounding；procedural_reasoning</x:v>
      </x:c>
      <x:c r="AW20" s="48" t="str">
        <x:v>high</x:v>
      </x:c>
      <x:c r="AX20" s="48" t="str">
        <x:v>high</x:v>
      </x:c>
      <x:c r="AY20" s="48" t="str">
        <x:v>report_plus_external</x:v>
      </x:c>
      <x:c r="AZ20" s="48" t="str">
        <x:v>True</x:v>
      </x:c>
      <x:c r="BA20" s="48"/>
      <x:c r="BB20" s="48" t="str">
        <x:v>auto_default</x:v>
      </x:c>
      <x:c r="BC20" s="48" t="str">
        <x:v>v1</x:v>
      </x:c>
      <x:c r="BD20" s="68"/>
    </x:row>
    <x:row r="21" ht="36" customHeight="1">
      <x:c r="A21" s="47" t="str">
        <x:v>2026-07-27</x:v>
      </x:c>
      <x:c r="B21" s="48" t="str">
        <x:v>PL019</x:v>
      </x:c>
      <x:c r="C21" s="48" t="str">
        <x:v>V01</x:v>
      </x:c>
      <x:c r="D21" s="48" t="str">
        <x:v>PL019_佛山市智龙科技有限公司迁扩建项目_01_受理公告或公示版.pdf</x:v>
      </x:c>
      <x:c r="E21" s="48" t="str">
        <x:v>佛山市智龙科技有限公司迁扩建项目</x:v>
      </x:c>
      <x:c r="F21" s="48" t="str">
        <x:v>PL019_Emission_大气</x:v>
      </x:c>
      <x:c r="G21" s="48" t="str">
        <x:v>污染物排放标准-大气污染物排放标准</x:v>
      </x:c>
      <x:c r="H21" s="48" t="str">
        <x:v>请根据项目行业类别、生产工艺和污染因子，判断大气污染物排放标准选取是否合理。要求分析：污染源覆盖是否完整（列出所有大气污染源及对应标准），是否存在缺漏的污染源或标准。</x:v>
      </x:c>
      <x:c r="I21" s="48" t="str">
        <x:v>1、污染排放标准分析污染源内容：不完整；
2、大气污染物排放标准分析：文本显示项目注塑机、超声波焊接机上方设置包围型集气罩，有机废气经包围型收集通过'干式过滤棉+活性炭吸附'装置处理后引至45米高排气筒DA001排放，污染因子为非甲烷总烃。文本引用了DB44/2367-2022进行VOCs政策符合性分析（含物料储存、转移、工艺过程等管控要求），符合性分析中提及控制风速不低于0.3m/s、收集效率约50%等参数。但文本未明确列出非甲烷总烃有组织排放执行标准（DB44/2367-2022表1具体限值）、厂区内VOCs无组织排放限值（DB44/2367-2022表3）、是否涉及颗粒物和恶臭标准等，大气标准信息不完整。</x:v>
      </x:c>
      <x:c r="J21" s="4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21" s="48" t="str">
        <x:v>emission-standard-kb.jsonl; DB44/26-2001; DB44/2367-2022; GB31572-2015; GB14554-93; GB12348-2008; GB18597-2023; GB18599-2020</x:v>
      </x:c>
      <x:c r="L21" s="48" t="str">
        <x:v>2</x:v>
      </x:c>
      <x:c r="M21" s="48" t="str">
        <x:v>2</x:v>
      </x:c>
      <x:c r="N21" s="48" t="str">
        <x:v>False</x:v>
      </x:c>
      <x:c r="O21" s="48" t="str">
        <x:v>需复核</x:v>
      </x:c>
      <x:c r="P21"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21" s="48"/>
      <x:c r="R21" s="48"/>
      <x:c r="S21" s="48" t="str">
        <x:v>是</x:v>
      </x:c>
      <x:c r="T21" s="48" t="str">
        <x:v>原综合排放标准问答对拆分而来</x:v>
      </x:c>
      <x:c r="U21" s="48" t="str">
        <x:v>30份环评_污染物排放控制执行标准复核QA(拆分版)</x:v>
      </x:c>
      <x:c r="V21" s="48" t="str">
        <x:v>大气污染物排放标准</x:v>
      </x:c>
      <x:c r="W21" s="48" t="str">
        <x:v>需复核</x:v>
      </x:c>
      <x:c r="X21" s="48" t="str">
        <x:v>需人工复核</x:v>
      </x:c>
      <x:c r="Y21" s="64"/>
      <x:c r="Z21" s="64" t="str">
        <x:v>未复核</x:v>
      </x:c>
      <x:c r="AA21" s="64" t="str">
        <x:v>部分充分</x:v>
      </x:c>
      <x:c r="AB21" s="64" t="str">
        <x:v>有效</x:v>
      </x:c>
      <x:c r="AC21" s="64" t="str">
        <x:v>部分核验</x:v>
      </x:c>
      <x:c r="AD21" s="64" t="str">
        <x:v>自动默认</x:v>
      </x:c>
      <x:c r="AE21" s="64" t="str">
        <x:v>候选池</x:v>
      </x:c>
      <x:c r="AF21" s="64" t="str">
        <x:v>B_证据不足</x:v>
      </x:c>
      <x:c r="AG21" s="64"/>
      <x:c r="AH21" s="64"/>
      <x:c r="AI21" s="64"/>
      <x:c r="AJ21" s="64"/>
      <x:c r="AK21" s="64"/>
      <x:c r="AL21" s="64"/>
      <x:c r="AM21" s="64"/>
      <x:c r="AN21" s="48" t="str">
        <x:v>96</x:v>
      </x:c>
      <x:c r="AO21" s="48" t="str">
        <x:v>MAP_需复核</x:v>
      </x:c>
      <x:c r="AP21" s="48" t="str">
        <x:v>原结论明确要求人工复核；存在报告证据，但尚未经人工逐项核验；已列依据来源，但未在本阶段逐条核验</x:v>
      </x:c>
      <x:c r="AQ21" s="64"/>
      <x:c r="AR21" s="48" t="str">
        <x:v>air_emission_standard</x:v>
      </x:c>
      <x:c r="AS21" s="48" t="str">
        <x:v>L3_analysis</x:v>
      </x:c>
      <x:c r="AT21" s="48" t="str">
        <x:v>multi_evidence_synthesis</x:v>
      </x:c>
      <x:c r="AU21" s="48" t="str">
        <x:v>basis_grounding</x:v>
      </x:c>
      <x:c r="AV21" s="48" t="str">
        <x:v>report_grounding；evidence_integration</x:v>
      </x:c>
      <x:c r="AW21" s="48" t="str">
        <x:v>high</x:v>
      </x:c>
      <x:c r="AX21" s="48" t="str">
        <x:v>high</x:v>
      </x:c>
      <x:c r="AY21" s="48" t="str">
        <x:v>report_plus_external</x:v>
      </x:c>
      <x:c r="AZ21" s="48" t="str">
        <x:v>True</x:v>
      </x:c>
      <x:c r="BA21" s="48"/>
      <x:c r="BB21" s="48" t="str">
        <x:v>auto_default</x:v>
      </x:c>
      <x:c r="BC21" s="48" t="str">
        <x:v>v1</x:v>
      </x:c>
      <x:c r="BD21" s="68"/>
    </x:row>
    <x:row r="22" ht="36" customHeight="1">
      <x:c r="A22" s="47" t="str">
        <x:v>2026-07-27</x:v>
      </x:c>
      <x:c r="B22" s="48" t="str">
        <x:v>PL019</x:v>
      </x:c>
      <x:c r="C22" s="48" t="str">
        <x:v>V01</x:v>
      </x:c>
      <x:c r="D22" s="48" t="str">
        <x:v>PL019_佛山市智龙科技有限公司迁扩建项目_01_受理公告或公示版.pdf</x:v>
      </x:c>
      <x:c r="E22" s="48" t="str">
        <x:v>佛山市智龙科技有限公司迁扩建项目</x:v>
      </x:c>
      <x:c r="F22" s="48" t="str">
        <x:v>PL019_Emission_噪声</x:v>
      </x:c>
      <x:c r="G22" s="48" t="str">
        <x:v>污染物排放标准-噪声排放标准</x:v>
      </x:c>
      <x:c r="H22" s="48" t="str">
        <x:v>请根据项目所属声环境功能区类别，判断噪声排放标准选取是否合理。要求总结声功能区类型、厂界执行标准（GB12348-2008）及昼夜限值，并与环评编制内容进行一致性分析。</x:v>
      </x:c>
      <x:c r="I22" s="48" t="str">
        <x:v>1、噪声排放标准中执行标准与排放限值内容：无法判断；
2、文本未在可见章节中明确列出噪声排放标准（如GB12348-2008及适用类别）。无法判断。</x:v>
      </x:c>
      <x:c r="J22" s="48" t="str">
        <x:v>1. 水标准（尾水）：'迁扩建项目位于勒流污水处理厂处理范围，尾水执行《城镇污水处理厂污染物排放标准》（GB18918-2002）一级A标准及《广东省水污染物排放限值》（DB44/26-2001）的较严值。'；'2025年前完成勒流污水处理厂扩建，尾水应执行《城镇污水处理厂污染物排放标准》（GB18918-2002）一级A标准及《广东省水污染物排放限值》（DB44/26-2001）的较严值。'
2. 大气治理措施：'迁扩建项目拟于注塑机、超声波焊接机上方设置包围型集气罩，有机废气经包围型收集通过'干式过滤棉+活性炭吸附'设施处理后引至45米高排气筒（DA001）排放。'
3. 行业类别：'迁扩建项目属于《国民经济行业分类》（GB/T4754-2017）及第1号修改单中的C2929塑料零件及其他塑料制品制造。'
4. VOCs管控符合性：'采用局部集气罩收集非甲烷总烃，控制风速不低于0.3m/s。'（引用DB44/2367-2022相关要求进行符合性分析）</x:v>
      </x:c>
      <x:c r="K22" s="48" t="str">
        <x:v>emission-standard-kb.jsonl; DB44/26-2001; DB44/2367-2022; GB31572-2015; GB14554-93; GB12348-2008; GB18597-2023; GB18599-2020</x:v>
      </x:c>
      <x:c r="L22" s="48" t="str">
        <x:v>2</x:v>
      </x:c>
      <x:c r="M22" s="48" t="str">
        <x:v>2</x:v>
      </x:c>
      <x:c r="N22" s="48" t="str">
        <x:v>False</x:v>
      </x:c>
      <x:c r="O22" s="48" t="str">
        <x:v>无法判断</x:v>
      </x:c>
      <x:c r="P22" s="48" t="str">
        <x:v>水:部分无误/需复核——尾水标准GB18918-2002一级A及DB44/26-2001较严值正确，但生活污水预处理标准未明确列出。; 大气:需复核——VOCs治理措施及DB44/2367-2022符合性分析可见，但有组织排放限值、厂区内无组织限值等未完整列出。; 噪声:无法判断——文本未在可见章节明确列出噪声排放标准。; 固体废物:无法判断——文本未在可见章节明确引用固体废物污染控制标准。</x:v>
      </x:c>
      <x:c r="Q22" s="48"/>
      <x:c r="R22" s="48"/>
      <x:c r="S22" s="48" t="str">
        <x:v>是</x:v>
      </x:c>
      <x:c r="T22" s="48" t="str">
        <x:v>原综合排放标准问答对拆分而来</x:v>
      </x:c>
      <x:c r="U22" s="48" t="str">
        <x:v>30份环评_污染物排放控制执行标准复核QA(拆分版)</x:v>
      </x:c>
      <x:c r="V22" s="48" t="str">
        <x:v>噪声排放标准</x:v>
      </x:c>
      <x:c r="W22" s="48" t="str">
        <x:v>无法判断</x:v>
      </x:c>
      <x:c r="X22" s="48" t="str">
        <x:v>证据不足</x:v>
      </x:c>
      <x:c r="Y22" s="64"/>
      <x:c r="Z22" s="64" t="str">
        <x:v>未复核</x:v>
      </x:c>
      <x:c r="AA22" s="64" t="str">
        <x:v>不足</x:v>
      </x:c>
      <x:c r="AB22" s="64" t="str">
        <x:v>有效</x:v>
      </x:c>
      <x:c r="AC22" s="64" t="str">
        <x:v>部分核验</x:v>
      </x:c>
      <x:c r="AD22" s="64" t="str">
        <x:v>自动默认</x:v>
      </x:c>
      <x:c r="AE22" s="64" t="str">
        <x:v>候选池</x:v>
      </x:c>
      <x:c r="AF22" s="64" t="str">
        <x:v>B_证据不足</x:v>
      </x:c>
      <x:c r="AG22" s="64"/>
      <x:c r="AH22" s="64"/>
      <x:c r="AI22" s="64"/>
      <x:c r="AJ22" s="64"/>
      <x:c r="AK22" s="64"/>
      <x:c r="AL22" s="64"/>
      <x:c r="AM22" s="64"/>
      <x:c r="AN22" s="48" t="str">
        <x:v>97</x:v>
      </x:c>
      <x:c r="AO22" s="48" t="str">
        <x:v>MAP_无法判断+EVIDENCE_INSUFFICIENCY_SIGNAL</x:v>
      </x:c>
      <x:c r="AP22" s="48" t="str">
        <x:v>需人工区分证据不足、材料缺失或尚未审核；命中证据不足候选词：无法判断；已列依据来源，但未在本阶段逐条核验</x:v>
      </x:c>
      <x:c r="AQ22" s="64"/>
      <x:c r="AR22" s="48" t="str">
        <x:v>noise_emission_standard</x:v>
      </x:c>
      <x:c r="AS22" s="48" t="str">
        <x:v>L2_application</x:v>
      </x:c>
      <x:c r="AT22" s="48" t="str">
        <x:v>rule_applicability</x:v>
      </x:c>
      <x:c r="AU22" s="48" t="str">
        <x:v>basis_grounding</x:v>
      </x:c>
      <x:c r="AV22" s="48" t="str">
        <x:v>report_grounding</x:v>
      </x:c>
      <x:c r="AW22" s="48" t="str">
        <x:v>high</x:v>
      </x:c>
      <x:c r="AX22" s="48" t="str">
        <x:v>medium</x:v>
      </x:c>
      <x:c r="AY22" s="48" t="str">
        <x:v>report_plus_external</x:v>
      </x:c>
      <x:c r="AZ22" s="48" t="str">
        <x:v>True</x:v>
      </x:c>
      <x:c r="BA22" s="48"/>
      <x:c r="BB22" s="48" t="str">
        <x:v>auto_default</x:v>
      </x:c>
      <x:c r="BC22" s="48" t="str">
        <x:v>v1</x:v>
      </x:c>
      <x:c r="BD22" s="68"/>
    </x:row>
    <x:row r="23" ht="36" customHeight="1">
      <x:c r="A23" s="47" t="str">
        <x:v>2026-07-24</x:v>
      </x:c>
      <x:c r="B23" s="48" t="str">
        <x:v>PL020</x:v>
      </x:c>
      <x:c r="C23" s="48" t="str">
        <x:v>V01</x:v>
      </x:c>
      <x:c r="D23" s="48" t="str">
        <x:v>PL020_佛山市朗信塑料制品有限公司新建项目</x:v>
      </x:c>
      <x:c r="E23" s="48" t="str">
        <x:v>佛山市朗信塑料制品有限公司新建项目</x:v>
      </x:c>
      <x:c r="F23" s="48" t="str">
        <x:v>PL020_V01_Q03</x:v>
      </x:c>
      <x:c r="G23" s="48" t="str">
        <x:v>环评投资核算</x:v>
      </x:c>
      <x:c r="H23" s="48" t="str">
        <x:v>请根据报告中的总投资、环保投资和环保工程投资明细，判断环保投资核算是否前后一致、比例是否正确。</x:v>
      </x:c>
      <x:c r="I23" s="48" t="str">
        <x:v>环评投资核算判定结论：需复核；具体分析：报告填报总投资为100万元、环保投资为15万元、环保投资占比为15%。按“环保投资÷总投资×100%”复算为15.00%，与报告填报值一致；但现有解析文本未检索到环保工程投资明细表，无法核对分项合计是否与环保投资一致。因此，占比计算正确，环保投资前后一致性仍需结合原报告投资明细表复核。</x:v>
      </x:c>
      <x:c r="J23" s="48" t="str">
        <x:v>一、建设项目基本情况：总投资100万元、环保投资15万元、占比15%。来源：解析文本拼接_01_001-020(4).md</x:v>
      </x:c>
      <x:c r="K23" s="48" t="str">
        <x:v>报告原文-环保投资明细表</x:v>
      </x:c>
      <x:c r="L23" s="48" t="str">
        <x:v>2</x:v>
      </x:c>
      <x:c r="M23" s="48" t="str">
        <x:v>2</x:v>
      </x:c>
      <x:c r="N23" s="48" t="str">
        <x:v>False</x:v>
      </x:c>
      <x:c r="O23" s="48" t="str">
        <x:v>需复核</x:v>
      </x:c>
      <x:c r="P23" s="48"/>
      <x:c r="Q23" s="48"/>
      <x:c r="R23" s="48"/>
      <x:c r="S23" s="48" t="str">
        <x:v>是</x:v>
      </x:c>
      <x:c r="T23" s="48"/>
      <x:c r="U23" s="48" t="str">
        <x:v>30个PL_环评投资核算QA</x:v>
      </x:c>
      <x:c r="V23" s="48" t="str">
        <x:v>环评投资概算</x:v>
      </x:c>
      <x:c r="W23" s="48" t="str">
        <x:v>需复核</x:v>
      </x:c>
      <x:c r="X23" s="48" t="str">
        <x:v>证据不足</x:v>
      </x:c>
      <x:c r="Y23" s="64"/>
      <x:c r="Z23" s="64" t="str">
        <x:v>未复核</x:v>
      </x:c>
      <x:c r="AA23" s="64" t="str">
        <x:v>不足</x:v>
      </x:c>
      <x:c r="AB23" s="64" t="str">
        <x:v>有效</x:v>
      </x:c>
      <x:c r="AC23" s="64" t="str">
        <x:v>不需要外部依据</x:v>
      </x:c>
      <x:c r="AD23" s="64" t="str">
        <x:v>自动默认</x:v>
      </x:c>
      <x:c r="AE23" s="64" t="str">
        <x:v>候选池</x:v>
      </x:c>
      <x:c r="AF23" s="64" t="str">
        <x:v>B_证据不足</x:v>
      </x:c>
      <x:c r="AG23" s="64"/>
      <x:c r="AH23" s="64"/>
      <x:c r="AI23" s="64"/>
      <x:c r="AJ23" s="64"/>
      <x:c r="AK23" s="64"/>
      <x:c r="AL23" s="64"/>
      <x:c r="AM23" s="64"/>
      <x:c r="AN23" s="48" t="str">
        <x:v>100</x:v>
      </x:c>
      <x:c r="AO23" s="48" t="str">
        <x:v>MAP_需复核+EVIDENCE_INSUFFICIENCY_SIGNAL</x:v>
      </x:c>
      <x:c r="AP23" s="48" t="str">
        <x:v>原结论明确要求人工复核；命中证据不足候选词：未检索到、无法核对；投资复核主要依据报告内金额与算式</x:v>
      </x:c>
      <x:c r="AQ23" s="64"/>
      <x:c r="AR23" s="48" t="str">
        <x:v>environmental_investment</x:v>
      </x:c>
      <x:c r="AS23" s="48" t="str">
        <x:v>L2_application</x:v>
      </x:c>
      <x:c r="AT23" s="48" t="str">
        <x:v>quantitative_verification</x:v>
      </x:c>
      <x:c r="AU23" s="48" t="str">
        <x:v>numerical_accuracy</x:v>
      </x:c>
      <x:c r="AV23" s="48" t="str">
        <x:v>report_grounding；procedural_reasoning</x:v>
      </x:c>
      <x:c r="AW23" s="48" t="str">
        <x:v>low</x:v>
      </x:c>
      <x:c r="AX23" s="48" t="str">
        <x:v>medium</x:v>
      </x:c>
      <x:c r="AY23" s="48" t="str">
        <x:v>cross_section</x:v>
      </x:c>
      <x:c r="AZ23" s="48" t="str">
        <x:v>True</x:v>
      </x:c>
      <x:c r="BA23" s="48"/>
      <x:c r="BB23" s="48" t="str">
        <x:v>auto_default</x:v>
      </x:c>
      <x:c r="BC23" s="48" t="str">
        <x:v>v1</x:v>
      </x:c>
      <x:c r="BD23" s="68"/>
    </x:row>
    <x:row r="24" ht="36" customHeight="1">
      <x:c r="A24" s="47" t="str">
        <x:v>2026-07-27</x:v>
      </x:c>
      <x:c r="B24" s="48" t="str">
        <x:v>PL021</x:v>
      </x:c>
      <x:c r="C24" s="48" t="str">
        <x:v>V01</x:v>
      </x:c>
      <x:c r="D24" s="48" t="str">
        <x:v>PL021_佛山市顺德区共诺电子元件厂搬迁项目_01_受理公告或公示版.pdf</x:v>
      </x:c>
      <x:c r="E24" s="48" t="str">
        <x:v>佛山市顺德区共诺电子元件厂搬迁项目</x:v>
      </x:c>
      <x:c r="F24" s="48" t="str">
        <x:v>PL021_Emission_大气</x:v>
      </x:c>
      <x:c r="G24" s="48" t="str">
        <x:v>污染物排放标准-大气污染物排放标准</x:v>
      </x:c>
      <x:c r="H24" s="48" t="str">
        <x:v>请根据项目行业类别、生产工艺和污染因子，判断大气污染物排放标准选取是否合理。要求分析：污染源覆盖是否完整（列出所有大气污染源及对应标准），是否存在缺漏的污染源或标准。</x:v>
      </x:c>
      <x:c r="I24" s="48" t="str">
        <x:v>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x:v>
      </x:c>
      <x:c r="J24" s="48" t="str">
        <x:v>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x:v>
      </x:c>
      <x:c r="K24" s="48" t="str">
        <x:v>emission-standard-kb.jsonl; DB44/26-2001; DB44/2367-2022; GB31572-2015; GB14554-93; GB12348-2008; GB18597-2023; GB18599-2020</x:v>
      </x:c>
      <x:c r="L24" s="48" t="str">
        <x:v>2</x:v>
      </x:c>
      <x:c r="M24" s="48" t="str">
        <x:v>2</x:v>
      </x:c>
      <x:c r="N24" s="48" t="str">
        <x:v>False</x:v>
      </x:c>
      <x:c r="O24" s="48" t="str">
        <x:v>存在缺漏</x:v>
      </x:c>
      <x:c r="P24"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24" s="48"/>
      <x:c r="R24" s="48"/>
      <x:c r="S24" s="48" t="str">
        <x:v>是</x:v>
      </x:c>
      <x:c r="T24" s="48" t="str">
        <x:v>原综合排放标准问答对拆分而来</x:v>
      </x:c>
      <x:c r="U24" s="48" t="str">
        <x:v>30份环评_污染物排放控制执行标准复核QA(拆分版)</x:v>
      </x:c>
      <x:c r="V24" s="48" t="str">
        <x:v>大气污染物排放标准</x:v>
      </x:c>
      <x:c r="W24" s="48" t="str">
        <x:v>存在缺漏</x:v>
      </x:c>
      <x:c r="X24" s="48" t="str">
        <x:v>存在缺漏</x:v>
      </x:c>
      <x:c r="Y24" s="64"/>
      <x:c r="Z24" s="64" t="str">
        <x:v>未复核</x:v>
      </x:c>
      <x:c r="AA24" s="64" t="str">
        <x:v>不足</x:v>
      </x:c>
      <x:c r="AB24" s="64" t="str">
        <x:v>有效</x:v>
      </x:c>
      <x:c r="AC24" s="64" t="str">
        <x:v>部分核验</x:v>
      </x:c>
      <x:c r="AD24" s="64" t="str">
        <x:v>自动默认</x:v>
      </x:c>
      <x:c r="AE24" s="64" t="str">
        <x:v>候选池</x:v>
      </x:c>
      <x:c r="AF24" s="64" t="str">
        <x:v>B_证据不足</x:v>
      </x:c>
      <x:c r="AG24" s="64"/>
      <x:c r="AH24" s="64"/>
      <x:c r="AI24" s="64"/>
      <x:c r="AJ24" s="64"/>
      <x:c r="AK24" s="64"/>
      <x:c r="AL24" s="64"/>
      <x:c r="AM24" s="64"/>
      <x:c r="AN24" s="48" t="str">
        <x:v>110</x:v>
      </x:c>
      <x:c r="AO24" s="48" t="str">
        <x:v>MAP_存在缺漏</x:v>
      </x:c>
      <x:c r="AP24" s="48" t="str">
        <x:v>命中证据不足候选词：无法确认；已列依据来源，但未在本阶段逐条核验</x:v>
      </x:c>
      <x:c r="AQ24" s="64"/>
      <x:c r="AR24" s="48" t="str">
        <x:v>air_emission_standard</x:v>
      </x:c>
      <x:c r="AS24" s="48" t="str">
        <x:v>L3_analysis</x:v>
      </x:c>
      <x:c r="AT24" s="48" t="str">
        <x:v>multi_evidence_synthesis</x:v>
      </x:c>
      <x:c r="AU24" s="48" t="str">
        <x:v>basis_grounding</x:v>
      </x:c>
      <x:c r="AV24" s="48" t="str">
        <x:v>report_grounding；evidence_integration</x:v>
      </x:c>
      <x:c r="AW24" s="48" t="str">
        <x:v>high</x:v>
      </x:c>
      <x:c r="AX24" s="48" t="str">
        <x:v>high</x:v>
      </x:c>
      <x:c r="AY24" s="48" t="str">
        <x:v>report_plus_external</x:v>
      </x:c>
      <x:c r="AZ24" s="48" t="str">
        <x:v>True</x:v>
      </x:c>
      <x:c r="BA24" s="48"/>
      <x:c r="BB24" s="48" t="str">
        <x:v>auto_default</x:v>
      </x:c>
      <x:c r="BC24" s="48" t="str">
        <x:v>v1</x:v>
      </x:c>
      <x:c r="BD24" s="68"/>
    </x:row>
    <x:row r="25" ht="36" customHeight="1">
      <x:c r="A25" s="47" t="str">
        <x:v>2026-07-24</x:v>
      </x:c>
      <x:c r="B25" s="48" t="str">
        <x:v>PL022</x:v>
      </x:c>
      <x:c r="C25" s="48" t="str">
        <x:v>V01</x:v>
      </x:c>
      <x:c r="D25" s="48" t="str">
        <x:v>PL022_佛山市锐拓新材料有限公司新建项目</x:v>
      </x:c>
      <x:c r="E25" s="48" t="str">
        <x:v>佛山市锐拓新材料有限公司新建项目</x:v>
      </x:c>
      <x:c r="F25" s="48" t="str">
        <x:v>PL022_V01_Q03</x:v>
      </x:c>
      <x:c r="G25" s="48" t="str">
        <x:v>环评投资核算</x:v>
      </x:c>
      <x:c r="H25" s="48" t="str">
        <x:v>请根据报告中的总投资、环保投资和环保工程投资明细，判断环保投资核算是否前后一致、比例是否正确。</x:v>
      </x:c>
      <x:c r="I25" s="48"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25" s="48" t="str">
        <x:v>一、建设项目基本情况：总投资100万元、环保投资10万元、占比10%。来源：解析文本拼接_02_021-040(3).md</x:v>
      </x:c>
      <x:c r="K25" s="48" t="str">
        <x:v>报告原文-环保投资明细表</x:v>
      </x:c>
      <x:c r="L25" s="48" t="str">
        <x:v>2</x:v>
      </x:c>
      <x:c r="M25" s="48" t="str">
        <x:v>2</x:v>
      </x:c>
      <x:c r="N25" s="48" t="str">
        <x:v>False</x:v>
      </x:c>
      <x:c r="O25" s="48" t="str">
        <x:v>需复核</x:v>
      </x:c>
      <x:c r="P25" s="48"/>
      <x:c r="Q25" s="48"/>
      <x:c r="R25" s="48"/>
      <x:c r="S25" s="48" t="str">
        <x:v>是</x:v>
      </x:c>
      <x:c r="T25" s="48"/>
      <x:c r="U25" s="48" t="str">
        <x:v>30个PL_环评投资核算QA</x:v>
      </x:c>
      <x:c r="V25" s="48" t="str">
        <x:v>环评投资概算</x:v>
      </x:c>
      <x:c r="W25" s="48" t="str">
        <x:v>需复核</x:v>
      </x:c>
      <x:c r="X25" s="48" t="str">
        <x:v>证据不足</x:v>
      </x:c>
      <x:c r="Y25" s="64"/>
      <x:c r="Z25" s="64" t="str">
        <x:v>未复核</x:v>
      </x:c>
      <x:c r="AA25" s="64" t="str">
        <x:v>不足</x:v>
      </x:c>
      <x:c r="AB25" s="64" t="str">
        <x:v>有效</x:v>
      </x:c>
      <x:c r="AC25" s="64" t="str">
        <x:v>不需要外部依据</x:v>
      </x:c>
      <x:c r="AD25" s="64" t="str">
        <x:v>自动默认</x:v>
      </x:c>
      <x:c r="AE25" s="64" t="str">
        <x:v>候选池</x:v>
      </x:c>
      <x:c r="AF25" s="64" t="str">
        <x:v>B_证据不足</x:v>
      </x:c>
      <x:c r="AG25" s="64"/>
      <x:c r="AH25" s="64"/>
      <x:c r="AI25" s="64"/>
      <x:c r="AJ25" s="64"/>
      <x:c r="AK25" s="64"/>
      <x:c r="AL25" s="64"/>
      <x:c r="AM25" s="64"/>
      <x:c r="AN25" s="48" t="str">
        <x:v>114</x:v>
      </x:c>
      <x:c r="AO25" s="48" t="str">
        <x:v>MAP_需复核+EVIDENCE_INSUFFICIENCY_SIGNAL</x:v>
      </x:c>
      <x:c r="AP25" s="48" t="str">
        <x:v>原结论明确要求人工复核；命中证据不足候选词：未检索到、无法核对；投资复核主要依据报告内金额与算式</x:v>
      </x:c>
      <x:c r="AQ25" s="64"/>
      <x:c r="AR25" s="48" t="str">
        <x:v>environmental_investment</x:v>
      </x:c>
      <x:c r="AS25" s="48" t="str">
        <x:v>L2_application</x:v>
      </x:c>
      <x:c r="AT25" s="48" t="str">
        <x:v>quantitative_verification</x:v>
      </x:c>
      <x:c r="AU25" s="48" t="str">
        <x:v>numerical_accuracy</x:v>
      </x:c>
      <x:c r="AV25" s="48" t="str">
        <x:v>report_grounding；procedural_reasoning</x:v>
      </x:c>
      <x:c r="AW25" s="48" t="str">
        <x:v>low</x:v>
      </x:c>
      <x:c r="AX25" s="48" t="str">
        <x:v>medium</x:v>
      </x:c>
      <x:c r="AY25" s="48" t="str">
        <x:v>cross_section</x:v>
      </x:c>
      <x:c r="AZ25" s="48" t="str">
        <x:v>True</x:v>
      </x:c>
      <x:c r="BA25" s="48"/>
      <x:c r="BB25" s="48" t="str">
        <x:v>auto_default</x:v>
      </x:c>
      <x:c r="BC25" s="48" t="str">
        <x:v>v1</x:v>
      </x:c>
      <x:c r="BD25" s="68"/>
    </x:row>
    <x:row r="26" ht="36" customHeight="1">
      <x:c r="A26" s="47" t="str">
        <x:v>2026-07-24</x:v>
      </x:c>
      <x:c r="B26" s="48" t="str">
        <x:v>PL025</x:v>
      </x:c>
      <x:c r="C26" s="48" t="str">
        <x:v>V01</x:v>
      </x:c>
      <x:c r="D26" s="48" t="str">
        <x:v>PL025_佛山市巨人电器有限公司新建项目</x:v>
      </x:c>
      <x:c r="E26" s="48" t="str">
        <x:v>佛山市巨人电器有限公司新建项目</x:v>
      </x:c>
      <x:c r="F26" s="48" t="str">
        <x:v>PL025_V01_Q03</x:v>
      </x:c>
      <x:c r="G26" s="48" t="str">
        <x:v>环评投资核算</x:v>
      </x:c>
      <x:c r="H26" s="48" t="str">
        <x:v>请根据报告中的总投资、环保投资和环保工程投资明细，判断环保投资核算是否前后一致、比例是否正确。</x:v>
      </x:c>
      <x:c r="I26" s="48" t="str">
        <x:v>环评投资核算判定结论：需复核；具体分析：报告显示环保投资占比为15%，表4-23 环境保护工程措施投资分项合计为15万元。由于基本情况表总投资、环保投资已脱敏，无法按“环保投资÷总投资×100%”复算占比，也无法完整核对基本情况表与环保投资明细是否一致；不得依据占比倒推缺失金额，需查阅未脱敏原报告。</x:v>
      </x:c>
      <x:c r="J26" s="48" t="str">
        <x:v>一、建设项目基本情况；表4-23：占比15%；分项合计15万元。来源：解析文本拼接_02_021-040(3).md</x:v>
      </x:c>
      <x:c r="K26" s="48" t="str">
        <x:v>报告原文-环保投资明细表</x:v>
      </x:c>
      <x:c r="L26" s="48" t="str">
        <x:v>2</x:v>
      </x:c>
      <x:c r="M26" s="48" t="str">
        <x:v>2</x:v>
      </x:c>
      <x:c r="N26" s="48" t="str">
        <x:v>False</x:v>
      </x:c>
      <x:c r="O26" s="48" t="str">
        <x:v>需复核</x:v>
      </x:c>
      <x:c r="P26" s="48"/>
      <x:c r="Q26" s="48"/>
      <x:c r="R26" s="48"/>
      <x:c r="S26" s="48" t="str">
        <x:v>是</x:v>
      </x:c>
      <x:c r="T26" s="48"/>
      <x:c r="U26" s="48" t="str">
        <x:v>30个PL_环评投资核算QA</x:v>
      </x:c>
      <x:c r="V26" s="48" t="str">
        <x:v>环评投资概算</x:v>
      </x:c>
      <x:c r="W26" s="48" t="str">
        <x:v>需复核</x:v>
      </x:c>
      <x:c r="X26" s="48" t="str">
        <x:v>需人工复核</x:v>
      </x:c>
      <x:c r="Y26" s="64"/>
      <x:c r="Z26" s="64" t="str">
        <x:v>未复核</x:v>
      </x:c>
      <x:c r="AA26" s="64" t="str">
        <x:v>部分充分</x:v>
      </x:c>
      <x:c r="AB26" s="64" t="str">
        <x:v>有效</x:v>
      </x:c>
      <x:c r="AC26" s="64" t="str">
        <x:v>不需要外部依据</x:v>
      </x:c>
      <x:c r="AD26" s="64" t="str">
        <x:v>自动默认</x:v>
      </x:c>
      <x:c r="AE26" s="64" t="str">
        <x:v>候选池</x:v>
      </x:c>
      <x:c r="AF26" s="64" t="str">
        <x:v>B_证据不足</x:v>
      </x:c>
      <x:c r="AG26" s="64"/>
      <x:c r="AH26" s="64"/>
      <x:c r="AI26" s="64"/>
      <x:c r="AJ26" s="64"/>
      <x:c r="AK26" s="64"/>
      <x:c r="AL26" s="64"/>
      <x:c r="AM26" s="64"/>
      <x:c r="AN26" s="48" t="str">
        <x:v>128</x:v>
      </x:c>
      <x:c r="AO26" s="48" t="str">
        <x:v>MAP_需复核</x:v>
      </x:c>
      <x:c r="AP26" s="48" t="str">
        <x:v>原结论明确要求人工复核；存在报告证据，但尚未经人工逐项核验；投资复核主要依据报告内金额与算式</x:v>
      </x:c>
      <x:c r="AQ26" s="64"/>
      <x:c r="AR26" s="48" t="str">
        <x:v>environmental_investment</x:v>
      </x:c>
      <x:c r="AS26" s="48" t="str">
        <x:v>L2_application</x:v>
      </x:c>
      <x:c r="AT26" s="48" t="str">
        <x:v>quantitative_verification</x:v>
      </x:c>
      <x:c r="AU26" s="48" t="str">
        <x:v>numerical_accuracy</x:v>
      </x:c>
      <x:c r="AV26" s="48" t="str">
        <x:v>report_grounding；procedural_reasoning</x:v>
      </x:c>
      <x:c r="AW26" s="48" t="str">
        <x:v>low</x:v>
      </x:c>
      <x:c r="AX26" s="48" t="str">
        <x:v>medium</x:v>
      </x:c>
      <x:c r="AY26" s="48" t="str">
        <x:v>cross_section</x:v>
      </x:c>
      <x:c r="AZ26" s="48" t="str">
        <x:v>True</x:v>
      </x:c>
      <x:c r="BA26" s="48"/>
      <x:c r="BB26" s="48" t="str">
        <x:v>auto_default</x:v>
      </x:c>
      <x:c r="BC26" s="48" t="str">
        <x:v>v1</x:v>
      </x:c>
      <x:c r="BD26" s="68"/>
    </x:row>
    <x:row r="27" ht="36" customHeight="1">
      <x:c r="A27" s="47" t="str">
        <x:v>2026-07-24</x:v>
      </x:c>
      <x:c r="B27" s="48" t="str">
        <x:v>PL026</x:v>
      </x:c>
      <x:c r="C27" s="48" t="str">
        <x:v>V01</x:v>
      </x:c>
      <x:c r="D27" s="48" t="str">
        <x:v>PL026_佛山市黑曜电器科技有限公司新建项目</x:v>
      </x:c>
      <x:c r="E27" s="48" t="str">
        <x:v>佛山市黑曜电器科技有限公司新建项目</x:v>
      </x:c>
      <x:c r="F27" s="48" t="str">
        <x:v>PL026_V01_Q03</x:v>
      </x:c>
      <x:c r="G27" s="48" t="str">
        <x:v>环评投资核算</x:v>
      </x:c>
      <x:c r="H27" s="48" t="str">
        <x:v>请根据报告中的总投资、环保投资和环保工程投资明细，判断环保投资核算是否前后一致、比例是否正确。</x:v>
      </x:c>
      <x:c r="I27" s="48" t="str">
        <x:v>环评投资核算判定结论：需复核；具体分析：报告填报总投资为30万元、环保投资为10万元、环保投资占比为33.3%。按“环保投资÷总投资×100%”复算为33.33%，与报告填报值一致；但现有解析文本未检索到环保工程投资明细表，无法核对分项合计是否与环保投资一致。因此，占比计算正确，环保投资前后一致性仍需结合原报告投资明细表复核。</x:v>
      </x:c>
      <x:c r="J27" s="48" t="str">
        <x:v>一、建设项目基本情况：总投资30万元、环保投资10万元、占比33.3%。来源：解析文本拼接_02_021-040(3).md</x:v>
      </x:c>
      <x:c r="K27" s="48" t="str">
        <x:v>报告原文-环保投资明细表</x:v>
      </x:c>
      <x:c r="L27" s="48" t="str">
        <x:v>2</x:v>
      </x:c>
      <x:c r="M27" s="48" t="str">
        <x:v>2</x:v>
      </x:c>
      <x:c r="N27" s="48" t="str">
        <x:v>False</x:v>
      </x:c>
      <x:c r="O27" s="48" t="str">
        <x:v>需复核</x:v>
      </x:c>
      <x:c r="P27" s="48"/>
      <x:c r="Q27" s="48"/>
      <x:c r="R27" s="48"/>
      <x:c r="S27" s="48" t="str">
        <x:v>是</x:v>
      </x:c>
      <x:c r="T27" s="48"/>
      <x:c r="U27" s="48" t="str">
        <x:v>30个PL_环评投资核算QA</x:v>
      </x:c>
      <x:c r="V27" s="48" t="str">
        <x:v>环评投资概算</x:v>
      </x:c>
      <x:c r="W27" s="48" t="str">
        <x:v>需复核</x:v>
      </x:c>
      <x:c r="X27" s="48" t="str">
        <x:v>证据不足</x:v>
      </x:c>
      <x:c r="Y27" s="64"/>
      <x:c r="Z27" s="64" t="str">
        <x:v>未复核</x:v>
      </x:c>
      <x:c r="AA27" s="64" t="str">
        <x:v>不足</x:v>
      </x:c>
      <x:c r="AB27" s="64" t="str">
        <x:v>有效</x:v>
      </x:c>
      <x:c r="AC27" s="64" t="str">
        <x:v>不需要外部依据</x:v>
      </x:c>
      <x:c r="AD27" s="64" t="str">
        <x:v>自动默认</x:v>
      </x:c>
      <x:c r="AE27" s="64" t="str">
        <x:v>候选池</x:v>
      </x:c>
      <x:c r="AF27" s="64" t="str">
        <x:v>B_证据不足</x:v>
      </x:c>
      <x:c r="AG27" s="64"/>
      <x:c r="AH27" s="64"/>
      <x:c r="AI27" s="64"/>
      <x:c r="AJ27" s="64"/>
      <x:c r="AK27" s="64"/>
      <x:c r="AL27" s="64"/>
      <x:c r="AM27" s="64"/>
      <x:c r="AN27" s="48" t="str">
        <x:v>135</x:v>
      </x:c>
      <x:c r="AO27" s="48" t="str">
        <x:v>MAP_需复核+EVIDENCE_INSUFFICIENCY_SIGNAL</x:v>
      </x:c>
      <x:c r="AP27" s="48" t="str">
        <x:v>原结论明确要求人工复核；命中证据不足候选词：未检索到、无法核对；投资复核主要依据报告内金额与算式</x:v>
      </x:c>
      <x:c r="AQ27" s="64"/>
      <x:c r="AR27" s="48" t="str">
        <x:v>environmental_investment</x:v>
      </x:c>
      <x:c r="AS27" s="48" t="str">
        <x:v>L2_application</x:v>
      </x:c>
      <x:c r="AT27" s="48" t="str">
        <x:v>quantitative_verification</x:v>
      </x:c>
      <x:c r="AU27" s="48" t="str">
        <x:v>numerical_accuracy</x:v>
      </x:c>
      <x:c r="AV27" s="48" t="str">
        <x:v>report_grounding；procedural_reasoning</x:v>
      </x:c>
      <x:c r="AW27" s="48" t="str">
        <x:v>low</x:v>
      </x:c>
      <x:c r="AX27" s="48" t="str">
        <x:v>medium</x:v>
      </x:c>
      <x:c r="AY27" s="48" t="str">
        <x:v>cross_section</x:v>
      </x:c>
      <x:c r="AZ27" s="48" t="str">
        <x:v>True</x:v>
      </x:c>
      <x:c r="BA27" s="48"/>
      <x:c r="BB27" s="48" t="str">
        <x:v>auto_default</x:v>
      </x:c>
      <x:c r="BC27" s="48" t="str">
        <x:v>v1</x:v>
      </x:c>
      <x:c r="BD27" s="68"/>
    </x:row>
    <x:row r="28" ht="36" customHeight="1">
      <x:c r="A28" s="47" t="str">
        <x:v>2026-07-24</x:v>
      </x:c>
      <x:c r="B28" s="48" t="str">
        <x:v>PL028</x:v>
      </x:c>
      <x:c r="C28" s="48" t="str">
        <x:v>V01</x:v>
      </x:c>
      <x:c r="D28" s="48" t="str">
        <x:v>PL028_佛山市顺德区振峰塑料模具制造有限公司分车间新建项目</x:v>
      </x:c>
      <x:c r="E28" s="48" t="str">
        <x:v>佛山市顺德区振峰塑料模具制造有限公司分车间新建项目</x:v>
      </x:c>
      <x:c r="F28" s="48" t="str">
        <x:v>PL028_V01_Q03</x:v>
      </x:c>
      <x:c r="G28" s="48" t="str">
        <x:v>环评投资核算</x:v>
      </x:c>
      <x:c r="H28" s="48" t="str">
        <x:v>请根据报告中的总投资、环保投资和环保工程投资明细，判断环保投资核算是否前后一致、比例是否正确。</x:v>
      </x:c>
      <x:c r="I28" s="48" t="str">
        <x:v>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x:v>
      </x:c>
      <x:c r="J28" s="48" t="str">
        <x:v>一、建设项目基本情况；表2-11：分项合计20万元。来源：解析文本拼接_02_021-040(3).md</x:v>
      </x:c>
      <x:c r="K28" s="48" t="str">
        <x:v>报告原文-环保投资明细表</x:v>
      </x:c>
      <x:c r="L28" s="48" t="str">
        <x:v>2</x:v>
      </x:c>
      <x:c r="M28" s="48" t="str">
        <x:v>2</x:v>
      </x:c>
      <x:c r="N28" s="48" t="str">
        <x:v>False</x:v>
      </x:c>
      <x:c r="O28" s="48" t="str">
        <x:v>需复核</x:v>
      </x:c>
      <x:c r="P28" s="48"/>
      <x:c r="Q28" s="48"/>
      <x:c r="R28" s="48"/>
      <x:c r="S28" s="48" t="str">
        <x:v>是</x:v>
      </x:c>
      <x:c r="T28" s="48"/>
      <x:c r="U28" s="48" t="str">
        <x:v>30个PL_环评投资核算QA</x:v>
      </x:c>
      <x:c r="V28" s="48" t="str">
        <x:v>环评投资概算</x:v>
      </x:c>
      <x:c r="W28" s="48" t="str">
        <x:v>需复核</x:v>
      </x:c>
      <x:c r="X28" s="48" t="str">
        <x:v>需人工复核</x:v>
      </x:c>
      <x:c r="Y28" s="64"/>
      <x:c r="Z28" s="64" t="str">
        <x:v>未复核</x:v>
      </x:c>
      <x:c r="AA28" s="64" t="str">
        <x:v>部分充分</x:v>
      </x:c>
      <x:c r="AB28" s="64" t="str">
        <x:v>有效</x:v>
      </x:c>
      <x:c r="AC28" s="64" t="str">
        <x:v>不需要外部依据</x:v>
      </x:c>
      <x:c r="AD28" s="64" t="str">
        <x:v>自动默认</x:v>
      </x:c>
      <x:c r="AE28" s="64" t="str">
        <x:v>候选池</x:v>
      </x:c>
      <x:c r="AF28" s="64" t="str">
        <x:v>B_证据不足</x:v>
      </x:c>
      <x:c r="AG28" s="64"/>
      <x:c r="AH28" s="64"/>
      <x:c r="AI28" s="64"/>
      <x:c r="AJ28" s="64"/>
      <x:c r="AK28" s="64"/>
      <x:c r="AL28" s="64"/>
      <x:c r="AM28" s="64"/>
      <x:c r="AN28" s="48" t="str">
        <x:v>149</x:v>
      </x:c>
      <x:c r="AO28" s="48" t="str">
        <x:v>MAP_需复核</x:v>
      </x:c>
      <x:c r="AP28" s="48" t="str">
        <x:v>原结论明确要求人工复核；存在报告证据，但尚未经人工逐项核验；投资复核主要依据报告内金额与算式</x:v>
      </x:c>
      <x:c r="AQ28" s="64"/>
      <x:c r="AR28" s="48" t="str">
        <x:v>environmental_investment</x:v>
      </x:c>
      <x:c r="AS28" s="48" t="str">
        <x:v>L2_application</x:v>
      </x:c>
      <x:c r="AT28" s="48" t="str">
        <x:v>quantitative_verification</x:v>
      </x:c>
      <x:c r="AU28" s="48" t="str">
        <x:v>numerical_accuracy</x:v>
      </x:c>
      <x:c r="AV28" s="48" t="str">
        <x:v>report_grounding；procedural_reasoning</x:v>
      </x:c>
      <x:c r="AW28" s="48" t="str">
        <x:v>low</x:v>
      </x:c>
      <x:c r="AX28" s="48" t="str">
        <x:v>medium</x:v>
      </x:c>
      <x:c r="AY28" s="48" t="str">
        <x:v>cross_section</x:v>
      </x:c>
      <x:c r="AZ28" s="48" t="str">
        <x:v>True</x:v>
      </x:c>
      <x:c r="BA28" s="48"/>
      <x:c r="BB28" s="48" t="str">
        <x:v>auto_default</x:v>
      </x:c>
      <x:c r="BC28" s="48" t="str">
        <x:v>v1</x:v>
      </x:c>
      <x:c r="BD28" s="68"/>
    </x:row>
    <x:row r="29" ht="36" customHeight="1">
      <x:c r="A29" s="47" t="str">
        <x:v>2026-07-24</x:v>
      </x:c>
      <x:c r="B29" s="48" t="str">
        <x:v>PL029</x:v>
      </x:c>
      <x:c r="C29" s="48" t="str">
        <x:v>V01</x:v>
      </x:c>
      <x:c r="D29" s="48" t="str">
        <x:v>PL029_佛山市茂安耀科技有限公司新建项目</x:v>
      </x:c>
      <x:c r="E29" s="48" t="str">
        <x:v>佛山市茂安耀科技有限公司新建项目</x:v>
      </x:c>
      <x:c r="F29" s="48" t="str">
        <x:v>PL029_V01_Q03</x:v>
      </x:c>
      <x:c r="G29" s="48" t="str">
        <x:v>环评投资核算</x:v>
      </x:c>
      <x:c r="H29" s="48" t="str">
        <x:v>请根据报告中的总投资、环保投资和环保工程投资明细，判断环保投资核算是否前后一致、比例是否正确。</x:v>
      </x:c>
      <x:c r="I29" s="48" t="str">
        <x:v>环评投资核算判定结论：需复核；具体分析：表2-11 建设项目环保投资一览表分项合计为20万元。由于基本情况表总投资、环保投资及占比均为空，无法按“环保投资÷总投资×100%”复算占比，也无法完整核对基本情况表与环保投资明细是否一致；不得依据占比倒推缺失金额，需查阅未脱敏原报告。</x:v>
      </x:c>
      <x:c r="J29" s="48" t="str">
        <x:v>一、建设项目基本情况；表2-11：分项合计20万元。来源：解析文本拼接_02_021-040(3).md</x:v>
      </x:c>
      <x:c r="K29" s="48" t="str">
        <x:v>报告原文-环保投资明细表</x:v>
      </x:c>
      <x:c r="L29" s="48" t="str">
        <x:v>2</x:v>
      </x:c>
      <x:c r="M29" s="48" t="str">
        <x:v>2</x:v>
      </x:c>
      <x:c r="N29" s="48" t="str">
        <x:v>False</x:v>
      </x:c>
      <x:c r="O29" s="48" t="str">
        <x:v>需复核</x:v>
      </x:c>
      <x:c r="P29" s="48"/>
      <x:c r="Q29" s="48"/>
      <x:c r="R29" s="48"/>
      <x:c r="S29" s="48" t="str">
        <x:v>是</x:v>
      </x:c>
      <x:c r="T29" s="48"/>
      <x:c r="U29" s="48" t="str">
        <x:v>30个PL_环评投资核算QA</x:v>
      </x:c>
      <x:c r="V29" s="48" t="str">
        <x:v>环评投资概算</x:v>
      </x:c>
      <x:c r="W29" s="48" t="str">
        <x:v>需复核</x:v>
      </x:c>
      <x:c r="X29" s="48" t="str">
        <x:v>需人工复核</x:v>
      </x:c>
      <x:c r="Y29" s="64"/>
      <x:c r="Z29" s="64" t="str">
        <x:v>未复核</x:v>
      </x:c>
      <x:c r="AA29" s="64" t="str">
        <x:v>部分充分</x:v>
      </x:c>
      <x:c r="AB29" s="64" t="str">
        <x:v>有效</x:v>
      </x:c>
      <x:c r="AC29" s="64" t="str">
        <x:v>不需要外部依据</x:v>
      </x:c>
      <x:c r="AD29" s="64" t="str">
        <x:v>自动默认</x:v>
      </x:c>
      <x:c r="AE29" s="64" t="str">
        <x:v>候选池</x:v>
      </x:c>
      <x:c r="AF29" s="64" t="str">
        <x:v>B_证据不足</x:v>
      </x:c>
      <x:c r="AG29" s="64"/>
      <x:c r="AH29" s="64"/>
      <x:c r="AI29" s="64"/>
      <x:c r="AJ29" s="64"/>
      <x:c r="AK29" s="64"/>
      <x:c r="AL29" s="64"/>
      <x:c r="AM29" s="64"/>
      <x:c r="AN29" s="48" t="str">
        <x:v>156</x:v>
      </x:c>
      <x:c r="AO29" s="48" t="str">
        <x:v>MAP_需复核</x:v>
      </x:c>
      <x:c r="AP29" s="48" t="str">
        <x:v>原结论明确要求人工复核；存在报告证据，但尚未经人工逐项核验；投资复核主要依据报告内金额与算式</x:v>
      </x:c>
      <x:c r="AQ29" s="64"/>
      <x:c r="AR29" s="48" t="str">
        <x:v>environmental_investment</x:v>
      </x:c>
      <x:c r="AS29" s="48" t="str">
        <x:v>L2_application</x:v>
      </x:c>
      <x:c r="AT29" s="48" t="str">
        <x:v>quantitative_verification</x:v>
      </x:c>
      <x:c r="AU29" s="48" t="str">
        <x:v>numerical_accuracy</x:v>
      </x:c>
      <x:c r="AV29" s="48" t="str">
        <x:v>report_grounding；procedural_reasoning</x:v>
      </x:c>
      <x:c r="AW29" s="48" t="str">
        <x:v>low</x:v>
      </x:c>
      <x:c r="AX29" s="48" t="str">
        <x:v>medium</x:v>
      </x:c>
      <x:c r="AY29" s="48" t="str">
        <x:v>cross_section</x:v>
      </x:c>
      <x:c r="AZ29" s="48" t="str">
        <x:v>True</x:v>
      </x:c>
      <x:c r="BA29" s="48"/>
      <x:c r="BB29" s="48" t="str">
        <x:v>auto_default</x:v>
      </x:c>
      <x:c r="BC29" s="48" t="str">
        <x:v>v1</x:v>
      </x:c>
      <x:c r="BD29" s="68"/>
    </x:row>
    <x:row r="30" ht="36" customHeight="1">
      <x:c r="A30" s="47" t="str">
        <x:v>2026-07-24</x:v>
      </x:c>
      <x:c r="B30" s="48" t="str">
        <x:v>PL032</x:v>
      </x:c>
      <x:c r="C30" s="48" t="str">
        <x:v>V01</x:v>
      </x:c>
      <x:c r="D30" s="48" t="str">
        <x:v>PL032_德旺众新材料科技（佛山）有限公司新建建设项目</x:v>
      </x:c>
      <x:c r="E30" s="48" t="str">
        <x:v>德旺众新材料科技（佛山）有限公司新建建设项目</x:v>
      </x:c>
      <x:c r="F30" s="48" t="str">
        <x:v>PL032_V01_Q03</x:v>
      </x:c>
      <x:c r="G30" s="48" t="str">
        <x:v>环评投资核算</x:v>
      </x:c>
      <x:c r="H30" s="48" t="str">
        <x:v>请根据报告中的总投资、环保投资和环保工程投资明细，判断环保投资核算是否前后一致、比例是否正确。</x:v>
      </x:c>
      <x:c r="I30" s="48" t="str">
        <x:v>环评投资核算判定结论：需复核；具体分析：报告显示环保投资占比为15%。由于总投资、环保投资已脱敏，且未检索到环保工程投资明细表，无法按“环保投资÷总投资×100%”复算占比，也无法完整核对基本情况表与环保投资明细是否一致；不得依据占比倒推缺失金额，需查阅未脱敏原报告。</x:v>
      </x:c>
      <x:c r="J30" s="48" t="str">
        <x:v>一、建设项目基本情况：占比15%。来源：解析文本拼接_02_021-040(3).md</x:v>
      </x:c>
      <x:c r="K30" s="48" t="str">
        <x:v>报告原文-环保投资明细表</x:v>
      </x:c>
      <x:c r="L30" s="48" t="str">
        <x:v>2</x:v>
      </x:c>
      <x:c r="M30" s="48" t="str">
        <x:v>2</x:v>
      </x:c>
      <x:c r="N30" s="48" t="str">
        <x:v>False</x:v>
      </x:c>
      <x:c r="O30" s="48" t="str">
        <x:v>需复核</x:v>
      </x:c>
      <x:c r="P30" s="48"/>
      <x:c r="Q30" s="48"/>
      <x:c r="R30" s="48"/>
      <x:c r="S30" s="48" t="str">
        <x:v>是</x:v>
      </x:c>
      <x:c r="T30" s="48"/>
      <x:c r="U30" s="48" t="str">
        <x:v>30个PL_环评投资核算QA</x:v>
      </x:c>
      <x:c r="V30" s="48" t="str">
        <x:v>环评投资概算</x:v>
      </x:c>
      <x:c r="W30" s="48" t="str">
        <x:v>需复核</x:v>
      </x:c>
      <x:c r="X30" s="48" t="str">
        <x:v>证据不足</x:v>
      </x:c>
      <x:c r="Y30" s="64"/>
      <x:c r="Z30" s="64" t="str">
        <x:v>未复核</x:v>
      </x:c>
      <x:c r="AA30" s="64" t="str">
        <x:v>不足</x:v>
      </x:c>
      <x:c r="AB30" s="64" t="str">
        <x:v>有效</x:v>
      </x:c>
      <x:c r="AC30" s="64" t="str">
        <x:v>不需要外部依据</x:v>
      </x:c>
      <x:c r="AD30" s="64" t="str">
        <x:v>自动默认</x:v>
      </x:c>
      <x:c r="AE30" s="64" t="str">
        <x:v>候选池</x:v>
      </x:c>
      <x:c r="AF30" s="64" t="str">
        <x:v>B_证据不足</x:v>
      </x:c>
      <x:c r="AG30" s="64"/>
      <x:c r="AH30" s="64"/>
      <x:c r="AI30" s="64"/>
      <x:c r="AJ30" s="64"/>
      <x:c r="AK30" s="64"/>
      <x:c r="AL30" s="64"/>
      <x:c r="AM30" s="64"/>
      <x:c r="AN30" s="48" t="str">
        <x:v>177</x:v>
      </x:c>
      <x:c r="AO30" s="48" t="str">
        <x:v>MAP_需复核+EVIDENCE_INSUFFICIENCY_SIGNAL</x:v>
      </x:c>
      <x:c r="AP30" s="48" t="str">
        <x:v>原结论明确要求人工复核；命中证据不足候选词：未检索到；投资复核主要依据报告内金额与算式</x:v>
      </x:c>
      <x:c r="AQ30" s="64"/>
      <x:c r="AR30" s="48" t="str">
        <x:v>environmental_investment</x:v>
      </x:c>
      <x:c r="AS30" s="48" t="str">
        <x:v>L2_application</x:v>
      </x:c>
      <x:c r="AT30" s="48" t="str">
        <x:v>quantitative_verification</x:v>
      </x:c>
      <x:c r="AU30" s="48" t="str">
        <x:v>numerical_accuracy</x:v>
      </x:c>
      <x:c r="AV30" s="48" t="str">
        <x:v>report_grounding；procedural_reasoning</x:v>
      </x:c>
      <x:c r="AW30" s="48" t="str">
        <x:v>low</x:v>
      </x:c>
      <x:c r="AX30" s="48" t="str">
        <x:v>medium</x:v>
      </x:c>
      <x:c r="AY30" s="48" t="str">
        <x:v>cross_section</x:v>
      </x:c>
      <x:c r="AZ30" s="48" t="str">
        <x:v>True</x:v>
      </x:c>
      <x:c r="BA30" s="48"/>
      <x:c r="BB30" s="48" t="str">
        <x:v>auto_default</x:v>
      </x:c>
      <x:c r="BC30" s="48" t="str">
        <x:v>v1</x:v>
      </x:c>
      <x:c r="BD30" s="68"/>
    </x:row>
    <x:row r="31" ht="36" customHeight="1">
      <x:c r="A31" s="47" t="str">
        <x:v>2026-07-28</x:v>
      </x:c>
      <x:c r="B31" s="48" t="str">
        <x:v>PL032</x:v>
      </x:c>
      <x:c r="C31" s="48" t="str">
        <x:v>V01</x:v>
      </x:c>
      <x:c r="D31" s="48" t="str">
        <x:v>PL032_德旺众新材料科技(佛山)有限公司新建建设项目_01_受理公告或公示版.pdf</x:v>
      </x:c>
      <x:c r="E31" s="48" t="str">
        <x:v>德旺众新材料科技(佛山)有限公司新建建设项目</x:v>
      </x:c>
      <x:c r="F31" s="48" t="str">
        <x:v>PL032_EnvQuality_Q01</x:v>
      </x:c>
      <x:c r="G31" s="48" t="str">
        <x:v>大气及地表水环境质量现状数据引用</x:v>
      </x:c>
      <x:c r="H31" s="48" t="str">
        <x:v>请根据报告引用的环境质量公报及现状数据，判断大气和地表水环境质量现状数据引用是否准确。</x:v>
      </x:c>
      <x:c r="I31" s="48" t="str">
        <x:v>1、【大气环境质量引用数据无法判断，需补充大气环境质量分析内容】；
2、项目大气环境质量引用《2023年度佛山市顺德区生态环境状况公报》（佛环顺函〔2024〕44号）。因报告文本中大气环境质量分析内容不完整，暂无法核验具体数据与公报的一致性。经检索，截至审核日该地区最新的环境状况公报为《2024年度佛山市顺德区生态环境状况公报》，可供参考。
项目地表水环境质量引用《2023年度佛山市顺德区生态环境状况公报》（佛环顺函〔2024〕44号）。环评对地表水环境质量分析内容引用了海洲水道2023年水质数据，与《2023年度佛山市顺德区生态环境状况公报》中地表水环境状况描述一致。项目污水处理厂尾水受纳河道为海洲水道（均安污水处理厂），执行标准为III类，与官方登记一致。</x:v>
      </x:c>
      <x:c r="J31" s="48" t="str">
        <x:v>证据位置:大气：env_text第1435行引用2023年度公报，但大气分析内容不完整，无法核验具体数据；地表水：env_text第1503行引用佛环顺函〔2024〕44号，海洲水道2023年水质数据；均安污水处理厂尾水排入海洲水道; 大气公报:《2023年度佛山市顺德区生态环境状况公报》（佛环顺函〔2024〕44号）; 地表水资料:《2023年度佛山市顺德区生态环境状况公报》（佛环顺函〔2024〕44号）</x:v>
      </x:c>
      <x:c r="K31" s="48" t="str">
        <x:v>生态环境状况公报知识库; 收纳水体地表水执行标准</x:v>
      </x:c>
      <x:c r="L31" s="48" t="str">
        <x:v>2</x:v>
      </x:c>
      <x:c r="M31" s="48" t="str">
        <x:v>2</x:v>
      </x:c>
      <x:c r="N31" s="48" t="str">
        <x:v>False</x:v>
      </x:c>
      <x:c r="O31" s="48" t="str">
        <x:v>无法判断</x:v>
      </x:c>
      <x:c r="P31" s="48" t="str">
        <x:v>大气:无法判断; 地表水:正确; 报告日期:2024-04</x:v>
      </x:c>
      <x:c r="Q31" s="48"/>
      <x:c r="R31" s="48"/>
      <x:c r="S31" s="48" t="str">
        <x:v>是</x:v>
      </x:c>
      <x:c r="T31" s="48" t="str">
        <x:v>大气环境质量分析内容不完整，暂无法核验。地表水引用数据和污水处理厂受纳水体（海洲水道）与官方登记一致。报告公报标题使用环境质量状况公报而非官方名称生态环境状况公报，但可通过文号追溯。</x:v>
      </x:c>
      <x:c r="U31" s="48" t="str">
        <x:v>30个环评_大气及地表水环境质量现状数据引用复核QA</x:v>
      </x:c>
      <x:c r="V31" s="48" t="str">
        <x:v>环境质量数据引用</x:v>
      </x:c>
      <x:c r="W31" s="48" t="str">
        <x:v>无法判断</x:v>
      </x:c>
      <x:c r="X31" s="48" t="str">
        <x:v>证据不足</x:v>
      </x:c>
      <x:c r="Y31" s="64"/>
      <x:c r="Z31" s="64" t="str">
        <x:v>未复核</x:v>
      </x:c>
      <x:c r="AA31" s="64" t="str">
        <x:v>不足</x:v>
      </x:c>
      <x:c r="AB31" s="64" t="str">
        <x:v>有效</x:v>
      </x:c>
      <x:c r="AC31" s="64" t="str">
        <x:v>部分核验</x:v>
      </x:c>
      <x:c r="AD31" s="64" t="str">
        <x:v>自动默认</x:v>
      </x:c>
      <x:c r="AE31" s="64" t="str">
        <x:v>候选池</x:v>
      </x:c>
      <x:c r="AF31" s="64" t="str">
        <x:v>B_证据不足</x:v>
      </x:c>
      <x:c r="AG31" s="64"/>
      <x:c r="AH31" s="64"/>
      <x:c r="AI31" s="64"/>
      <x:c r="AJ31" s="64"/>
      <x:c r="AK31" s="64"/>
      <x:c r="AL31" s="64"/>
      <x:c r="AM31" s="64"/>
      <x:c r="AN31" s="48" t="str">
        <x:v>178</x:v>
      </x:c>
      <x:c r="AO31" s="48" t="str">
        <x:v>MAP_无法判断+EVIDENCE_INSUFFICIENCY_SIGNAL</x:v>
      </x:c>
      <x:c r="AP31" s="48" t="str">
        <x:v>需人工区分证据不足、材料缺失或尚未审核；命中证据不足候选词：无法判断；已列依据来源，但未在本阶段逐条核验</x:v>
      </x:c>
      <x:c r="AQ31" s="64"/>
      <x:c r="AR31" s="48" t="str">
        <x:v>environmental_quality_data</x:v>
      </x:c>
      <x:c r="AS31" s="48" t="str">
        <x:v>L3_analysis</x:v>
      </x:c>
      <x:c r="AT31" s="48" t="str">
        <x:v>consistency_comparison</x:v>
      </x:c>
      <x:c r="AU31" s="48" t="str">
        <x:v>evidence_integration</x:v>
      </x:c>
      <x:c r="AV31" s="48" t="str">
        <x:v>report_grounding；basis_grounding</x:v>
      </x:c>
      <x:c r="AW31" s="48" t="str">
        <x:v>high</x:v>
      </x:c>
      <x:c r="AX31" s="48" t="str">
        <x:v>high</x:v>
      </x:c>
      <x:c r="AY31" s="48" t="str">
        <x:v>report_plus_external</x:v>
      </x:c>
      <x:c r="AZ31" s="48" t="str">
        <x:v>True</x:v>
      </x:c>
      <x:c r="BA31" s="48"/>
      <x:c r="BB31" s="48" t="str">
        <x:v>auto_default</x:v>
      </x:c>
      <x:c r="BC31" s="48" t="str">
        <x:v>v1</x:v>
      </x:c>
      <x:c r="BD31" s="68"/>
    </x:row>
    <x:row r="32" ht="36" customHeight="1">
      <x:c r="A32" s="47" t="str">
        <x:v>2026-07-24</x:v>
      </x:c>
      <x:c r="B32" s="48" t="str">
        <x:v>PL033</x:v>
      </x:c>
      <x:c r="C32" s="48" t="str">
        <x:v>V01</x:v>
      </x:c>
      <x:c r="D32" s="48" t="str">
        <x:v>PL033_广东施格纳电气有限公司新建项目</x:v>
      </x:c>
      <x:c r="E32" s="48" t="str">
        <x:v>广东施格纳电气有限公司新建项目</x:v>
      </x:c>
      <x:c r="F32" s="48" t="str">
        <x:v>PL033_V01_Q03</x:v>
      </x:c>
      <x:c r="G32" s="48" t="str">
        <x:v>环评投资核算</x:v>
      </x:c>
      <x:c r="H32" s="48" t="str">
        <x:v>请根据报告中的总投资、环保投资和环保工程投资明细，判断环保投资核算是否前后一致、比例是否正确。</x:v>
      </x:c>
      <x:c r="I32" s="48" t="str">
        <x:v>环评投资核算判定结论：需复核；具体分析：报告填报总投资为1000万元、环保投资为15万元、环保投资占比为1.5%。按“环保投资÷总投资×100%”复算为1.50%，与报告填报值一致；但现有解析文本未检索到环保工程投资明细表，无法核对分项合计是否与环保投资一致。因此，占比计算正确，环保投资前后一致性仍需结合原报告投资明细表复核。</x:v>
      </x:c>
      <x:c r="J32" s="48" t="str">
        <x:v>一、建设项目基本情况：总投资1000万元、环保投资15万元、占比1.5%。来源：解析文本拼接_02_021-040(3).md</x:v>
      </x:c>
      <x:c r="K32" s="48" t="str">
        <x:v>报告原文-环保投资明细表</x:v>
      </x:c>
      <x:c r="L32" s="48" t="str">
        <x:v>2</x:v>
      </x:c>
      <x:c r="M32" s="48" t="str">
        <x:v>2</x:v>
      </x:c>
      <x:c r="N32" s="48" t="str">
        <x:v>False</x:v>
      </x:c>
      <x:c r="O32" s="48" t="str">
        <x:v>需复核</x:v>
      </x:c>
      <x:c r="P32" s="48"/>
      <x:c r="Q32" s="48"/>
      <x:c r="R32" s="48"/>
      <x:c r="S32" s="48" t="str">
        <x:v>是</x:v>
      </x:c>
      <x:c r="T32" s="48"/>
      <x:c r="U32" s="48" t="str">
        <x:v>30个PL_环评投资核算QA</x:v>
      </x:c>
      <x:c r="V32" s="48" t="str">
        <x:v>环评投资概算</x:v>
      </x:c>
      <x:c r="W32" s="48" t="str">
        <x:v>需复核</x:v>
      </x:c>
      <x:c r="X32" s="48" t="str">
        <x:v>证据不足</x:v>
      </x:c>
      <x:c r="Y32" s="64"/>
      <x:c r="Z32" s="64" t="str">
        <x:v>未复核</x:v>
      </x:c>
      <x:c r="AA32" s="64" t="str">
        <x:v>不足</x:v>
      </x:c>
      <x:c r="AB32" s="64" t="str">
        <x:v>有效</x:v>
      </x:c>
      <x:c r="AC32" s="64" t="str">
        <x:v>不需要外部依据</x:v>
      </x:c>
      <x:c r="AD32" s="64" t="str">
        <x:v>自动默认</x:v>
      </x:c>
      <x:c r="AE32" s="64" t="str">
        <x:v>候选池</x:v>
      </x:c>
      <x:c r="AF32" s="64" t="str">
        <x:v>B_证据不足</x:v>
      </x:c>
      <x:c r="AG32" s="64"/>
      <x:c r="AH32" s="64"/>
      <x:c r="AI32" s="64"/>
      <x:c r="AJ32" s="64"/>
      <x:c r="AK32" s="64"/>
      <x:c r="AL32" s="64"/>
      <x:c r="AM32" s="64"/>
      <x:c r="AN32" s="48" t="str">
        <x:v>184</x:v>
      </x:c>
      <x:c r="AO32" s="48" t="str">
        <x:v>MAP_需复核+EVIDENCE_INSUFFICIENCY_SIGNAL</x:v>
      </x:c>
      <x:c r="AP32" s="48" t="str">
        <x:v>原结论明确要求人工复核；命中证据不足候选词：未检索到、无法核对；投资复核主要依据报告内金额与算式</x:v>
      </x:c>
      <x:c r="AQ32" s="64"/>
      <x:c r="AR32" s="48" t="str">
        <x:v>environmental_investment</x:v>
      </x:c>
      <x:c r="AS32" s="48" t="str">
        <x:v>L2_application</x:v>
      </x:c>
      <x:c r="AT32" s="48" t="str">
        <x:v>quantitative_verification</x:v>
      </x:c>
      <x:c r="AU32" s="48" t="str">
        <x:v>numerical_accuracy</x:v>
      </x:c>
      <x:c r="AV32" s="48" t="str">
        <x:v>report_grounding；procedural_reasoning</x:v>
      </x:c>
      <x:c r="AW32" s="48" t="str">
        <x:v>low</x:v>
      </x:c>
      <x:c r="AX32" s="48" t="str">
        <x:v>medium</x:v>
      </x:c>
      <x:c r="AY32" s="48" t="str">
        <x:v>cross_section</x:v>
      </x:c>
      <x:c r="AZ32" s="48" t="str">
        <x:v>True</x:v>
      </x:c>
      <x:c r="BA32" s="48"/>
      <x:c r="BB32" s="48" t="str">
        <x:v>auto_default</x:v>
      </x:c>
      <x:c r="BC32" s="48" t="str">
        <x:v>v1</x:v>
      </x:c>
      <x:c r="BD32" s="68"/>
    </x:row>
    <x:row r="33" ht="36" customHeight="1">
      <x:c r="A33" s="47" t="str">
        <x:v>2026-07-27</x:v>
      </x:c>
      <x:c r="B33" s="48" t="str">
        <x:v>PL033</x:v>
      </x:c>
      <x:c r="C33" s="48" t="str">
        <x:v>V01</x:v>
      </x:c>
      <x:c r="D33" s="48" t="str">
        <x:v>PL033_广东施格纳电气有限公司新建项目_01_受理公告或公示版.pdf</x:v>
      </x:c>
      <x:c r="E33" s="48" t="str">
        <x:v>广东施格纳电气有限公司新建项目</x:v>
      </x:c>
      <x:c r="F33" s="48" t="str">
        <x:v>PL033_Emission_水污</x:v>
      </x:c>
      <x:c r="G33" s="48" t="str">
        <x:v>污染物排放标准-水污染物排放标准</x:v>
      </x:c>
      <x:c r="H33"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3" s="48" t="str">
        <x:v>1、水污染物排放标准中生活污水排放执行标准：无法判断；
2、报告排放标准章节未明确编制水污染物排放标准相关内容，无法完成判定。</x:v>
      </x:c>
      <x:c r="J33" s="48" t="str">
        <x:v>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33" s="48" t="str">
        <x:v>emission-standard-kb.jsonl; DB44/26-2001; DB44/2367-2022; GB31572-2015; GB14554-93; GB12348-2008; GB18597-2023; GB18599-2020</x:v>
      </x:c>
      <x:c r="L33" s="48" t="str">
        <x:v>2</x:v>
      </x:c>
      <x:c r="M33" s="48" t="str">
        <x:v>2</x:v>
      </x:c>
      <x:c r="N33" s="48" t="str">
        <x:v>False</x:v>
      </x:c>
      <x:c r="O33" s="48" t="str">
        <x:v>无法判断</x:v>
      </x:c>
      <x:c r="P33"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33" s="48"/>
      <x:c r="R33" s="48"/>
      <x:c r="S33" s="48" t="str">
        <x:v>是</x:v>
      </x:c>
      <x:c r="T33" s="48" t="str">
        <x:v>原综合排放标准问答对拆分而来</x:v>
      </x:c>
      <x:c r="U33" s="48" t="str">
        <x:v>30份环评_污染物排放控制执行标准复核QA(拆分版)</x:v>
      </x:c>
      <x:c r="V33" s="48" t="str">
        <x:v>水污染物排放标准</x:v>
      </x:c>
      <x:c r="W33" s="48" t="str">
        <x:v>无法判断</x:v>
      </x:c>
      <x:c r="X33" s="48" t="str">
        <x:v>证据不足</x:v>
      </x:c>
      <x:c r="Y33" s="64"/>
      <x:c r="Z33" s="64" t="str">
        <x:v>未复核</x:v>
      </x:c>
      <x:c r="AA33" s="64" t="str">
        <x:v>不足</x:v>
      </x:c>
      <x:c r="AB33" s="64" t="str">
        <x:v>有效</x:v>
      </x:c>
      <x:c r="AC33" s="64" t="str">
        <x:v>部分核验</x:v>
      </x:c>
      <x:c r="AD33" s="64" t="str">
        <x:v>自动默认</x:v>
      </x:c>
      <x:c r="AE33" s="64" t="str">
        <x:v>候选池</x:v>
      </x:c>
      <x:c r="AF33" s="64" t="str">
        <x:v>B_证据不足</x:v>
      </x:c>
      <x:c r="AG33" s="64"/>
      <x:c r="AH33" s="64"/>
      <x:c r="AI33" s="64"/>
      <x:c r="AJ33" s="64"/>
      <x:c r="AK33" s="64"/>
      <x:c r="AL33" s="64"/>
      <x:c r="AM33" s="64"/>
      <x:c r="AN33" s="48" t="str">
        <x:v>186</x:v>
      </x:c>
      <x:c r="AO33" s="48" t="str">
        <x:v>MAP_无法判断+EVIDENCE_INSUFFICIENCY_SIGNAL</x:v>
      </x:c>
      <x:c r="AP33" s="48" t="str">
        <x:v>需人工区分证据不足、材料缺失或尚未审核；命中证据不足候选词：无法判断；已列依据来源，但未在本阶段逐条核验</x:v>
      </x:c>
      <x:c r="AQ33" s="64"/>
      <x:c r="AR33" s="48" t="str">
        <x:v>water_emission_standard</x:v>
      </x:c>
      <x:c r="AS33" s="48" t="str">
        <x:v>L3_analysis</x:v>
      </x:c>
      <x:c r="AT33" s="48" t="str">
        <x:v>rule_applicability</x:v>
      </x:c>
      <x:c r="AU33" s="48" t="str">
        <x:v>basis_grounding</x:v>
      </x:c>
      <x:c r="AV33" s="48" t="str">
        <x:v>report_grounding；procedural_reasoning</x:v>
      </x:c>
      <x:c r="AW33" s="48" t="str">
        <x:v>high</x:v>
      </x:c>
      <x:c r="AX33" s="48" t="str">
        <x:v>high</x:v>
      </x:c>
      <x:c r="AY33" s="48" t="str">
        <x:v>report_plus_external</x:v>
      </x:c>
      <x:c r="AZ33" s="48" t="str">
        <x:v>True</x:v>
      </x:c>
      <x:c r="BA33" s="48"/>
      <x:c r="BB33" s="48" t="str">
        <x:v>auto_default</x:v>
      </x:c>
      <x:c r="BC33" s="48" t="str">
        <x:v>v1</x:v>
      </x:c>
      <x:c r="BD33" s="68"/>
    </x:row>
    <x:row r="34" ht="36" customHeight="1">
      <x:c r="A34" s="47" t="str">
        <x:v>2026-07-27</x:v>
      </x:c>
      <x:c r="B34" s="48" t="str">
        <x:v>PL033</x:v>
      </x:c>
      <x:c r="C34" s="48" t="str">
        <x:v>V01</x:v>
      </x:c>
      <x:c r="D34" s="48" t="str">
        <x:v>PL033_广东施格纳电气有限公司新建项目_01_受理公告或公示版.pdf</x:v>
      </x:c>
      <x:c r="E34" s="48" t="str">
        <x:v>广东施格纳电气有限公司新建项目</x:v>
      </x:c>
      <x:c r="F34" s="48" t="str">
        <x:v>PL033_Emission_大气</x:v>
      </x:c>
      <x:c r="G34" s="48" t="str">
        <x:v>污染物排放标准-大气污染物排放标准</x:v>
      </x:c>
      <x:c r="H34" s="48" t="str">
        <x:v>请根据项目行业类别、生产工艺和污染因子，判断大气污染物排放标准选取是否合理。要求分析：污染源覆盖是否完整（列出所有大气污染源及对应标准），是否存在缺漏的污染源或标准。</x:v>
      </x:c>
      <x:c r="I34" s="48" t="str">
        <x:v>1、污染排放标准分析污染源内容：不完整；
2、报告排放标准章节未明确编制大气污染物排放标准相关内容，无法完成判定。</x:v>
      </x:c>
      <x:c r="J34" s="48" t="str">
        <x:v>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34" s="48" t="str">
        <x:v>emission-standard-kb.jsonl; DB44/26-2001; DB44/2367-2022; GB31572-2015; GB14554-93; GB12348-2008; GB18597-2023; GB18599-2020</x:v>
      </x:c>
      <x:c r="L34" s="48" t="str">
        <x:v>2</x:v>
      </x:c>
      <x:c r="M34" s="48" t="str">
        <x:v>2</x:v>
      </x:c>
      <x:c r="N34" s="48" t="str">
        <x:v>False</x:v>
      </x:c>
      <x:c r="O34" s="48" t="str">
        <x:v>无法判断</x:v>
      </x:c>
      <x:c r="P34"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34" s="48"/>
      <x:c r="R34" s="48"/>
      <x:c r="S34" s="48" t="str">
        <x:v>是</x:v>
      </x:c>
      <x:c r="T34" s="48" t="str">
        <x:v>原综合排放标准问答对拆分而来</x:v>
      </x:c>
      <x:c r="U34" s="48" t="str">
        <x:v>30份环评_污染物排放控制执行标准复核QA(拆分版)</x:v>
      </x:c>
      <x:c r="V34" s="48" t="str">
        <x:v>大气污染物排放标准</x:v>
      </x:c>
      <x:c r="W34" s="48" t="str">
        <x:v>无法判断</x:v>
      </x:c>
      <x:c r="X34" s="48" t="str">
        <x:v>待判断</x:v>
      </x:c>
      <x:c r="Y34" s="64"/>
      <x:c r="Z34" s="64" t="str">
        <x:v>未复核</x:v>
      </x:c>
      <x:c r="AA34" s="64" t="str">
        <x:v>部分充分</x:v>
      </x:c>
      <x:c r="AB34" s="64" t="str">
        <x:v>有效</x:v>
      </x:c>
      <x:c r="AC34" s="64" t="str">
        <x:v>部分核验</x:v>
      </x:c>
      <x:c r="AD34" s="64" t="str">
        <x:v>自动默认</x:v>
      </x:c>
      <x:c r="AE34" s="64" t="str">
        <x:v>候选池</x:v>
      </x:c>
      <x:c r="AF34" s="64" t="str">
        <x:v>B_证据不足</x:v>
      </x:c>
      <x:c r="AG34" s="64"/>
      <x:c r="AH34" s="64"/>
      <x:c r="AI34" s="64"/>
      <x:c r="AJ34" s="64"/>
      <x:c r="AK34" s="64"/>
      <x:c r="AL34" s="64"/>
      <x:c r="AM34" s="64"/>
      <x:c r="AN34" s="48" t="str">
        <x:v>187</x:v>
      </x:c>
      <x:c r="AO34" s="48" t="str">
        <x:v>MAP_无法判断</x:v>
      </x:c>
      <x:c r="AP34" s="48" t="str">
        <x:v>需人工区分证据不足、材料缺失或尚未审核；存在报告证据，但尚未经人工逐项核验；已列依据来源，但未在本阶段逐条核验</x:v>
      </x:c>
      <x:c r="AQ34" s="64"/>
      <x:c r="AR34" s="48" t="str">
        <x:v>air_emission_standard</x:v>
      </x:c>
      <x:c r="AS34" s="48" t="str">
        <x:v>L3_analysis</x:v>
      </x:c>
      <x:c r="AT34" s="48" t="str">
        <x:v>multi_evidence_synthesis</x:v>
      </x:c>
      <x:c r="AU34" s="48" t="str">
        <x:v>basis_grounding</x:v>
      </x:c>
      <x:c r="AV34" s="48" t="str">
        <x:v>report_grounding；evidence_integration</x:v>
      </x:c>
      <x:c r="AW34" s="48" t="str">
        <x:v>high</x:v>
      </x:c>
      <x:c r="AX34" s="48" t="str">
        <x:v>high</x:v>
      </x:c>
      <x:c r="AY34" s="48" t="str">
        <x:v>report_plus_external</x:v>
      </x:c>
      <x:c r="AZ34" s="48" t="str">
        <x:v>True</x:v>
      </x:c>
      <x:c r="BA34" s="48"/>
      <x:c r="BB34" s="48" t="str">
        <x:v>auto_default</x:v>
      </x:c>
      <x:c r="BC34" s="48" t="str">
        <x:v>v1</x:v>
      </x:c>
      <x:c r="BD34" s="68"/>
    </x:row>
    <x:row r="35" ht="36" customHeight="1">
      <x:c r="A35" s="47" t="str">
        <x:v>2026-07-27</x:v>
      </x:c>
      <x:c r="B35" s="48" t="str">
        <x:v>PL033</x:v>
      </x:c>
      <x:c r="C35" s="48" t="str">
        <x:v>V01</x:v>
      </x:c>
      <x:c r="D35" s="48" t="str">
        <x:v>PL033_广东施格纳电气有限公司新建项目_01_受理公告或公示版.pdf</x:v>
      </x:c>
      <x:c r="E35" s="48" t="str">
        <x:v>广东施格纳电气有限公司新建项目</x:v>
      </x:c>
      <x:c r="F35" s="48" t="str">
        <x:v>PL033_Emission_噪声</x:v>
      </x:c>
      <x:c r="G35" s="48" t="str">
        <x:v>污染物排放标准-噪声排放标准</x:v>
      </x:c>
      <x:c r="H35" s="48" t="str">
        <x:v>请根据项目所属声环境功能区类别，判断噪声排放标准选取是否合理。要求总结声功能区类型、厂界执行标准（GB12348-2008）及昼夜限值，并与环评编制内容进行一致性分析。</x:v>
      </x:c>
      <x:c r="I35" s="48" t="str">
        <x:v>1、噪声排放标准中执行标准与排放限值内容：无法判断；
2、报告排放标准章节未明确编制噪声排放标准相关内容，无法完成判定。</x:v>
      </x:c>
      <x:c r="J35" s="48" t="str">
        <x:v>1. 水标准引用："污染物排放标准》（GB18918-2002）一级A 标准及《广东省水污染物排放限值》（DB44/26-2001）的较严值。项目不涉及生产废水的产生与排放。生活污水经三级化粪池预处理后排放至勒流污水处理厂；循环冷却水通过市政管网排入勒流污水处理厂，尾水排入顺德支流。"
2. 冷却水排放依据及编号错误："根据《污水综合排放标准》（GB8978-1996）、《环境影响评价技术导则地面水环境》（HJ/T2.3-93）、广东省地方标准《广东省水污染物排放限值》（DB4426-2001）中的规定：'污水排放量不包括间接冷却水'。因此，本项目冷却系统定期排水可作为清净下水通过雨水管道排放，不计入项目污水排放量。"
3. 行业类别："本项目属于'二十六、橡胶和塑料制品业29-53 塑料制品业292-其他（年用非溶剂型低VOCs 含量涂料10t 以下的除外）'、'三十六、计算机、通信和其他电子设备制造业39-82-其他电子设备制造399-全部（仅分割、焊接、组装的除外）'"
4. 大气污染源（有组织排放）："注塑废气使用顶式集气罩收集，回流焊废气、波峰焊废气、烘干废气在全密闭空间收集，灌胶废气、补焊废气、刷漆废气使用移动软管+伞型罩收集，以上废气一起通过活性炭吸附装置处理后引至楼顶1 个40m 高的排气筒DA001 排放"
5. 固体废物处置："危险废物 面积为10m2，一个危废间，交由有相应危废资质的单位回收处置；一般工业固废 面积为20m2，一个一般固废间，交由回收公司回收利用；生活垃圾 统一收集后交由环卫部门回收处理"</x:v>
      </x:c>
      <x:c r="K35" s="48" t="str">
        <x:v>emission-standard-kb.jsonl; DB44/26-2001; DB44/2367-2022; GB31572-2015; GB14554-93; GB12348-2008; GB18597-2023; GB18599-2020</x:v>
      </x:c>
      <x:c r="L35" s="48" t="str">
        <x:v>2</x:v>
      </x:c>
      <x:c r="M35" s="48" t="str">
        <x:v>2</x:v>
      </x:c>
      <x:c r="N35" s="48" t="str">
        <x:v>False</x:v>
      </x:c>
      <x:c r="O35" s="48" t="str">
        <x:v>无法判断</x:v>
      </x:c>
      <x:c r="P35" s="48" t="str">
        <x:v>水:存在错误——报告引用了GB18918-2002一级A标准和DB44/26-2001较严值，标准选取方向基本正确，但未明确DB44/26-2001第二时段，且文中一处将DB44/26-2001误写为DB4426-2001（编号书写错误），GB18918-2002适用于污水处理厂尾水而非项目预处理排放，引用依据不够精确。; 大气:存在缺漏——项目涉及注塑VOCs、焊接烟尘（颗粒物、锡及其化合物）、涂装烘干VOCs、灌胶VOCs、破碎颗粒物等多种大气污染因子，且有组织排放经DA001排气筒排放，但提取的排放标准章节文本中未发现DB44/2367-2022、DB44/27-2001、GB14554-93等任何大气排放标准的明确列出。; 噪声:存在缺漏——项目含注塑机、粉碎机、冷却塔等多类高噪声设备，应执行GB12348-2008工业企业厂界环境噪声排放标准，但提取的排放标准章节文本中未发现该标准的明确列出。; 固体废物:存在缺漏——项目产生废机油、废助焊剂、废活性炭等危险废物及废塑料等一般工业固废，应执行GB18597-2023、GB18599-2020等标准并参照国家危险废物名录（2021版）分类，但提取的排放标准章节文本中未发现任何固废相关标准的明确列出。</x:v>
      </x:c>
      <x:c r="Q35" s="48"/>
      <x:c r="R35" s="48"/>
      <x:c r="S35" s="48" t="str">
        <x:v>是</x:v>
      </x:c>
      <x:c r="T35" s="48" t="str">
        <x:v>原综合排放标准问答对拆分而来</x:v>
      </x:c>
      <x:c r="U35" s="48" t="str">
        <x:v>30份环评_污染物排放控制执行标准复核QA(拆分版)</x:v>
      </x:c>
      <x:c r="V35" s="48" t="str">
        <x:v>噪声排放标准</x:v>
      </x:c>
      <x:c r="W35" s="48" t="str">
        <x:v>无法判断</x:v>
      </x:c>
      <x:c r="X35" s="48" t="str">
        <x:v>证据不足</x:v>
      </x:c>
      <x:c r="Y35" s="64"/>
      <x:c r="Z35" s="64" t="str">
        <x:v>未复核</x:v>
      </x:c>
      <x:c r="AA35" s="64" t="str">
        <x:v>不足</x:v>
      </x:c>
      <x:c r="AB35" s="64" t="str">
        <x:v>有效</x:v>
      </x:c>
      <x:c r="AC35" s="64" t="str">
        <x:v>部分核验</x:v>
      </x:c>
      <x:c r="AD35" s="64" t="str">
        <x:v>自动默认</x:v>
      </x:c>
      <x:c r="AE35" s="64" t="str">
        <x:v>候选池</x:v>
      </x:c>
      <x:c r="AF35" s="64" t="str">
        <x:v>B_证据不足</x:v>
      </x:c>
      <x:c r="AG35" s="64"/>
      <x:c r="AH35" s="64"/>
      <x:c r="AI35" s="64"/>
      <x:c r="AJ35" s="64"/>
      <x:c r="AK35" s="64"/>
      <x:c r="AL35" s="64"/>
      <x:c r="AM35" s="64"/>
      <x:c r="AN35" s="48" t="str">
        <x:v>188</x:v>
      </x:c>
      <x:c r="AO35" s="48" t="str">
        <x:v>MAP_无法判断+EVIDENCE_INSUFFICIENCY_SIGNAL</x:v>
      </x:c>
      <x:c r="AP35" s="48" t="str">
        <x:v>需人工区分证据不足、材料缺失或尚未审核；命中证据不足候选词：无法判断；已列依据来源，但未在本阶段逐条核验</x:v>
      </x:c>
      <x:c r="AQ35" s="64"/>
      <x:c r="AR35" s="48" t="str">
        <x:v>noise_emission_standard</x:v>
      </x:c>
      <x:c r="AS35" s="48" t="str">
        <x:v>L2_application</x:v>
      </x:c>
      <x:c r="AT35" s="48" t="str">
        <x:v>rule_applicability</x:v>
      </x:c>
      <x:c r="AU35" s="48" t="str">
        <x:v>basis_grounding</x:v>
      </x:c>
      <x:c r="AV35" s="48" t="str">
        <x:v>report_grounding</x:v>
      </x:c>
      <x:c r="AW35" s="48" t="str">
        <x:v>high</x:v>
      </x:c>
      <x:c r="AX35" s="48" t="str">
        <x:v>medium</x:v>
      </x:c>
      <x:c r="AY35" s="48" t="str">
        <x:v>report_plus_external</x:v>
      </x:c>
      <x:c r="AZ35" s="48" t="str">
        <x:v>True</x:v>
      </x:c>
      <x:c r="BA35" s="48"/>
      <x:c r="BB35" s="48" t="str">
        <x:v>auto_default</x:v>
      </x:c>
      <x:c r="BC35" s="48" t="str">
        <x:v>v1</x:v>
      </x:c>
      <x:c r="BD35" s="68"/>
    </x:row>
    <x:row r="36" ht="36" customHeight="1">
      <x:c r="A36" s="47" t="str">
        <x:v>2026-07-24</x:v>
      </x:c>
      <x:c r="B36" s="48" t="str">
        <x:v>PL034</x:v>
      </x:c>
      <x:c r="C36" s="48" t="str">
        <x:v>V01</x:v>
      </x:c>
      <x:c r="D36" s="48" t="str">
        <x:v>PL034_佛山市沃丰德电器有限公司扩建项目</x:v>
      </x:c>
      <x:c r="E36" s="48" t="str">
        <x:v>佛山市沃丰德电器有限公司扩建项目</x:v>
      </x:c>
      <x:c r="F36" s="48" t="str">
        <x:v>PL034_V01_Q03</x:v>
      </x:c>
      <x:c r="G36" s="48" t="str">
        <x:v>环评投资核算</x:v>
      </x:c>
      <x:c r="H36" s="48" t="str">
        <x:v>请根据报告中的总投资、环保投资和环保工程投资明细，判断环保投资核算是否前后一致、比例是否正确。</x:v>
      </x:c>
      <x:c r="I36" s="48" t="str">
        <x:v>环评投资核算判定结论：需复核；具体分析：报告填报总投资为20万元、环保投资为10万元、环保投资占比为50%。按“环保投资÷总投资×100%”复算为50.00%，与报告填报值一致；但现有解析文本未检索到环保工程投资明细表，无法核对分项合计是否与环保投资一致。因此，占比计算正确，环保投资前后一致性仍需结合原报告投资明细表复核。</x:v>
      </x:c>
      <x:c r="J36" s="48" t="str">
        <x:v>一、建设项目基本情况：总投资20万元、环保投资10万元、占比50%。来源：解析文本拼接_02_021-040(3).md</x:v>
      </x:c>
      <x:c r="K36" s="48" t="str">
        <x:v>报告原文-环保投资明细表</x:v>
      </x:c>
      <x:c r="L36" s="48" t="str">
        <x:v>2</x:v>
      </x:c>
      <x:c r="M36" s="48" t="str">
        <x:v>2</x:v>
      </x:c>
      <x:c r="N36" s="48" t="str">
        <x:v>False</x:v>
      </x:c>
      <x:c r="O36" s="48" t="str">
        <x:v>需复核</x:v>
      </x:c>
      <x:c r="P36" s="48"/>
      <x:c r="Q36" s="48"/>
      <x:c r="R36" s="48"/>
      <x:c r="S36" s="48" t="str">
        <x:v>是</x:v>
      </x:c>
      <x:c r="T36" s="48"/>
      <x:c r="U36" s="48" t="str">
        <x:v>30个PL_环评投资核算QA</x:v>
      </x:c>
      <x:c r="V36" s="48" t="str">
        <x:v>环评投资概算</x:v>
      </x:c>
      <x:c r="W36" s="48" t="str">
        <x:v>需复核</x:v>
      </x:c>
      <x:c r="X36" s="48" t="str">
        <x:v>证据不足</x:v>
      </x:c>
      <x:c r="Y36" s="64"/>
      <x:c r="Z36" s="64" t="str">
        <x:v>未复核</x:v>
      </x:c>
      <x:c r="AA36" s="64" t="str">
        <x:v>不足</x:v>
      </x:c>
      <x:c r="AB36" s="64" t="str">
        <x:v>有效</x:v>
      </x:c>
      <x:c r="AC36" s="64" t="str">
        <x:v>不需要外部依据</x:v>
      </x:c>
      <x:c r="AD36" s="64" t="str">
        <x:v>自动默认</x:v>
      </x:c>
      <x:c r="AE36" s="64" t="str">
        <x:v>候选池</x:v>
      </x:c>
      <x:c r="AF36" s="64" t="str">
        <x:v>B_证据不足</x:v>
      </x:c>
      <x:c r="AG36" s="64"/>
      <x:c r="AH36" s="64"/>
      <x:c r="AI36" s="64"/>
      <x:c r="AJ36" s="64"/>
      <x:c r="AK36" s="64"/>
      <x:c r="AL36" s="64"/>
      <x:c r="AM36" s="64"/>
      <x:c r="AN36" s="48" t="str">
        <x:v>191</x:v>
      </x:c>
      <x:c r="AO36" s="48" t="str">
        <x:v>MAP_需复核+EVIDENCE_INSUFFICIENCY_SIGNAL</x:v>
      </x:c>
      <x:c r="AP36" s="48" t="str">
        <x:v>原结论明确要求人工复核；命中证据不足候选词：未检索到、无法核对；投资复核主要依据报告内金额与算式</x:v>
      </x:c>
      <x:c r="AQ36" s="64"/>
      <x:c r="AR36" s="48" t="str">
        <x:v>environmental_investment</x:v>
      </x:c>
      <x:c r="AS36" s="48" t="str">
        <x:v>L2_application</x:v>
      </x:c>
      <x:c r="AT36" s="48" t="str">
        <x:v>quantitative_verification</x:v>
      </x:c>
      <x:c r="AU36" s="48" t="str">
        <x:v>numerical_accuracy</x:v>
      </x:c>
      <x:c r="AV36" s="48" t="str">
        <x:v>report_grounding；procedural_reasoning</x:v>
      </x:c>
      <x:c r="AW36" s="48" t="str">
        <x:v>low</x:v>
      </x:c>
      <x:c r="AX36" s="48" t="str">
        <x:v>medium</x:v>
      </x:c>
      <x:c r="AY36" s="48" t="str">
        <x:v>cross_section</x:v>
      </x:c>
      <x:c r="AZ36" s="48" t="str">
        <x:v>True</x:v>
      </x:c>
      <x:c r="BA36" s="48"/>
      <x:c r="BB36" s="48" t="str">
        <x:v>auto_default</x:v>
      </x:c>
      <x:c r="BC36" s="48" t="str">
        <x:v>v1</x:v>
      </x:c>
      <x:c r="BD36" s="68"/>
    </x:row>
    <x:row r="37" ht="36" customHeight="1">
      <x:c r="A37" s="47" t="str">
        <x:v>2026-07-24</x:v>
      </x:c>
      <x:c r="B37" s="48" t="str">
        <x:v>PL035</x:v>
      </x:c>
      <x:c r="C37" s="48" t="str">
        <x:v>V01</x:v>
      </x:c>
      <x:c r="D37" s="48" t="str">
        <x:v>PL035_佛山市顺德区钧锐塑料厂迁建项目</x:v>
      </x:c>
      <x:c r="E37" s="48" t="str">
        <x:v>佛山市顺德区钧锐塑料厂迁建项目</x:v>
      </x:c>
      <x:c r="F37" s="48" t="str">
        <x:v>PL035_V01_Q03</x:v>
      </x:c>
      <x:c r="G37" s="48" t="str">
        <x:v>环评投资核算</x:v>
      </x:c>
      <x:c r="H37" s="48" t="str">
        <x:v>请根据报告中的总投资、环保投资和环保工程投资明细，判断环保投资核算是否前后一致、比例是否正确。</x:v>
      </x:c>
      <x:c r="I37" s="48" t="str">
        <x:v>环评投资核算判定结论：需复核；具体分析：报告填报总投资为100万元、环保投资为20万元、环保投资占比为20%。按“环保投资÷总投资×100%”复算为20.00%，与报告填报值一致；但现有解析文本未检索到环保工程投资明细表，无法核对分项合计是否与环保投资一致。因此，占比计算正确，环保投资前后一致性仍需结合原报告投资明细表复核。</x:v>
      </x:c>
      <x:c r="J37" s="48" t="str">
        <x:v>一、建设项目基本情况：总投资100万元、环保投资20万元、占比20%。来源：解析文本拼接_02_021-040(3).md</x:v>
      </x:c>
      <x:c r="K37" s="48" t="str">
        <x:v>报告原文-环保投资明细表</x:v>
      </x:c>
      <x:c r="L37" s="48" t="str">
        <x:v>2</x:v>
      </x:c>
      <x:c r="M37" s="48" t="str">
        <x:v>2</x:v>
      </x:c>
      <x:c r="N37" s="48" t="str">
        <x:v>False</x:v>
      </x:c>
      <x:c r="O37" s="48" t="str">
        <x:v>需复核</x:v>
      </x:c>
      <x:c r="P37" s="48"/>
      <x:c r="Q37" s="48"/>
      <x:c r="R37" s="48"/>
      <x:c r="S37" s="48" t="str">
        <x:v>是</x:v>
      </x:c>
      <x:c r="T37" s="48"/>
      <x:c r="U37" s="48" t="str">
        <x:v>30个PL_环评投资核算QA</x:v>
      </x:c>
      <x:c r="V37" s="48" t="str">
        <x:v>环评投资概算</x:v>
      </x:c>
      <x:c r="W37" s="48" t="str">
        <x:v>需复核</x:v>
      </x:c>
      <x:c r="X37" s="48" t="str">
        <x:v>证据不足</x:v>
      </x:c>
      <x:c r="Y37" s="64"/>
      <x:c r="Z37" s="64" t="str">
        <x:v>未复核</x:v>
      </x:c>
      <x:c r="AA37" s="64" t="str">
        <x:v>不足</x:v>
      </x:c>
      <x:c r="AB37" s="64" t="str">
        <x:v>有效</x:v>
      </x:c>
      <x:c r="AC37" s="64" t="str">
        <x:v>不需要外部依据</x:v>
      </x:c>
      <x:c r="AD37" s="64" t="str">
        <x:v>自动默认</x:v>
      </x:c>
      <x:c r="AE37" s="64" t="str">
        <x:v>候选池</x:v>
      </x:c>
      <x:c r="AF37" s="64" t="str">
        <x:v>B_证据不足</x:v>
      </x:c>
      <x:c r="AG37" s="64"/>
      <x:c r="AH37" s="64"/>
      <x:c r="AI37" s="64"/>
      <x:c r="AJ37" s="64"/>
      <x:c r="AK37" s="64"/>
      <x:c r="AL37" s="64"/>
      <x:c r="AM37" s="64"/>
      <x:c r="AN37" s="48" t="str">
        <x:v>193</x:v>
      </x:c>
      <x:c r="AO37" s="48" t="str">
        <x:v>MAP_需复核+EVIDENCE_INSUFFICIENCY_SIGNAL</x:v>
      </x:c>
      <x:c r="AP37" s="48" t="str">
        <x:v>原结论明确要求人工复核；命中证据不足候选词：未检索到、无法核对；投资复核主要依据报告内金额与算式</x:v>
      </x:c>
      <x:c r="AQ37" s="64"/>
      <x:c r="AR37" s="48" t="str">
        <x:v>environmental_investment</x:v>
      </x:c>
      <x:c r="AS37" s="48" t="str">
        <x:v>L2_application</x:v>
      </x:c>
      <x:c r="AT37" s="48" t="str">
        <x:v>quantitative_verification</x:v>
      </x:c>
      <x:c r="AU37" s="48" t="str">
        <x:v>numerical_accuracy</x:v>
      </x:c>
      <x:c r="AV37" s="48" t="str">
        <x:v>report_grounding；procedural_reasoning</x:v>
      </x:c>
      <x:c r="AW37" s="48" t="str">
        <x:v>low</x:v>
      </x:c>
      <x:c r="AX37" s="48" t="str">
        <x:v>medium</x:v>
      </x:c>
      <x:c r="AY37" s="48" t="str">
        <x:v>cross_section</x:v>
      </x:c>
      <x:c r="AZ37" s="48" t="str">
        <x:v>True</x:v>
      </x:c>
      <x:c r="BA37" s="48"/>
      <x:c r="BB37" s="48" t="str">
        <x:v>auto_default</x:v>
      </x:c>
      <x:c r="BC37" s="48" t="str">
        <x:v>v1</x:v>
      </x:c>
      <x:c r="BD37" s="68"/>
    </x:row>
    <x:row r="38" ht="36" customHeight="1">
      <x:c r="A38" s="47" t="str">
        <x:v>2026-07-24</x:v>
      </x:c>
      <x:c r="B38" s="48" t="str">
        <x:v>PL036</x:v>
      </x:c>
      <x:c r="C38" s="48" t="str">
        <x:v>V01</x:v>
      </x:c>
      <x:c r="D38" s="48" t="str">
        <x:v>PL036_广东梅州磁性材料有限公司顺德分公司迁扩建项目</x:v>
      </x:c>
      <x:c r="E38" s="48" t="str">
        <x:v>广东梅州磁性材料有限公司顺德分公司迁扩建项目</x:v>
      </x:c>
      <x:c r="F38" s="48" t="str">
        <x:v>PL036_V01_Q03</x:v>
      </x:c>
      <x:c r="G38" s="48" t="str">
        <x:v>环评投资核算</x:v>
      </x:c>
      <x:c r="H38" s="48" t="str">
        <x:v>请根据报告中的总投资、环保投资和环保工程投资明细，判断环保投资核算是否前后一致、比例是否正确。</x:v>
      </x:c>
      <x:c r="I38" s="48" t="str">
        <x:v>环评投资核算判定结论：需复核；具体分析：工程分析章节载明总投资为300万元、环保投资为18万元、环保投资占比为6%，复算为6.00%；表2-10 建设项目环保投资一览表中的分项投资合计为18万元，工程分析章节内部核算一致。但公开版基本情况表的投资金额已脱敏或留空，无法核对基本情况表与投资明细表是否完全一致，需查阅未脱敏原件。</x:v>
      </x:c>
      <x:c r="J38" s="48" t="str">
        <x:v>二、建设项目工程分析投资说明；表2-10：总投资300万元、环保投资18万元、占比6%；分项合计18万元。来源：解析文本拼接_02_021-040(3).md</x:v>
      </x:c>
      <x:c r="K38" s="48" t="str">
        <x:v>报告原文-环保投资明细表</x:v>
      </x:c>
      <x:c r="L38" s="48" t="str">
        <x:v>2</x:v>
      </x:c>
      <x:c r="M38" s="48" t="str">
        <x:v>2</x:v>
      </x:c>
      <x:c r="N38" s="48" t="str">
        <x:v>False</x:v>
      </x:c>
      <x:c r="O38" s="48" t="str">
        <x:v>需复核</x:v>
      </x:c>
      <x:c r="P38" s="48"/>
      <x:c r="Q38" s="48"/>
      <x:c r="R38" s="48"/>
      <x:c r="S38" s="48" t="str">
        <x:v>是</x:v>
      </x:c>
      <x:c r="T38" s="48"/>
      <x:c r="U38" s="48" t="str">
        <x:v>30个PL_环评投资核算QA</x:v>
      </x:c>
      <x:c r="V38" s="48" t="str">
        <x:v>环评投资概算</x:v>
      </x:c>
      <x:c r="W38" s="48" t="str">
        <x:v>需复核</x:v>
      </x:c>
      <x:c r="X38" s="48" t="str">
        <x:v>证据不足</x:v>
      </x:c>
      <x:c r="Y38" s="64"/>
      <x:c r="Z38" s="64" t="str">
        <x:v>未复核</x:v>
      </x:c>
      <x:c r="AA38" s="64" t="str">
        <x:v>不足</x:v>
      </x:c>
      <x:c r="AB38" s="64" t="str">
        <x:v>有效</x:v>
      </x:c>
      <x:c r="AC38" s="64" t="str">
        <x:v>不需要外部依据</x:v>
      </x:c>
      <x:c r="AD38" s="64" t="str">
        <x:v>自动默认</x:v>
      </x:c>
      <x:c r="AE38" s="64" t="str">
        <x:v>候选池</x:v>
      </x:c>
      <x:c r="AF38" s="64" t="str">
        <x:v>B_证据不足</x:v>
      </x:c>
      <x:c r="AG38" s="64"/>
      <x:c r="AH38" s="64"/>
      <x:c r="AI38" s="64"/>
      <x:c r="AJ38" s="64"/>
      <x:c r="AK38" s="64"/>
      <x:c r="AL38" s="64"/>
      <x:c r="AM38" s="64"/>
      <x:c r="AN38" s="48" t="str">
        <x:v>195</x:v>
      </x:c>
      <x:c r="AO38" s="48" t="str">
        <x:v>MAP_需复核+EVIDENCE_INSUFFICIENCY_SIGNAL</x:v>
      </x:c>
      <x:c r="AP38" s="48" t="str">
        <x:v>原结论明确要求人工复核；命中证据不足候选词：无法核对；投资复核主要依据报告内金额与算式</x:v>
      </x:c>
      <x:c r="AQ38" s="64"/>
      <x:c r="AR38" s="48" t="str">
        <x:v>environmental_investment</x:v>
      </x:c>
      <x:c r="AS38" s="48" t="str">
        <x:v>L2_application</x:v>
      </x:c>
      <x:c r="AT38" s="48" t="str">
        <x:v>quantitative_verification</x:v>
      </x:c>
      <x:c r="AU38" s="48" t="str">
        <x:v>numerical_accuracy</x:v>
      </x:c>
      <x:c r="AV38" s="48" t="str">
        <x:v>report_grounding；procedural_reasoning</x:v>
      </x:c>
      <x:c r="AW38" s="48" t="str">
        <x:v>low</x:v>
      </x:c>
      <x:c r="AX38" s="48" t="str">
        <x:v>medium</x:v>
      </x:c>
      <x:c r="AY38" s="48" t="str">
        <x:v>cross_section</x:v>
      </x:c>
      <x:c r="AZ38" s="48" t="str">
        <x:v>True</x:v>
      </x:c>
      <x:c r="BA38" s="48"/>
      <x:c r="BB38" s="48" t="str">
        <x:v>auto_default</x:v>
      </x:c>
      <x:c r="BC38" s="48" t="str">
        <x:v>v1</x:v>
      </x:c>
      <x:c r="BD38" s="68"/>
    </x:row>
    <x:row r="39" ht="36" customHeight="1">
      <x:c r="A39" s="47" t="str">
        <x:v>2026-07-24</x:v>
      </x:c>
      <x:c r="B39" s="48" t="str">
        <x:v>PL037</x:v>
      </x:c>
      <x:c r="C39" s="48" t="str">
        <x:v>V01</x:v>
      </x:c>
      <x:c r="D39" s="48" t="str">
        <x:v>PL037_佛山麦琪科技有限公司建设项目</x:v>
      </x:c>
      <x:c r="E39" s="48" t="str">
        <x:v>佛山麦琪科技有限公司建设项目</x:v>
      </x:c>
      <x:c r="F39" s="48" t="str">
        <x:v>PL037_V01_Q03</x:v>
      </x:c>
      <x:c r="G39" s="48" t="str">
        <x:v>环评投资核算</x:v>
      </x:c>
      <x:c r="H39" s="48" t="str">
        <x:v>请根据报告中的总投资、环保投资和环保工程投资明细，判断环保投资核算是否前后一致、比例是否正确。</x:v>
      </x:c>
      <x:c r="I39" s="48" t="str">
        <x:v>环评投资核算判定结论：需复核；具体分析：报告显示环保投资占比为20%。由于总投资、环保投资为空，且未检索到环保工程投资明细表，无法按“环保投资÷总投资×100%”复算占比，也无法完整核对基本情况表与环保投资明细是否一致；不得依据占比倒推缺失金额，需查阅未脱敏原报告。</x:v>
      </x:c>
      <x:c r="J39" s="48" t="str">
        <x:v>一、建设项目基本情况：占比20%。来源：解析文本拼接_02_021-040(3).md</x:v>
      </x:c>
      <x:c r="K39" s="48" t="str">
        <x:v>报告原文-环保投资明细表</x:v>
      </x:c>
      <x:c r="L39" s="48" t="str">
        <x:v>2</x:v>
      </x:c>
      <x:c r="M39" s="48" t="str">
        <x:v>2</x:v>
      </x:c>
      <x:c r="N39" s="48" t="str">
        <x:v>False</x:v>
      </x:c>
      <x:c r="O39" s="48" t="str">
        <x:v>需复核</x:v>
      </x:c>
      <x:c r="P39" s="48"/>
      <x:c r="Q39" s="48"/>
      <x:c r="R39" s="48"/>
      <x:c r="S39" s="48" t="str">
        <x:v>是</x:v>
      </x:c>
      <x:c r="T39" s="48"/>
      <x:c r="U39" s="48" t="str">
        <x:v>30个PL_环评投资核算QA</x:v>
      </x:c>
      <x:c r="V39" s="48" t="str">
        <x:v>环评投资概算</x:v>
      </x:c>
      <x:c r="W39" s="48" t="str">
        <x:v>需复核</x:v>
      </x:c>
      <x:c r="X39" s="48" t="str">
        <x:v>证据不足</x:v>
      </x:c>
      <x:c r="Y39" s="64"/>
      <x:c r="Z39" s="64" t="str">
        <x:v>未复核</x:v>
      </x:c>
      <x:c r="AA39" s="64" t="str">
        <x:v>不足</x:v>
      </x:c>
      <x:c r="AB39" s="64" t="str">
        <x:v>有效</x:v>
      </x:c>
      <x:c r="AC39" s="64" t="str">
        <x:v>不需要外部依据</x:v>
      </x:c>
      <x:c r="AD39" s="64" t="str">
        <x:v>自动默认</x:v>
      </x:c>
      <x:c r="AE39" s="64" t="str">
        <x:v>候选池</x:v>
      </x:c>
      <x:c r="AF39" s="64" t="str">
        <x:v>B_证据不足</x:v>
      </x:c>
      <x:c r="AG39" s="64"/>
      <x:c r="AH39" s="64"/>
      <x:c r="AI39" s="64"/>
      <x:c r="AJ39" s="64"/>
      <x:c r="AK39" s="64"/>
      <x:c r="AL39" s="64"/>
      <x:c r="AM39" s="64"/>
      <x:c r="AN39" s="48" t="str">
        <x:v>197</x:v>
      </x:c>
      <x:c r="AO39" s="48" t="str">
        <x:v>MAP_需复核+EVIDENCE_INSUFFICIENCY_SIGNAL</x:v>
      </x:c>
      <x:c r="AP39" s="48" t="str">
        <x:v>原结论明确要求人工复核；命中证据不足候选词：未检索到；投资复核主要依据报告内金额与算式</x:v>
      </x:c>
      <x:c r="AQ39" s="64"/>
      <x:c r="AR39" s="48" t="str">
        <x:v>environmental_investment</x:v>
      </x:c>
      <x:c r="AS39" s="48" t="str">
        <x:v>L2_application</x:v>
      </x:c>
      <x:c r="AT39" s="48" t="str">
        <x:v>quantitative_verification</x:v>
      </x:c>
      <x:c r="AU39" s="48" t="str">
        <x:v>numerical_accuracy</x:v>
      </x:c>
      <x:c r="AV39" s="48" t="str">
        <x:v>report_grounding；procedural_reasoning</x:v>
      </x:c>
      <x:c r="AW39" s="48" t="str">
        <x:v>low</x:v>
      </x:c>
      <x:c r="AX39" s="48" t="str">
        <x:v>medium</x:v>
      </x:c>
      <x:c r="AY39" s="48" t="str">
        <x:v>cross_section</x:v>
      </x:c>
      <x:c r="AZ39" s="48" t="str">
        <x:v>True</x:v>
      </x:c>
      <x:c r="BA39" s="48"/>
      <x:c r="BB39" s="48" t="str">
        <x:v>auto_default</x:v>
      </x:c>
      <x:c r="BC39" s="48" t="str">
        <x:v>v1</x:v>
      </x:c>
      <x:c r="BD39" s="68"/>
    </x:row>
    <x:row r="40" ht="36" customHeight="1">
      <x:c r="A40" s="47" t="str">
        <x:v>2026-07-24</x:v>
      </x:c>
      <x:c r="B40" s="48" t="str">
        <x:v>PL039</x:v>
      </x:c>
      <x:c r="C40" s="48" t="str">
        <x:v>V01</x:v>
      </x:c>
      <x:c r="D40" s="48" t="str">
        <x:v>PL039_佛山市锦汇塑料制品有限公司新建项目</x:v>
      </x:c>
      <x:c r="E40" s="48" t="str">
        <x:v>佛山市锦汇塑料制品有限公司新建项目</x:v>
      </x:c>
      <x:c r="F40" s="48" t="str">
        <x:v>PL039_V01_Q03</x:v>
      </x:c>
      <x:c r="G40" s="48" t="str">
        <x:v>环评投资核算</x:v>
      </x:c>
      <x:c r="H40" s="48" t="str">
        <x:v>请根据报告中的总投资、环保投资和环保工程投资明细，判断环保投资核算是否前后一致、比例是否正确。</x:v>
      </x:c>
      <x:c r="I40" s="48" t="str">
        <x:v>环评投资核算判定结论：需复核；具体分析：工程分析章节载明总投资为100万元、环保投资为20万元、环保投资占比为20%，复算为20.00%；表2-10 项目环保投资一览表中的分项投资合计为20万元，工程分析章节内部核算一致。但公开版基本情况表的投资金额已脱敏或留空，无法核对基本情况表与投资明细表是否完全一致，需查阅未脱敏原件。</x:v>
      </x:c>
      <x:c r="J40" s="48" t="str">
        <x:v>二、建设项目工程分析投资说明；表2-10：总投资100万元、环保投资20万元、占比20%；分项合计20万元。来源：解析文本拼接_02_021-040(3).md</x:v>
      </x:c>
      <x:c r="K40" s="48" t="str">
        <x:v>报告原文-环保投资明细表</x:v>
      </x:c>
      <x:c r="L40" s="48" t="str">
        <x:v>2</x:v>
      </x:c>
      <x:c r="M40" s="48" t="str">
        <x:v>2</x:v>
      </x:c>
      <x:c r="N40" s="48" t="str">
        <x:v>False</x:v>
      </x:c>
      <x:c r="O40" s="48" t="str">
        <x:v>需复核</x:v>
      </x:c>
      <x:c r="P40" s="48"/>
      <x:c r="Q40" s="48"/>
      <x:c r="R40" s="48"/>
      <x:c r="S40" s="48" t="str">
        <x:v>是</x:v>
      </x:c>
      <x:c r="T40" s="48"/>
      <x:c r="U40" s="48" t="str">
        <x:v>30个PL_环评投资核算QA</x:v>
      </x:c>
      <x:c r="V40" s="48" t="str">
        <x:v>环评投资概算</x:v>
      </x:c>
      <x:c r="W40" s="48" t="str">
        <x:v>需复核</x:v>
      </x:c>
      <x:c r="X40" s="48" t="str">
        <x:v>证据不足</x:v>
      </x:c>
      <x:c r="Y40" s="64"/>
      <x:c r="Z40" s="64" t="str">
        <x:v>未复核</x:v>
      </x:c>
      <x:c r="AA40" s="64" t="str">
        <x:v>不足</x:v>
      </x:c>
      <x:c r="AB40" s="64" t="str">
        <x:v>有效</x:v>
      </x:c>
      <x:c r="AC40" s="64" t="str">
        <x:v>不需要外部依据</x:v>
      </x:c>
      <x:c r="AD40" s="64" t="str">
        <x:v>自动默认</x:v>
      </x:c>
      <x:c r="AE40" s="64" t="str">
        <x:v>候选池</x:v>
      </x:c>
      <x:c r="AF40" s="64" t="str">
        <x:v>B_证据不足</x:v>
      </x:c>
      <x:c r="AG40" s="64"/>
      <x:c r="AH40" s="64"/>
      <x:c r="AI40" s="64"/>
      <x:c r="AJ40" s="64"/>
      <x:c r="AK40" s="64"/>
      <x:c r="AL40" s="64"/>
      <x:c r="AM40" s="64"/>
      <x:c r="AN40" s="48" t="str">
        <x:v>201</x:v>
      </x:c>
      <x:c r="AO40" s="48" t="str">
        <x:v>MAP_需复核+EVIDENCE_INSUFFICIENCY_SIGNAL</x:v>
      </x:c>
      <x:c r="AP40" s="48" t="str">
        <x:v>原结论明确要求人工复核；命中证据不足候选词：无法核对；投资复核主要依据报告内金额与算式</x:v>
      </x:c>
      <x:c r="AQ40" s="64"/>
      <x:c r="AR40" s="48" t="str">
        <x:v>environmental_investment</x:v>
      </x:c>
      <x:c r="AS40" s="48" t="str">
        <x:v>L2_application</x:v>
      </x:c>
      <x:c r="AT40" s="48" t="str">
        <x:v>quantitative_verification</x:v>
      </x:c>
      <x:c r="AU40" s="48" t="str">
        <x:v>numerical_accuracy</x:v>
      </x:c>
      <x:c r="AV40" s="48" t="str">
        <x:v>report_grounding；procedural_reasoning</x:v>
      </x:c>
      <x:c r="AW40" s="48" t="str">
        <x:v>low</x:v>
      </x:c>
      <x:c r="AX40" s="48" t="str">
        <x:v>medium</x:v>
      </x:c>
      <x:c r="AY40" s="48" t="str">
        <x:v>cross_section</x:v>
      </x:c>
      <x:c r="AZ40" s="48" t="str">
        <x:v>True</x:v>
      </x:c>
      <x:c r="BA40" s="48"/>
      <x:c r="BB40" s="48" t="str">
        <x:v>auto_default</x:v>
      </x:c>
      <x:c r="BC40" s="48" t="str">
        <x:v>v1</x:v>
      </x:c>
      <x:c r="BD40" s="68"/>
    </x:row>
    <x:row r="41" ht="36" customHeight="1">
      <x:c r="A41" s="47" t="str">
        <x:v>2026-07-24</x:v>
      </x:c>
      <x:c r="B41" s="48" t="str">
        <x:v>PL040</x:v>
      </x:c>
      <x:c r="C41" s="48" t="str">
        <x:v>V01</x:v>
      </x:c>
      <x:c r="D41" s="48" t="str">
        <x:v>PL040_佛山市海川塑料制品有限公司新建项目</x:v>
      </x:c>
      <x:c r="E41" s="48" t="str">
        <x:v>佛山市海川塑料制品有限公司新建项目</x:v>
      </x:c>
      <x:c r="F41" s="48" t="str">
        <x:v>PL040_V01_Q03</x:v>
      </x:c>
      <x:c r="G41" s="48" t="str">
        <x:v>环评投资核算</x:v>
      </x:c>
      <x:c r="H41" s="48" t="str">
        <x:v>请根据报告中的总投资、环保投资和环保工程投资明细，判断环保投资核算是否前后一致、比例是否正确。</x:v>
      </x:c>
      <x:c r="I41" s="48" t="str">
        <x:v>环评投资核算判定结论：需复核；具体分析：工程分析章节载明总投资为100万元、环保投资为10万元、环保投资占比为10%，复算为10.00%；表12 建设项目环保投资一览表中的分项投资合计为10万元，工程分析章节内部核算一致。但公开版基本情况表的投资金额已脱敏或留空，无法核对基本情况表与投资明细表是否完全一致，需查阅未脱敏原件。</x:v>
      </x:c>
      <x:c r="J41" s="48" t="str">
        <x:v>二、建设项目工程分析主要指标；表12：总投资100万元、环保投资10万元、占比10%；分项合计10万元。来源：解析文本拼接_02_021-040(3).md</x:v>
      </x:c>
      <x:c r="K41" s="48" t="str">
        <x:v>报告原文-环保投资明细表</x:v>
      </x:c>
      <x:c r="L41" s="48" t="str">
        <x:v>2</x:v>
      </x:c>
      <x:c r="M41" s="48" t="str">
        <x:v>2</x:v>
      </x:c>
      <x:c r="N41" s="48" t="str">
        <x:v>False</x:v>
      </x:c>
      <x:c r="O41" s="48" t="str">
        <x:v>需复核</x:v>
      </x:c>
      <x:c r="P41" s="48"/>
      <x:c r="Q41" s="48"/>
      <x:c r="R41" s="48"/>
      <x:c r="S41" s="48" t="str">
        <x:v>是</x:v>
      </x:c>
      <x:c r="T41" s="48"/>
      <x:c r="U41" s="48" t="str">
        <x:v>30个PL_环评投资核算QA</x:v>
      </x:c>
      <x:c r="V41" s="48" t="str">
        <x:v>环评投资概算</x:v>
      </x:c>
      <x:c r="W41" s="48" t="str">
        <x:v>需复核</x:v>
      </x:c>
      <x:c r="X41" s="48" t="str">
        <x:v>证据不足</x:v>
      </x:c>
      <x:c r="Y41" s="64"/>
      <x:c r="Z41" s="64" t="str">
        <x:v>未复核</x:v>
      </x:c>
      <x:c r="AA41" s="64" t="str">
        <x:v>不足</x:v>
      </x:c>
      <x:c r="AB41" s="64" t="str">
        <x:v>有效</x:v>
      </x:c>
      <x:c r="AC41" s="64" t="str">
        <x:v>不需要外部依据</x:v>
      </x:c>
      <x:c r="AD41" s="64" t="str">
        <x:v>自动默认</x:v>
      </x:c>
      <x:c r="AE41" s="64" t="str">
        <x:v>候选池</x:v>
      </x:c>
      <x:c r="AF41" s="64" t="str">
        <x:v>B_证据不足</x:v>
      </x:c>
      <x:c r="AG41" s="64"/>
      <x:c r="AH41" s="64"/>
      <x:c r="AI41" s="64"/>
      <x:c r="AJ41" s="64"/>
      <x:c r="AK41" s="64"/>
      <x:c r="AL41" s="64"/>
      <x:c r="AM41" s="64"/>
      <x:c r="AN41" s="48" t="str">
        <x:v>203</x:v>
      </x:c>
      <x:c r="AO41" s="48" t="str">
        <x:v>MAP_需复核+EVIDENCE_INSUFFICIENCY_SIGNAL</x:v>
      </x:c>
      <x:c r="AP41" s="48" t="str">
        <x:v>原结论明确要求人工复核；命中证据不足候选词：无法核对；投资复核主要依据报告内金额与算式</x:v>
      </x:c>
      <x:c r="AQ41" s="64"/>
      <x:c r="AR41" s="48" t="str">
        <x:v>environmental_investment</x:v>
      </x:c>
      <x:c r="AS41" s="48" t="str">
        <x:v>L2_application</x:v>
      </x:c>
      <x:c r="AT41" s="48" t="str">
        <x:v>quantitative_verification</x:v>
      </x:c>
      <x:c r="AU41" s="48" t="str">
        <x:v>numerical_accuracy</x:v>
      </x:c>
      <x:c r="AV41" s="48" t="str">
        <x:v>report_grounding；procedural_reasoning</x:v>
      </x:c>
      <x:c r="AW41" s="48" t="str">
        <x:v>low</x:v>
      </x:c>
      <x:c r="AX41" s="48" t="str">
        <x:v>medium</x:v>
      </x:c>
      <x:c r="AY41" s="48" t="str">
        <x:v>cross_section</x:v>
      </x:c>
      <x:c r="AZ41" s="48" t="str">
        <x:v>True</x:v>
      </x:c>
      <x:c r="BA41" s="48"/>
      <x:c r="BB41" s="48" t="str">
        <x:v>auto_default</x:v>
      </x:c>
      <x:c r="BC41" s="48" t="str">
        <x:v>v1</x:v>
      </x:c>
      <x:c r="BD41" s="68"/>
    </x:row>
    <x:row r="42" ht="36" customHeight="1">
      <x:c r="A42" s="47" t="str">
        <x:v>2026-07-24</x:v>
      </x:c>
      <x:c r="B42" s="48" t="str">
        <x:v>PL041</x:v>
      </x:c>
      <x:c r="C42" s="48" t="str">
        <x:v>V01</x:v>
      </x:c>
      <x:c r="D42" s="48" t="str">
        <x:v>PL041_佛山市创灏五金塑料有限公司年产塑料制品1250万件迁改扩建项目</x:v>
      </x:c>
      <x:c r="E42" s="48" t="str">
        <x:v>佛山市创灏五金塑料有限公司年产塑料制品1250万件迁改扩建项目</x:v>
      </x:c>
      <x:c r="F42" s="48" t="str">
        <x:v>PL041_V01_Q03</x:v>
      </x:c>
      <x:c r="G42" s="48" t="str">
        <x:v>环评投资核算</x:v>
      </x:c>
      <x:c r="H42" s="48" t="str">
        <x:v>请根据报告中的总投资、环保投资和环保工程投资明细，判断环保投资核算是否前后一致、比例是否正确。</x:v>
      </x:c>
      <x:c r="I42" s="48" t="str">
        <x:v>环评投资核算判定结论：需复核；具体分析：报告填报总投资为200万元、环保投资为10万元、环保投资占比为5%。按“环保投资÷总投资×100%”复算为5.00%，与报告填报值一致；但现有解析文本未检索到环保工程投资明细表，无法核对分项合计是否与环保投资一致。因此，占比计算正确，环保投资前后一致性仍需结合原报告投资明细表复核。</x:v>
      </x:c>
      <x:c r="J42" s="48" t="str">
        <x:v>一、建设项目基本情况；二、建设项目工程分析：总投资200万元、环保投资10万元、占比5%。来源：解析文本拼接_02_021-040(3).md</x:v>
      </x:c>
      <x:c r="K42" s="48" t="str">
        <x:v>报告原文-环保投资明细表</x:v>
      </x:c>
      <x:c r="L42" s="48" t="str">
        <x:v>2</x:v>
      </x:c>
      <x:c r="M42" s="48" t="str">
        <x:v>2</x:v>
      </x:c>
      <x:c r="N42" s="48" t="str">
        <x:v>False</x:v>
      </x:c>
      <x:c r="O42" s="48" t="str">
        <x:v>需复核</x:v>
      </x:c>
      <x:c r="P42" s="48"/>
      <x:c r="Q42" s="48"/>
      <x:c r="R42" s="48"/>
      <x:c r="S42" s="48" t="str">
        <x:v>是</x:v>
      </x:c>
      <x:c r="T42" s="48"/>
      <x:c r="U42" s="48" t="str">
        <x:v>30个PL_环评投资核算QA</x:v>
      </x:c>
      <x:c r="V42" s="48" t="str">
        <x:v>环评投资概算</x:v>
      </x:c>
      <x:c r="W42" s="48" t="str">
        <x:v>需复核</x:v>
      </x:c>
      <x:c r="X42" s="48" t="str">
        <x:v>证据不足</x:v>
      </x:c>
      <x:c r="Y42" s="64"/>
      <x:c r="Z42" s="64" t="str">
        <x:v>未复核</x:v>
      </x:c>
      <x:c r="AA42" s="64" t="str">
        <x:v>不足</x:v>
      </x:c>
      <x:c r="AB42" s="64" t="str">
        <x:v>有效</x:v>
      </x:c>
      <x:c r="AC42" s="64" t="str">
        <x:v>不需要外部依据</x:v>
      </x:c>
      <x:c r="AD42" s="64" t="str">
        <x:v>自动默认</x:v>
      </x:c>
      <x:c r="AE42" s="64" t="str">
        <x:v>候选池</x:v>
      </x:c>
      <x:c r="AF42" s="64" t="str">
        <x:v>B_证据不足</x:v>
      </x:c>
      <x:c r="AG42" s="64"/>
      <x:c r="AH42" s="64"/>
      <x:c r="AI42" s="64"/>
      <x:c r="AJ42" s="64"/>
      <x:c r="AK42" s="64"/>
      <x:c r="AL42" s="64"/>
      <x:c r="AM42" s="64"/>
      <x:c r="AN42" s="48" t="str">
        <x:v>205</x:v>
      </x:c>
      <x:c r="AO42" s="48" t="str">
        <x:v>MAP_需复核+EVIDENCE_INSUFFICIENCY_SIGNAL</x:v>
      </x:c>
      <x:c r="AP42" s="48" t="str">
        <x:v>原结论明确要求人工复核；命中证据不足候选词：未检索到、无法核对；投资复核主要依据报告内金额与算式</x:v>
      </x:c>
      <x:c r="AQ42" s="64"/>
      <x:c r="AR42" s="48" t="str">
        <x:v>environmental_investment</x:v>
      </x:c>
      <x:c r="AS42" s="48" t="str">
        <x:v>L2_application</x:v>
      </x:c>
      <x:c r="AT42" s="48" t="str">
        <x:v>quantitative_verification</x:v>
      </x:c>
      <x:c r="AU42" s="48" t="str">
        <x:v>numerical_accuracy</x:v>
      </x:c>
      <x:c r="AV42" s="48" t="str">
        <x:v>report_grounding；procedural_reasoning</x:v>
      </x:c>
      <x:c r="AW42" s="48" t="str">
        <x:v>low</x:v>
      </x:c>
      <x:c r="AX42" s="48" t="str">
        <x:v>medium</x:v>
      </x:c>
      <x:c r="AY42" s="48" t="str">
        <x:v>cross_section</x:v>
      </x:c>
      <x:c r="AZ42" s="48" t="str">
        <x:v>True</x:v>
      </x:c>
      <x:c r="BA42" s="48"/>
      <x:c r="BB42" s="48" t="str">
        <x:v>auto_default</x:v>
      </x:c>
      <x:c r="BC42" s="48" t="str">
        <x:v>v1</x:v>
      </x:c>
      <x:c r="BD42" s="68"/>
    </x:row>
    <x:row r="43" ht="36" customHeight="1">
      <x:c r="A43" s="47" t="str">
        <x:v>2026-07-24</x:v>
      </x:c>
      <x:c r="B43" s="48" t="str">
        <x:v>PL043</x:v>
      </x:c>
      <x:c r="C43" s="48" t="str">
        <x:v>V01</x:v>
      </x:c>
      <x:c r="D43" s="48" t="str">
        <x:v>PL043_佛山市益旭电器有限公司新建项目</x:v>
      </x:c>
      <x:c r="E43" s="48" t="str">
        <x:v>佛山市益旭电器有限公司新建项目</x:v>
      </x:c>
      <x:c r="F43" s="48" t="str">
        <x:v>PL043_V01_Q03</x:v>
      </x:c>
      <x:c r="G43" s="48" t="str">
        <x:v>环评投资核算</x:v>
      </x:c>
      <x:c r="H43" s="48" t="str">
        <x:v>请根据报告中的总投资、环保投资和环保工程投资明细，判断环保投资核算是否前后一致、比例是否正确。</x:v>
      </x:c>
      <x:c r="I43" s="48" t="str">
        <x:v>环评投资核算判定结论：需复核；具体分析：工程分析章节载明总投资为200万元、环保投资为8万元、环保投资占比为4%，复算为4.00%；表2-9 项目环保措施及其投资计划一览表中的分项投资合计为8万元，工程分析章节内部核算一致。但公开版基本情况表的投资金额已脱敏或留空，无法核对基本情况表与投资明细表是否完全一致，需查阅未脱敏原件。</x:v>
      </x:c>
      <x:c r="J43" s="48" t="str">
        <x:v>二、建设项目工程分析投资说明；表2-9：总投资200万元、环保投资8万元、占比4%；分项合计8万元。来源：解析文本拼接_03_041-060(3).md</x:v>
      </x:c>
      <x:c r="K43" s="48" t="str">
        <x:v>报告原文-环保投资明细表</x:v>
      </x:c>
      <x:c r="L43" s="48" t="str">
        <x:v>2</x:v>
      </x:c>
      <x:c r="M43" s="48" t="str">
        <x:v>2</x:v>
      </x:c>
      <x:c r="N43" s="48" t="str">
        <x:v>False</x:v>
      </x:c>
      <x:c r="O43" s="48" t="str">
        <x:v>需复核</x:v>
      </x:c>
      <x:c r="P43" s="48"/>
      <x:c r="Q43" s="48"/>
      <x:c r="R43" s="48"/>
      <x:c r="S43" s="48" t="str">
        <x:v>是</x:v>
      </x:c>
      <x:c r="T43" s="48"/>
      <x:c r="U43" s="48" t="str">
        <x:v>30个PL_环评投资核算QA</x:v>
      </x:c>
      <x:c r="V43" s="48" t="str">
        <x:v>环评投资概算</x:v>
      </x:c>
      <x:c r="W43" s="48" t="str">
        <x:v>需复核</x:v>
      </x:c>
      <x:c r="X43" s="48" t="str">
        <x:v>证据不足</x:v>
      </x:c>
      <x:c r="Y43" s="64"/>
      <x:c r="Z43" s="64" t="str">
        <x:v>未复核</x:v>
      </x:c>
      <x:c r="AA43" s="64" t="str">
        <x:v>不足</x:v>
      </x:c>
      <x:c r="AB43" s="64" t="str">
        <x:v>有效</x:v>
      </x:c>
      <x:c r="AC43" s="64" t="str">
        <x:v>不需要外部依据</x:v>
      </x:c>
      <x:c r="AD43" s="64" t="str">
        <x:v>自动默认</x:v>
      </x:c>
      <x:c r="AE43" s="64" t="str">
        <x:v>候选池</x:v>
      </x:c>
      <x:c r="AF43" s="64" t="str">
        <x:v>B_证据不足</x:v>
      </x:c>
      <x:c r="AG43" s="64"/>
      <x:c r="AH43" s="64"/>
      <x:c r="AI43" s="64"/>
      <x:c r="AJ43" s="64"/>
      <x:c r="AK43" s="64"/>
      <x:c r="AL43" s="64"/>
      <x:c r="AM43" s="64"/>
      <x:c r="AN43" s="48" t="str">
        <x:v>209</x:v>
      </x:c>
      <x:c r="AO43" s="48" t="str">
        <x:v>MAP_需复核+EVIDENCE_INSUFFICIENCY_SIGNAL</x:v>
      </x:c>
      <x:c r="AP43" s="48" t="str">
        <x:v>原结论明确要求人工复核；命中证据不足候选词：无法核对；投资复核主要依据报告内金额与算式</x:v>
      </x:c>
      <x:c r="AQ43" s="64"/>
      <x:c r="AR43" s="48" t="str">
        <x:v>environmental_investment</x:v>
      </x:c>
      <x:c r="AS43" s="48" t="str">
        <x:v>L2_application</x:v>
      </x:c>
      <x:c r="AT43" s="48" t="str">
        <x:v>quantitative_verification</x:v>
      </x:c>
      <x:c r="AU43" s="48" t="str">
        <x:v>numerical_accuracy</x:v>
      </x:c>
      <x:c r="AV43" s="48" t="str">
        <x:v>report_grounding；procedural_reasoning</x:v>
      </x:c>
      <x:c r="AW43" s="48" t="str">
        <x:v>low</x:v>
      </x:c>
      <x:c r="AX43" s="48" t="str">
        <x:v>medium</x:v>
      </x:c>
      <x:c r="AY43" s="48" t="str">
        <x:v>cross_section</x:v>
      </x:c>
      <x:c r="AZ43" s="48" t="str">
        <x:v>True</x:v>
      </x:c>
      <x:c r="BA43" s="48"/>
      <x:c r="BB43" s="48" t="str">
        <x:v>auto_default</x:v>
      </x:c>
      <x:c r="BC43" s="48" t="str">
        <x:v>v1</x:v>
      </x:c>
      <x:c r="BD43" s="68"/>
    </x:row>
    <x:row r="44" ht="36" customHeight="1">
      <x:c r="A44" s="50" t="str">
        <x:v>2026-07-24</x:v>
      </x:c>
      <x:c r="B44" s="51" t="str">
        <x:v>PL044</x:v>
      </x:c>
      <x:c r="C44" s="51" t="str">
        <x:v>V01</x:v>
      </x:c>
      <x:c r="D44" s="51" t="str">
        <x:v>PL044_佛山市昇汇包装材料有限公司新建项目</x:v>
      </x:c>
      <x:c r="E44" s="51" t="str">
        <x:v>佛山市昇汇包装材料有限公司新建项目</x:v>
      </x:c>
      <x:c r="F44" s="51" t="str">
        <x:v>PL044_V01_Q03</x:v>
      </x:c>
      <x:c r="G44" s="51" t="str">
        <x:v>环评投资核算</x:v>
      </x:c>
      <x:c r="H44" s="51" t="str">
        <x:v>请根据报告中的总投资、环保投资和环保工程投资明细，判断环保投资核算是否前后一致、比例是否正确。</x:v>
      </x:c>
      <x:c r="I44" s="51" t="str">
        <x:v>环评投资核算判定结论：需复核；具体分析：报告填报总投资为100万元、环保投资为10万元、环保投资占比为10%。按“环保投资÷总投资×100%”复算为10.00%，与报告填报值一致；但现有解析文本未检索到环保工程投资明细表，无法核对分项合计是否与环保投资一致。因此，占比计算正确，环保投资前后一致性仍需结合原报告投资明细表复核。</x:v>
      </x:c>
      <x:c r="J44" s="51" t="str">
        <x:v>一、建设项目基本情况：总投资100万元、环保投资10万元、占比10%。来源：解析文本拼接_03_041-060(3).md</x:v>
      </x:c>
      <x:c r="K44" s="51" t="str">
        <x:v>报告原文-环保投资明细表</x:v>
      </x:c>
      <x:c r="L44" s="51" t="str">
        <x:v>2</x:v>
      </x:c>
      <x:c r="M44" s="51" t="str">
        <x:v>2</x:v>
      </x:c>
      <x:c r="N44" s="51" t="str">
        <x:v>False</x:v>
      </x:c>
      <x:c r="O44" s="51" t="str">
        <x:v>需复核</x:v>
      </x:c>
      <x:c r="P44" s="51"/>
      <x:c r="Q44" s="51"/>
      <x:c r="R44" s="51"/>
      <x:c r="S44" s="51" t="str">
        <x:v>是</x:v>
      </x:c>
      <x:c r="T44" s="51"/>
      <x:c r="U44" s="51" t="str">
        <x:v>30个PL_环评投资核算QA</x:v>
      </x:c>
      <x:c r="V44" s="51" t="str">
        <x:v>环评投资概算</x:v>
      </x:c>
      <x:c r="W44" s="51" t="str">
        <x:v>需复核</x:v>
      </x:c>
      <x:c r="X44" s="51" t="str">
        <x:v>证据不足</x:v>
      </x:c>
      <x:c r="Y44" s="65"/>
      <x:c r="Z44" s="65" t="str">
        <x:v>未复核</x:v>
      </x:c>
      <x:c r="AA44" s="65" t="str">
        <x:v>不足</x:v>
      </x:c>
      <x:c r="AB44" s="65" t="str">
        <x:v>有效</x:v>
      </x:c>
      <x:c r="AC44" s="65" t="str">
        <x:v>不需要外部依据</x:v>
      </x:c>
      <x:c r="AD44" s="65" t="str">
        <x:v>自动默认</x:v>
      </x:c>
      <x:c r="AE44" s="65" t="str">
        <x:v>候选池</x:v>
      </x:c>
      <x:c r="AF44" s="65" t="str">
        <x:v>B_证据不足</x:v>
      </x:c>
      <x:c r="AG44" s="65"/>
      <x:c r="AH44" s="65"/>
      <x:c r="AI44" s="65"/>
      <x:c r="AJ44" s="65"/>
      <x:c r="AK44" s="65"/>
      <x:c r="AL44" s="65"/>
      <x:c r="AM44" s="65"/>
      <x:c r="AN44" s="51" t="str">
        <x:v>211</x:v>
      </x:c>
      <x:c r="AO44" s="51" t="str">
        <x:v>MAP_需复核+EVIDENCE_INSUFFICIENCY_SIGNAL</x:v>
      </x:c>
      <x:c r="AP44" s="51" t="str">
        <x:v>原结论明确要求人工复核；命中证据不足候选词：未检索到、无法核对；投资复核主要依据报告内金额与算式</x:v>
      </x:c>
      <x:c r="AQ44" s="65"/>
      <x:c r="AR44" s="51" t="str">
        <x:v>environmental_investment</x:v>
      </x:c>
      <x:c r="AS44" s="51" t="str">
        <x:v>L2_application</x:v>
      </x:c>
      <x:c r="AT44" s="51" t="str">
        <x:v>quantitative_verification</x:v>
      </x:c>
      <x:c r="AU44" s="51" t="str">
        <x:v>numerical_accuracy</x:v>
      </x:c>
      <x:c r="AV44" s="51" t="str">
        <x:v>report_grounding；procedural_reasoning</x:v>
      </x:c>
      <x:c r="AW44" s="51" t="str">
        <x:v>low</x:v>
      </x:c>
      <x:c r="AX44" s="51" t="str">
        <x:v>medium</x:v>
      </x:c>
      <x:c r="AY44" s="51" t="str">
        <x:v>cross_section</x:v>
      </x:c>
      <x:c r="AZ44" s="51" t="str">
        <x:v>True</x:v>
      </x:c>
      <x:c r="BA44" s="51"/>
      <x:c r="BB44" s="51" t="str">
        <x:v>auto_default</x:v>
      </x:c>
      <x:c r="BC44" s="51" t="str">
        <x:v>v1</x:v>
      </x:c>
      <x:c r="BD44" s="69"/>
    </x:row>
  </x:sheetData>
  <x:conditionalFormatting sqref="AP2:AP44">
    <x:cfRule type="expression" dxfId="9" priority="1">
      <x:formula>LEN(AP2)&gt;0</x:formula>
    </x:cfRule>
  </x:conditionalFormatting>
  <x:conditionalFormatting sqref="AA2:AA44">
    <x:cfRule type="cellIs" dxfId="10" priority="2" operator="equal">
      <x:formula>"不足"</x:formula>
    </x:cfRule>
  </x:conditionalFormatting>
  <x:conditionalFormatting sqref="Z2:Z44">
    <x:cfRule type="cellIs" dxfId="11" priority="3" operator="equal">
      <x:formula>"已冻结"</x:formula>
    </x:cfRule>
  </x:conditionalFormatting>
  <x:dataValidations count="8">
    <x:dataValidation type="list" sqref="Y2:Y44">
      <x:formula1>"无误,存在错误,存在缺漏,证据不足,需人工复核,待判断"</x:formula1>
    </x:dataValidation>
    <x:dataValidation type="list" sqref="Z2:Z44">
      <x:formula1>"未复核,一审完成,二审完成,已裁决,已冻结,排除"</x:formula1>
    </x:dataValidation>
    <x:dataValidation type="list" sqref="AA2:AA44">
      <x:formula1>"充分,部分充分,不足,原始材料缺失,待判断"</x:formula1>
    </x:dataValidation>
    <x:dataValidation type="list" sqref="AB2:AB44">
      <x:formula1>"有效,表述歧义,字段错位,题答不匹配,重复,原始材料缺失,排除,待判断"</x:formula1>
    </x:dataValidation>
    <x:dataValidation type="list" sqref="AC2:AC44">
      <x:formula1>"已核验,部分核验,未核验,不需要外部依据,待判断"</x:formula1>
    </x:dataValidation>
    <x:dataValidation type="list" sqref="AD2:AD44">
      <x:formula1>"自动默认,人工确认,人工覆盖"</x:formula1>
    </x:dataValidation>
    <x:dataValidation type="list" sqref="AE2:AE44">
      <x:formula1>"候选池,趋势实验候选,趋势实验冻结,正式实验候选,正式实验冻结,排除"</x:formula1>
    </x:dataValidation>
    <x:dataValidation type="list" sqref="AF2:AF44">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2cc3859e3f894a3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2026-06-17</x:v>
      </x:c>
      <x:c r="B2" s="48" t="str">
        <x:v>PL001</x:v>
      </x:c>
      <x:c r="C2" s="48" t="str">
        <x:v>V01</x:v>
      </x:c>
      <x:c r="D2" s="48" t="str">
        <x:v>佛山市亮正新材料有限公司新建项目.docx</x:v>
      </x:c>
      <x:c r="E2" s="48" t="str">
        <x:v>佛山市亮正新材料有限公司新建项目</x:v>
      </x:c>
      <x:c r="F2" s="48" t="str">
        <x:v>PL001_V01_Q01</x:v>
      </x:c>
      <x:c r="G2" s="48" t="str">
        <x:v>塑胶行业样本筛选与国民经济行业分类</x:v>
      </x:c>
      <x:c r="H2" s="48" t="str">
        <x:v>请结合项目产品、原辅材料和生产工艺，判断该报告行业类别是否基本合理。</x:v>
      </x:c>
      <x:c r="I2" s="48" t="str">
        <x:v>1、国民经济行业类型判定结论：正确；
2、具体分析：根据项目概况，本项目主要通过调胶、涂布、复合熟化、印刷和收卷等生产工艺，生产保护纸和保护膜。经识别，国民经济行业类别为C2223加工纸制造、C2921塑料薄膜制造，与项目填报的国民经济行业类别C2223加工纸制造、C2921塑料薄膜制造一致。</x:v>
      </x:c>
      <x:c r="J2" s="48" t="str">
        <x:v>报告基本情况：国民经济行业类别为“C2223 加工纸制造C2921塑料薄膜制造”；建设项目行业类别为“十九、造纸和纸制品业22、37 造纸222*（含废纸造纸）、手工纸制造；有涂布、浸渍、印刷、粘胶工艺的加工纸制造二十六、橡胶和塑料制品业29、53 塑料制品业292-其他（年用非溶剂型低VOCs含量涂料10吨以下的除外）”；2用于危险废物暂存一般固废暂存间1个，面积为5m2用于一般固废暂存2、主要产品及产能项目变更前后产品情况如下表所示。表2-2 变更前后项目基本情况一览表名称数量单位备注保护纸400万米/年每卷规格为1280m*2.8m，约3125卷，每卷约293kg/卷保护膜200万米/年每卷规格为1240m*2.3m，约1613卷，约57.86kg/卷3、主要生产工艺、生产设施项目主要设备设施和生产工艺情况见下表。表2-3 项目基本情况一览表序号名称规格参数单位变更前数量用于工序1涂布机(配套上胶槽体、复合熟化线)线速</x:v>
      </x:c>
      <x:c r="K2" s="48" t="str">
        <x:v>报告原文；Dify工作流_标准库；标准库/经验库</x:v>
      </x:c>
      <x:c r="L2" s="48" t="str">
        <x:v>该题用于修正原Excel混入非塑胶行业项目的问题，体现样本筛选和行业分类审查价值。</x:v>
      </x:c>
      <x:c r="M2" s="48" t="str">
        <x:v>可由报告基本情况、产品方案、原辅材料和工艺流程共同验证。</x:v>
      </x:c>
      <x:c r="N2" s="48" t="str">
        <x:v>True</x:v>
      </x:c>
      <x:c r="O2" s="48" t="str">
        <x:v>选取判断相关数据无误，通过表2-2，2-3了解到属于纸、膜类韩品且设备生产线含有涂布线；</x:v>
      </x:c>
      <x:c r="P2" s="48" t="str">
        <x:v>人工核定无误</x:v>
      </x:c>
      <x:c r="Q2" s="48" t="str">
        <x:v>判断：基本合理。
报告填报的国民经济行业类别为“C2223 加工纸制造C2921塑料薄膜制造”，建设项目行业类别为“十九、造纸和纸制品业22、37 造纸222*（含废纸造纸）、手工纸制造；有涂布、浸渍、印刷、粘胶工艺的加工纸制造二十六、橡胶和塑料制品业29、53 塑料制品业2”。项目名称为“佛山市亮正新材料有限公司新建项目”。从报告摘录看，项目产品、原辅材料和工艺过程均围绕塑胶/塑料制品生产或塑胶材料加工展开。
从工作流判断逻辑看，行业类别应由“产品属性—原辅材料—核心工艺”共同支撑，而不能只看基本情况表。该项目的行业类别与塑胶行业特征总体一致，可作为本轮塑胶行业 seed QA 样本。</x:v>
      </x:c>
      <x:c r="R2" s="48" t="str">
        <x:v>暂不修改</x:v>
      </x:c>
      <x:c r="S2" s="48" t="str">
        <x:v>否</x:v>
      </x:c>
      <x:c r="T2" s="48" t="str">
        <x:v>亮正材料为人工标注示范样本，本轮不改动。</x:v>
      </x:c>
      <x:c r="U2" s="48" t="str">
        <x:v>seed_qa_塑胶行业筛选版_30个国民经济行业分类的人工标记</x:v>
      </x:c>
      <x:c r="V2" s="48" t="str">
        <x:v>国民经济行业分类</x:v>
      </x:c>
      <x:c r="W2" s="48" t="str">
        <x:v>选取判断相关数据无误，通过表2-2，2-3了解到属于纸、膜类韩品且设备生产线含有涂布线；</x:v>
      </x:c>
      <x:c r="X2" s="48" t="str">
        <x:v>无误</x:v>
      </x:c>
      <x:c r="Y2" s="64"/>
      <x:c r="Z2" s="64" t="str">
        <x:v>未复核</x:v>
      </x:c>
      <x:c r="AA2" s="64" t="str">
        <x:v>部分充分</x:v>
      </x:c>
      <x:c r="AB2" s="64" t="str">
        <x:v>字段错位</x:v>
      </x:c>
      <x:c r="AC2" s="64" t="str">
        <x:v>部分核验</x:v>
      </x:c>
      <x:c r="AD2" s="64" t="str">
        <x:v>自动默认</x:v>
      </x:c>
      <x:c r="AE2" s="64" t="str">
        <x:v>候选池</x:v>
      </x:c>
      <x:c r="AF2" s="64" t="str">
        <x:v>C_题目或材料问题</x:v>
      </x:c>
      <x:c r="AG2" s="64"/>
      <x:c r="AH2" s="64"/>
      <x:c r="AI2" s="64"/>
      <x:c r="AJ2" s="64"/>
      <x:c r="AK2" s="64"/>
      <x:c r="AL2" s="64"/>
      <x:c r="AM2" s="64"/>
      <x:c r="AN2" s="48" t="str">
        <x:v>2</x:v>
      </x:c>
      <x:c r="AO2" s="48" t="str">
        <x:v>LONG_TEXT_CONTAINS_POSITIVE_CONCLUSION</x:v>
      </x:c>
      <x:c r="AP2" s="48" t="str">
        <x:v>长说明占用结论字段；仅提取候选结论，必须人工确认；人工判断字段出现数值或长说明；存在报告证据，但尚未经人工逐项核验；已列依据来源，但未在本阶段逐条核验</x:v>
      </x:c>
      <x:c r="AQ2" s="64"/>
      <x:c r="AR2" s="48" t="str">
        <x:v>industry_classification</x:v>
      </x:c>
      <x:c r="AS2" s="48" t="str">
        <x:v>L3_analysis</x:v>
      </x:c>
      <x:c r="AT2" s="48" t="str">
        <x:v>multi_evidence_synthesis</x:v>
      </x:c>
      <x:c r="AU2" s="48" t="str">
        <x:v>evidence_integration</x:v>
      </x:c>
      <x:c r="AV2" s="48" t="str">
        <x:v>report_grounding；basis_grounding</x:v>
      </x:c>
      <x:c r="AW2" s="48" t="str">
        <x:v>high</x:v>
      </x:c>
      <x:c r="AX2" s="48" t="str">
        <x:v>high</x:v>
      </x:c>
      <x:c r="AY2" s="48" t="str">
        <x:v>cross_section</x:v>
      </x:c>
      <x:c r="AZ2" s="48" t="str">
        <x:v>True</x:v>
      </x:c>
      <x:c r="BA2" s="48"/>
      <x:c r="BB2" s="48" t="str">
        <x:v>auto_default</x:v>
      </x:c>
      <x:c r="BC2" s="48" t="str">
        <x:v>v1</x:v>
      </x:c>
      <x:c r="BD2" s="68"/>
    </x:row>
    <x:row r="3" ht="36" customHeight="1">
      <x:c r="A3" s="47" t="str">
        <x:v>2026-06-17</x:v>
      </x:c>
      <x:c r="B3" s="48" t="str">
        <x:v>PL002</x:v>
      </x:c>
      <x:c r="C3" s="48" t="str">
        <x:v>V01</x:v>
      </x:c>
      <x:c r="D3" s="48" t="str">
        <x:v>佛山市顺德区启卓工程塑料实业有限公司搬迁项目.docx</x:v>
      </x:c>
      <x:c r="E3" s="48" t="str">
        <x:v>佛山市顺德区启卓工程塑料实业有限公司搬迁项目</x:v>
      </x:c>
      <x:c r="F3" s="48" t="str">
        <x:v>PL002_V01_Q01</x:v>
      </x:c>
      <x:c r="G3" s="48" t="str">
        <x:v>塑胶行业样本筛选与国民经济行业分类</x:v>
      </x:c>
      <x:c r="H3" s="48" t="str">
        <x:v>请结合项目产品、原辅材料和生产工艺，判断该报告是否适合作为塑胶行业种子问答样本，并判断行业类别是否基本合理。</x:v>
      </x:c>
      <x:c r="I3" s="48" t="str">
        <x:v>1、国民经济行业类型判定结论：正确；
2、具体分析：根据项目概况，本项目主要通过配料、混料、双螺杆熔融挤出、冷却和切粒等生产工艺，生产改性塑料粒。经识别，国民经济行业类别为C2929塑料零件及其他塑料制品制造，与项目填报的国民经济行业类别C2929塑料零件及其他塑料制品制造一致。</x:v>
      </x:c>
      <x:c r="J3" s="48" t="str">
        <x:v>报告基本情况：国民经济行业类别为“C2929 塑料零件及其他塑料制品制造”；建设项目行业类别为“二十六、橡胶和塑料制品业29、53塑料制品业-292、其他（年用非溶剂型低VOCs含量涂料10吨以下的除外）”；般固废暂存间1个，面积为5m21个，面积为10m2用于一般固废暂存2、主要产品及产能项目搬迁前后产品情况如下表所示。表2-3 搬迁前后项目基本情况一览表名称搬迁前数量搬迁后数量变化量单位备注废旧塑料粒15000-1500吨/年包含PE、PP改性塑料粒03500+3500吨/年包含改性PP、改性PC、改性PA、改性PPT、改性PET3、主要生产工艺、生产设施项目主要设备设施和生产工艺情况见下表。表2-4 项目基本情况一览表序号名称规格参数单位搬迁前数量搬迁后数量变化量用于工序1拉粒机50-130KW，每台设</x:v>
      </x:c>
      <x:c r="K3" s="48" t="str">
        <x:v>报告原文；Dify工作流_标准库；标准库/经验库</x:v>
      </x:c>
      <x:c r="L3" s="48" t="str">
        <x:v>该题用于修正原Excel混入非塑胶行业项目的问题，体现样本筛选和行业分类审查价值。</x:v>
      </x:c>
      <x:c r="M3" s="48" t="str">
        <x:v>可由报告基本情况、产品方案、原辅材料和工艺流程共同验证。</x:v>
      </x:c>
      <x:c r="N3" s="48" t="str">
        <x:v>True</x:v>
      </x:c>
      <x:c r="O3" s="48" t="str">
        <x:v>112</x:v>
      </x:c>
      <x:c r="P3" s="48" t="str">
        <x:v>112</x:v>
      </x:c>
      <x:c r="Q3" s="48" t="str">
        <x:v>判断：基本合理。
依据：报告填报的行业类别和项目名称显示，该项目属于C2929塑料零件及其他塑料制品制造；报告证据中已列出产品方案、原辅材料、主要设备和生产工艺，能够支持其作为塑胶行业报告样本进行审核。
审核意见：建议后续仍结合产品属性、原辅材料和核心工艺交叉核验行业类别，不宜仅依据基本情况表作出判断。可作为普通塑料制品涉VOCs治理样本；但其主线偏搬迁/改性塑料，不是胶水/复合典型样本。</x:v>
      </x:c>
      <x:c r="R3" s="48" t="str">
        <x:v>表达优化</x:v>
      </x:c>
      <x:c r="S3" s="48" t="str">
        <x:v>否</x:v>
      </x:c>
      <x:c r="T3" s="48" t="str">
        <x:v>按亮正样本格式补充“判断—依据—审核意见”，保留原结论。</x:v>
      </x:c>
      <x:c r="U3" s="48" t="str">
        <x:v>seed_qa_塑胶行业筛选版_30个国民经济行业分类的人工标记</x:v>
      </x:c>
      <x:c r="V3" s="48" t="str">
        <x:v>国民经济行业分类</x:v>
      </x:c>
      <x:c r="W3" s="48" t="str">
        <x:v>112</x:v>
      </x:c>
      <x:c r="X3" s="48" t="str">
        <x:v>待判断</x:v>
      </x:c>
      <x:c r="Y3" s="64"/>
      <x:c r="Z3" s="64" t="str">
        <x:v>未复核</x:v>
      </x:c>
      <x:c r="AA3" s="64" t="str">
        <x:v>部分充分</x:v>
      </x:c>
      <x:c r="AB3" s="64" t="str">
        <x:v>字段错位</x:v>
      </x:c>
      <x:c r="AC3" s="64" t="str">
        <x:v>部分核验</x:v>
      </x:c>
      <x:c r="AD3" s="64" t="str">
        <x:v>自动默认</x:v>
      </x:c>
      <x:c r="AE3" s="64" t="str">
        <x:v>候选池</x:v>
      </x:c>
      <x:c r="AF3" s="64" t="str">
        <x:v>C_题目或材料问题</x:v>
      </x:c>
      <x:c r="AG3" s="64"/>
      <x:c r="AH3" s="64"/>
      <x:c r="AI3" s="64"/>
      <x:c r="AJ3" s="64"/>
      <x:c r="AK3" s="64"/>
      <x:c r="AL3" s="64"/>
      <x:c r="AM3" s="64"/>
      <x:c r="AN3" s="48" t="str">
        <x:v>9</x:v>
      </x:c>
      <x:c r="AO3" s="48" t="str">
        <x:v>MAP_112</x:v>
      </x:c>
      <x:c r="AP3" s="48" t="str">
        <x:v>数值112占用结论字段：疑似字段错位；人工判断字段出现数值或长说明；存在报告证据，但尚未经人工逐项核验；已列依据来源，但未在本阶段逐条核验</x:v>
      </x:c>
      <x:c r="AQ3" s="64"/>
      <x:c r="AR3" s="48" t="str">
        <x:v>industry_classification</x:v>
      </x:c>
      <x:c r="AS3" s="48" t="str">
        <x:v>L3_analysis</x:v>
      </x:c>
      <x:c r="AT3" s="48" t="str">
        <x:v>multi_evidence_synthesis</x:v>
      </x:c>
      <x:c r="AU3" s="48" t="str">
        <x:v>evidence_integration</x:v>
      </x:c>
      <x:c r="AV3" s="48" t="str">
        <x:v>report_grounding；basis_grounding</x:v>
      </x:c>
      <x:c r="AW3" s="48" t="str">
        <x:v>high</x:v>
      </x:c>
      <x:c r="AX3" s="48" t="str">
        <x:v>high</x:v>
      </x:c>
      <x:c r="AY3" s="48" t="str">
        <x:v>cross_section</x:v>
      </x:c>
      <x:c r="AZ3" s="48" t="str">
        <x:v>True</x:v>
      </x:c>
      <x:c r="BA3" s="48"/>
      <x:c r="BB3" s="48" t="str">
        <x:v>auto_default</x:v>
      </x:c>
      <x:c r="BC3" s="48" t="str">
        <x:v>v1</x:v>
      </x:c>
      <x:c r="BD3" s="68"/>
    </x:row>
    <x:row r="4" ht="36" customHeight="1">
      <x:c r="A4" s="47" t="str">
        <x:v>2026-06-17</x:v>
      </x:c>
      <x:c r="B4" s="48" t="str">
        <x:v>PL003</x:v>
      </x:c>
      <x:c r="C4" s="48" t="str">
        <x:v>V01</x:v>
      </x:c>
      <x:c r="D4" s="48" t="str">
        <x:v>佛山市顺德区康明新材料厂新建项目.docx</x:v>
      </x:c>
      <x:c r="E4" s="48" t="str">
        <x:v>佛山市顺德区康明新材料厂新建项目</x:v>
      </x:c>
      <x:c r="F4" s="48" t="str">
        <x:v>PL003_V01_Q01</x:v>
      </x:c>
      <x:c r="G4" s="48" t="str">
        <x:v>塑胶行业样本筛选与国民经济行业分类</x:v>
      </x:c>
      <x:c r="H4" s="48" t="str">
        <x:v>请结合项目产品、原辅材料和生产工艺，判断该报告行业类别是否基本合理。</x:v>
      </x:c>
      <x:c r="I4" s="48" t="str">
        <x:v>1、国民经济行业类型判定结论：正确；
2、具体分析：根据项目概况，本项目主要通过混料、吹膜、涂布、烘干、分切、复卷和检验等生产工艺，生产塑料薄膜。经识别，国民经济行业类别为C2921塑料薄膜制造，与项目填报的国民经济行业类别C2921塑料薄膜制造一致。</x:v>
      </x:c>
      <x:c r="J4" s="48" t="str">
        <x:v>报告基本情况：国民经济行业类别为“C2921塑料薄膜制造”；建设项目行业类别为“二十六、橡胶和塑料制品业29-53塑料制品业292-“其他（年用非溶剂型低VOCs含量涂料10吨以下的除外）””；，主要工艺为混料、吹膜、涂布、烘干、分切、复卷、检验等工艺，项目建成后产品方案详见表2-2所示。表2-2 项目工程规模一览表主要指标本项目总投资额100 万元其中环保投资额15 万元工程规模占地面积1900 m2建筑面积1900 m2产品方案塑料薄膜242.368 吨/年参数宽1.5m，厚度0.1mm产品用途用作不锈钢产品或电子产品的保护膜2.2建设内容及规模本项目所在的建筑共一层，占地面积为1900平方米，建筑面积为1900平方米，高为8米。根据建设单位提供的资料，本项目建设组成详见表2-3。表2-3</x:v>
      </x:c>
      <x:c r="K4" s="48" t="str">
        <x:v>报告原文；Dify工作流_标准库；标准库/经验库</x:v>
      </x:c>
      <x:c r="L4" s="48" t="str">
        <x:v>该题用于修正原Excel混入非塑胶行业项目的问题，体现样本筛选和行业分类审查价值。</x:v>
      </x:c>
      <x:c r="M4" s="48" t="str">
        <x:v>可由报告基本情况、产品方案、原辅材料和工艺流程共同验证。</x:v>
      </x:c>
      <x:c r="N4" s="48" t="str">
        <x:v>True</x:v>
      </x:c>
      <x:c r="O4" s="48" t="str">
        <x:v>112</x:v>
      </x:c>
      <x:c r="P4" s="48" t="str">
        <x:v>112</x:v>
      </x:c>
      <x:c r="Q4" s="48" t="str">
        <x:v>判断：基本合理。
依据：报告填报的行业类别和项目名称显示，该项目属于C2921塑料薄膜制造，涉及吹膜/涂布/烘干；报告证据中已列出产品方案、原辅材料、主要设备和生产工艺，能够支持其作为塑胶行业报告样本进行审核。
审核意见：建议后续仍结合产品属性、原辅材料和核心工艺交叉核验行业类别，不宜仅依据基本情况表作出判断。属于塑料薄膜制造，且涉及保护胶涂布、吹膜、烘干和二级活性炭治理，是较适合展示涉VOCs塑胶项目的样本。</x:v>
      </x:c>
      <x:c r="R4" s="48" t="str">
        <x:v>表达优化</x:v>
      </x:c>
      <x:c r="S4" s="48" t="str">
        <x:v>否</x:v>
      </x:c>
      <x:c r="T4" s="48" t="str">
        <x:v>按亮正样本格式补充“判断—依据—审核意见”，保留原结论。</x:v>
      </x:c>
      <x:c r="U4" s="48" t="str">
        <x:v>seed_qa_塑胶行业筛选版_30个国民经济行业分类的人工标记</x:v>
      </x:c>
      <x:c r="V4" s="48" t="str">
        <x:v>国民经济行业分类</x:v>
      </x:c>
      <x:c r="W4" s="48" t="str">
        <x:v>112</x:v>
      </x:c>
      <x:c r="X4" s="48" t="str">
        <x:v>待判断</x:v>
      </x:c>
      <x:c r="Y4" s="64"/>
      <x:c r="Z4" s="64" t="str">
        <x:v>未复核</x:v>
      </x:c>
      <x:c r="AA4" s="64" t="str">
        <x:v>部分充分</x:v>
      </x:c>
      <x:c r="AB4" s="64" t="str">
        <x:v>字段错位</x:v>
      </x:c>
      <x:c r="AC4" s="64" t="str">
        <x:v>部分核验</x:v>
      </x:c>
      <x:c r="AD4" s="64" t="str">
        <x:v>自动默认</x:v>
      </x:c>
      <x:c r="AE4" s="64" t="str">
        <x:v>候选池</x:v>
      </x:c>
      <x:c r="AF4" s="64" t="str">
        <x:v>C_题目或材料问题</x:v>
      </x:c>
      <x:c r="AG4" s="64"/>
      <x:c r="AH4" s="64"/>
      <x:c r="AI4" s="64"/>
      <x:c r="AJ4" s="64"/>
      <x:c r="AK4" s="64"/>
      <x:c r="AL4" s="64"/>
      <x:c r="AM4" s="64"/>
      <x:c r="AN4" s="48" t="str">
        <x:v>16</x:v>
      </x:c>
      <x:c r="AO4" s="48" t="str">
        <x:v>MAP_112</x:v>
      </x:c>
      <x:c r="AP4" s="48" t="str">
        <x:v>数值112占用结论字段：疑似字段错位；人工判断字段出现数值或长说明；存在报告证据，但尚未经人工逐项核验；已列依据来源，但未在本阶段逐条核验</x:v>
      </x:c>
      <x:c r="AQ4" s="64"/>
      <x:c r="AR4" s="48" t="str">
        <x:v>industry_classification</x:v>
      </x:c>
      <x:c r="AS4" s="48" t="str">
        <x:v>L3_analysis</x:v>
      </x:c>
      <x:c r="AT4" s="48" t="str">
        <x:v>multi_evidence_synthesis</x:v>
      </x:c>
      <x:c r="AU4" s="48" t="str">
        <x:v>evidence_integration</x:v>
      </x:c>
      <x:c r="AV4" s="48" t="str">
        <x:v>report_grounding；basis_grounding</x:v>
      </x:c>
      <x:c r="AW4" s="48" t="str">
        <x:v>high</x:v>
      </x:c>
      <x:c r="AX4" s="48" t="str">
        <x:v>high</x:v>
      </x:c>
      <x:c r="AY4" s="48" t="str">
        <x:v>cross_section</x:v>
      </x:c>
      <x:c r="AZ4" s="48" t="str">
        <x:v>True</x:v>
      </x:c>
      <x:c r="BA4" s="48"/>
      <x:c r="BB4" s="48" t="str">
        <x:v>auto_default</x:v>
      </x:c>
      <x:c r="BC4" s="48" t="str">
        <x:v>v1</x:v>
      </x:c>
      <x:c r="BD4" s="68"/>
    </x:row>
    <x:row r="5" ht="36" customHeight="1">
      <x:c r="A5" s="47" t="str">
        <x:v>2026-06-17</x:v>
      </x:c>
      <x:c r="B5" s="48" t="str">
        <x:v>PL004</x:v>
      </x:c>
      <x:c r="C5" s="48" t="str">
        <x:v>V01</x:v>
      </x:c>
      <x:c r="D5" s="48" t="str">
        <x:v>恒励新材料科技（佛山）有限公司新建项目.docx</x:v>
      </x:c>
      <x:c r="E5" s="48" t="str">
        <x:v>恒励新材料科技(佛山)有限公司新建项目</x:v>
      </x:c>
      <x:c r="F5" s="48" t="str">
        <x:v>PL004_V01_Q01</x:v>
      </x:c>
      <x:c r="G5" s="48" t="str">
        <x:v>塑胶行业样本筛选与国民经济行业分类</x:v>
      </x:c>
      <x:c r="H5" s="48" t="str">
        <x:v>请结合项目产品、原辅材料和生产工艺，判断该报告行业类别是否基本合理。</x:v>
      </x:c>
      <x:c r="I5" s="48" t="str">
        <x:v>1、国民经济行业类型判定结论：正确；
2、具体分析：根据项目概况，本项目主要通过投料、混料、双螺杆熔融挤出、水下切粒和筛选等生产工艺，生产改性SEBS塑料粒。经识别，国民经济行业类别为C2929塑料零件及其他塑料制品制造，与项目填报的国民经济行业类别C2929塑料零件及其他塑料制品制造一致。</x:v>
      </x:c>
      <x:c r="J5" s="48" t="str">
        <x:v>报告基本情况：国民经济行业类别为“C2929 塑料零件及其他塑料制品制造”；建设项目行业类别为“二十六、橡胶和塑料制品业29、53塑料制品业-292、其他（年用非溶剂型低VOCs含量涂料10吨以下的除外）”；2用于危险废物暂存一般固废暂存间1个，面积为5m2用于一般固废暂存2、主要产品及产能项目产品情况如下表所示。表2-2 项目基本情况一览表名称数量单位包装规格最大储存量改性SEBS塑料720吨/年25kg/袋15t3、主要生产工艺、生产设施项目主要设备设施和生产工艺情况见下表。表2-3 项目基本情况一览表序号名称规格参数单位数量用于工序1混料机500KG台2投料混料2双螺杆挤出机65双螺旋杆，100kg/h台2挤出3水下切粒系统3KW台2冷却切粒4振动筛/台2筛选5储料罐高约1.5米，一次约装300kg料台</x:v>
      </x:c>
      <x:c r="K5" s="48" t="str">
        <x:v>报告原文；Dify工作流_标准库；标准库/经验库</x:v>
      </x:c>
      <x:c r="L5" s="48" t="str">
        <x:v>该题用于修正原Excel混入非塑胶行业项目的问题，体现样本筛选和行业分类审查价值。</x:v>
      </x:c>
      <x:c r="M5" s="48" t="str">
        <x:v>可由报告基本情况、产品方案、原辅材料和工艺流程共同验证。</x:v>
      </x:c>
      <x:c r="N5" s="48" t="str">
        <x:v>True</x:v>
      </x:c>
      <x:c r="O5" s="48" t="str">
        <x:v>112</x:v>
      </x:c>
      <x:c r="P5" s="48" t="str">
        <x:v>112</x:v>
      </x:c>
      <x:c r="Q5" s="48" t="str">
        <x:v>判断：基本合理。
依据：报告填报的行业类别和项目名称显示，该项目属于C2929改性SEBS塑料，涉及混料、挤出、切粒；报告证据中已列出产品方案、原辅材料、主要设备和生产工艺，能够支持其作为塑胶行业报告样本进行审核。
审核意见：建议后续仍结合产品属性、原辅材料和核心工艺交叉核验行业类别，不宜仅依据基本情况表作出判断。属于改性SEBS塑料项目，涉混料、挤出、活性炭治理和恶臭影响；适合作为普通塑胶涉VOCs/恶臭治理对照样本。</x:v>
      </x:c>
      <x:c r="R5" s="48" t="str">
        <x:v>表达优化</x:v>
      </x:c>
      <x:c r="S5" s="48" t="str">
        <x:v>否</x:v>
      </x:c>
      <x:c r="T5" s="48" t="str">
        <x:v>按亮正样本格式补充“判断—依据—审核意见”，保留原结论。</x:v>
      </x:c>
      <x:c r="U5" s="48" t="str">
        <x:v>seed_qa_塑胶行业筛选版_30个国民经济行业分类的人工标记</x:v>
      </x:c>
      <x:c r="V5" s="48" t="str">
        <x:v>国民经济行业分类</x:v>
      </x:c>
      <x:c r="W5" s="48" t="str">
        <x:v>112</x:v>
      </x:c>
      <x:c r="X5" s="48" t="str">
        <x:v>待判断</x:v>
      </x:c>
      <x:c r="Y5" s="64"/>
      <x:c r="Z5" s="64" t="str">
        <x:v>未复核</x:v>
      </x:c>
      <x:c r="AA5" s="64" t="str">
        <x:v>部分充分</x:v>
      </x:c>
      <x:c r="AB5" s="64" t="str">
        <x:v>字段错位</x:v>
      </x:c>
      <x:c r="AC5" s="64" t="str">
        <x:v>部分核验</x:v>
      </x:c>
      <x:c r="AD5" s="64" t="str">
        <x:v>自动默认</x:v>
      </x:c>
      <x:c r="AE5" s="64" t="str">
        <x:v>候选池</x:v>
      </x:c>
      <x:c r="AF5" s="64" t="str">
        <x:v>C_题目或材料问题</x:v>
      </x:c>
      <x:c r="AG5" s="64"/>
      <x:c r="AH5" s="64"/>
      <x:c r="AI5" s="64"/>
      <x:c r="AJ5" s="64"/>
      <x:c r="AK5" s="64"/>
      <x:c r="AL5" s="64"/>
      <x:c r="AM5" s="64"/>
      <x:c r="AN5" s="48" t="str">
        <x:v>23</x:v>
      </x:c>
      <x:c r="AO5" s="48" t="str">
        <x:v>MAP_112</x:v>
      </x:c>
      <x:c r="AP5" s="48" t="str">
        <x:v>数值112占用结论字段：疑似字段错位；人工判断字段出现数值或长说明；存在报告证据，但尚未经人工逐项核验；已列依据来源，但未在本阶段逐条核验</x:v>
      </x:c>
      <x:c r="AQ5" s="64"/>
      <x:c r="AR5" s="48" t="str">
        <x:v>industry_classification</x:v>
      </x:c>
      <x:c r="AS5" s="48" t="str">
        <x:v>L3_analysis</x:v>
      </x:c>
      <x:c r="AT5" s="48" t="str">
        <x:v>multi_evidence_synthesis</x:v>
      </x:c>
      <x:c r="AU5" s="48" t="str">
        <x:v>evidence_integration</x:v>
      </x:c>
      <x:c r="AV5" s="48" t="str">
        <x:v>report_grounding；basis_grounding</x:v>
      </x:c>
      <x:c r="AW5" s="48" t="str">
        <x:v>high</x:v>
      </x:c>
      <x:c r="AX5" s="48" t="str">
        <x:v>high</x:v>
      </x:c>
      <x:c r="AY5" s="48" t="str">
        <x:v>cross_section</x:v>
      </x:c>
      <x:c r="AZ5" s="48" t="str">
        <x:v>True</x:v>
      </x:c>
      <x:c r="BA5" s="48"/>
      <x:c r="BB5" s="48" t="str">
        <x:v>auto_default</x:v>
      </x:c>
      <x:c r="BC5" s="48" t="str">
        <x:v>v1</x:v>
      </x:c>
      <x:c r="BD5" s="68"/>
    </x:row>
    <x:row r="6" ht="36" customHeight="1">
      <x:c r="A6" s="47" t="str">
        <x:v>2026-06-25</x:v>
      </x:c>
      <x:c r="B6" s="48" t="str">
        <x:v>PL018</x:v>
      </x:c>
      <x:c r="C6" s="48" t="str">
        <x:v>V01</x:v>
      </x:c>
      <x:c r="D6" s="48" t="str">
        <x:v>年10月10日建设项目环境影响报告书（表）受理公告（佛山市生态环境局顺德分局）_4.pdf</x:v>
      </x:c>
      <x:c r="E6" s="48" t="str">
        <x:v>广东台塑智能科技有限公司新建项目</x:v>
      </x:c>
      <x:c r="F6" s="48" t="str">
        <x:v>PL018_V01_Q01</x:v>
      </x:c>
      <x:c r="G6" s="48" t="str">
        <x:v>1. 塑胶行业样本筛选与国民经济行业分类</x:v>
      </x:c>
      <x:c r="H6" s="48" t="str">
        <x:v>请结合项目产品、原辅材料和生产工艺，判断该报告行业类别是否基本合理。</x:v>
      </x:c>
      <x:c r="I6" s="48" t="str">
        <x:v>国民经济行业类型判定结论：需复核；具体分析：本项目以ABS塑料、PP塑料为主要原料，经投料、混料、注塑、印刷、烘干和装配等工序，生产轿车塑料配件和小家电塑料组装件，该生产活动符合C2929塑料零件及其他塑料制品制造，与报告填报类别一致。项目同时列有电线产品，并使用铜线和塑料等原料，从产品和原料看与C3831电线、电缆制造基本匹配；但现有证据未展示电线的绝缘挤出、印字、收卷等核心生产工艺，尚不能形成完整证据链。因此，C2929类别基本合理，C3831类别需补充电线生产工艺后复核确认。</x:v>
      </x:c>
      <x:c r="J6" s="48" t="str">
        <x:v>北滘镇黄龙村委会龙汇路三号 A 栋 地理坐标 （ 113 度 9 分 31.564 秒， 22 度 54 分 28.567 秒） 国民经济 行业类别 C2929 塑料零件及其他塑料 制品制造；C3831 电线、电 缆制造 建设项目 行业类别 建设性质 新建（迁建） 改建 扩建 □技术改造 建设项目 申报情形 二十六、橡胶和塑料制品业 53 塑料制 品业，其他（年用非溶剂型低 VOCs 含量涂料 10 吨以下的除外）； 三十五、电气机械和器材制造业 77 电 线、电缆、光缆及电工器材制造，其 他（仅分割、焊接、组装的除外；年 用非溶剂型低 VOCs 含量涂料 10 吨以 下的除外） 首次申报项目 □不予批准后再次申报项目 □超五年重新审核项目 □重大变动重新报批项目 项目审批（核准/ 备案）部门（选填） / 项目审批（核准/ 备案）文号（选填） / 总投资（万元） 1000 环保投资</x:v>
      </x:c>
      <x:c r="K6" s="48" t="str">
        <x:v>《国民经济行业分类》(GB/T 4754—2017)；本任务C292筛选及C17/C18排除规则</x:v>
      </x:c>
      <x:c r="L6" s="48" t="str">
        <x:v>结合本项目行业代码、建设性质、工艺关键词及PDF证据生成，非脱离项目的通用题。</x:v>
      </x:c>
      <x:c r="M6" s="48" t="str">
        <x:v>可依据对应PDF原文、工程分析表格及所列法规标准逐项复核。</x:v>
      </x:c>
      <x:c r="N6" s="48" t="str">
        <x:v>True</x:v>
      </x:c>
      <x:c r="O6" s="48"/>
      <x:c r="P6" s="48"/>
      <x:c r="Q6" s="48"/>
      <x:c r="R6" s="48" t="str">
        <x:v>新增</x:v>
      </x:c>
      <x:c r="S6" s="48" t="str">
        <x:v>是</x:v>
      </x:c>
      <x:c r="T6" s="48" t="str">
        <x:v>自动生成；需人工复核项目参数、公式取值、标准适用范围及PDF文字提取完整性。</x:v>
      </x:c>
      <x:c r="U6" s="48" t="str">
        <x:v>seed_qa_塑胶行业筛选版_30个国民经济行业分类的人工标记</x:v>
      </x:c>
      <x:c r="V6" s="48" t="str">
        <x:v>国民经济行业分类</x:v>
      </x:c>
      <x:c r="W6" s="48"/>
      <x:c r="X6" s="48" t="str">
        <x:v>待判断</x:v>
      </x:c>
      <x:c r="Y6" s="64"/>
      <x:c r="Z6" s="64" t="str">
        <x:v>未复核</x:v>
      </x:c>
      <x:c r="AA6" s="64" t="str">
        <x:v>部分充分</x:v>
      </x:c>
      <x:c r="AB6" s="64" t="str">
        <x:v>待判断</x:v>
      </x:c>
      <x:c r="AC6" s="64" t="str">
        <x:v>部分核验</x:v>
      </x:c>
      <x:c r="AD6" s="64" t="str">
        <x:v>自动默认</x:v>
      </x:c>
      <x:c r="AE6" s="64" t="str">
        <x:v>候选池</x:v>
      </x:c>
      <x:c r="AF6" s="64" t="str">
        <x:v>C_题目或材料问题</x:v>
      </x:c>
      <x:c r="AG6" s="64"/>
      <x:c r="AH6" s="64"/>
      <x:c r="AI6" s="64"/>
      <x:c r="AJ6" s="64"/>
      <x:c r="AK6" s="64"/>
      <x:c r="AL6" s="64"/>
      <x:c r="AM6" s="64"/>
      <x:c r="AN6" s="48" t="str">
        <x:v>85</x:v>
      </x:c>
      <x:c r="AO6" s="48" t="str">
        <x:v>MAP_BLANK</x:v>
      </x:c>
      <x:c r="AP6" s="48" t="str">
        <x:v>人工判断为空：不得自动补填结论；人工判断为空；结构完整但原因需人工确认；存在报告证据，但尚未经人工逐项核验；已列依据来源，但未在本阶段逐条核验</x:v>
      </x:c>
      <x:c r="AQ6" s="64"/>
      <x:c r="AR6" s="48" t="str">
        <x:v>industry_classification</x:v>
      </x:c>
      <x:c r="AS6" s="48" t="str">
        <x:v>L3_analysis</x:v>
      </x:c>
      <x:c r="AT6" s="48" t="str">
        <x:v>multi_evidence_synthesis</x:v>
      </x:c>
      <x:c r="AU6" s="48" t="str">
        <x:v>evidence_integration</x:v>
      </x:c>
      <x:c r="AV6" s="48" t="str">
        <x:v>report_grounding；basis_grounding</x:v>
      </x:c>
      <x:c r="AW6" s="48" t="str">
        <x:v>high</x:v>
      </x:c>
      <x:c r="AX6" s="48" t="str">
        <x:v>high</x:v>
      </x:c>
      <x:c r="AY6" s="48" t="str">
        <x:v>cross_section</x:v>
      </x:c>
      <x:c r="AZ6" s="48" t="str">
        <x:v>True</x:v>
      </x:c>
      <x:c r="BA6" s="48"/>
      <x:c r="BB6" s="48" t="str">
        <x:v>auto_default</x:v>
      </x:c>
      <x:c r="BC6" s="48" t="str">
        <x:v>v1</x:v>
      </x:c>
      <x:c r="BD6" s="68"/>
    </x:row>
    <x:row r="7" ht="36" customHeight="1">
      <x:c r="A7" s="47" t="str">
        <x:v>2026-06-25</x:v>
      </x:c>
      <x:c r="B7" s="48" t="str">
        <x:v>PL019</x:v>
      </x:c>
      <x:c r="C7" s="48" t="str">
        <x:v>V01</x:v>
      </x:c>
      <x:c r="D7" s="48" t="str">
        <x:v>年10月12日建设项目环境影响报告书（表）受理公告（佛山市生态环境局顺德分局）_1.pdf</x:v>
      </x:c>
      <x:c r="E7" s="48" t="str">
        <x:v>佛山市智龙科技有限公司迁扩建项目</x:v>
      </x:c>
      <x:c r="F7" s="48" t="str">
        <x:v>PL019_V01_Q01</x:v>
      </x:c>
      <x:c r="G7" s="48" t="str">
        <x:v>1. 塑胶行业样本筛选与国民经济行业分类</x:v>
      </x:c>
      <x:c r="H7" s="48" t="str">
        <x:v>请结合项目产品、原辅材料和生产工艺，判断该报告行业类别是否基本合理。</x:v>
      </x:c>
      <x:c r="I7" s="48" t="str">
        <x:v>1、国民经济行业类型判定结论：正确；
2、具体分析：根据项目概况，本项目以PP、ABS、PC、PVC、TPU塑料粒、色母及五金配件、铜线、线路板、LED灯珠等为主要原辅材料，经电子配件绕线、焊接和浸锡，以及塑料混料、熔融注塑或挤出、超声波焊接、组装和检测等工序，生产溜冰鞋轮、滑板车轮、儿童车轮及其他车轮；电子配件制作属于车轮生产的配套工序。经识别，本项目属于C2929 塑料零件及其他塑料制品制造，与报告填报的C2929 塑料零件及其他塑料制品制造一致，行业类别基本合理。</x:v>
      </x:c>
      <x:c r="J7" s="48" t="str">
        <x:v>科园 6 栋 201 之一 地理坐标 （东经 113 度 8 分 38.248 秒，北纬 22 度 50 分 55.525 秒） 国民经济 行业类别 C2929 塑料零件及其 他塑料制品制造 建设项目 行业类别 建设性质 新建（迁建） 改建 扩建 技术改造 建设项目 申报情形 二十六、橡胶和塑料制品业 29塑料制品业 292-其他（年用非 溶剂型低 VOCs 含量涂料 10 吨 以下的除外） 首次申报项目 不予批准后再次申报项目 超五年重新审核项目 重大变动重新报批项目 项目审批（核准/ 备案）部门（选 填） / 项目审批（核准/ 备案）文号（选填） / 总投资（万元） 100 环保投资（万元） 12 环保投资占比 （%） 12 施工工期 1 个月 用地（用海） 面积（m2） 1100 是否开工建设 否 是： 专项评价设置 情况 无 规划情况 无 规划环境影响 评价情况</x:v>
      </x:c>
      <x:c r="K7" s="48" t="str">
        <x:v>《国民经济行业分类》(GB/T 4754—2017)；本任务C292筛选及C17/C18排除规则</x:v>
      </x:c>
      <x:c r="L7" s="48" t="str">
        <x:v>结合本项目行业代码、建设性质、工艺关键词及PDF证据生成，非脱离项目的通用题。</x:v>
      </x:c>
      <x:c r="M7" s="48" t="str">
        <x:v>可依据对应PDF原文、工程分析表格及所列法规标准逐项复核。</x:v>
      </x:c>
      <x:c r="N7" s="48" t="str">
        <x:v>True</x:v>
      </x:c>
      <x:c r="O7" s="48"/>
      <x:c r="P7" s="48"/>
      <x:c r="Q7" s="48"/>
      <x:c r="R7" s="48" t="str">
        <x:v>新增</x:v>
      </x:c>
      <x:c r="S7" s="48" t="str">
        <x:v>是</x:v>
      </x:c>
      <x:c r="T7" s="48" t="str">
        <x:v>自动生成；需人工复核项目参数、公式取值、标准适用范围及PDF文字提取完整性。</x:v>
      </x:c>
      <x:c r="U7" s="48" t="str">
        <x:v>seed_qa_塑胶行业筛选版_30个国民经济行业分类的人工标记</x:v>
      </x:c>
      <x:c r="V7" s="48" t="str">
        <x:v>国民经济行业分类</x:v>
      </x:c>
      <x:c r="W7" s="48"/>
      <x:c r="X7" s="48" t="str">
        <x:v>待判断</x:v>
      </x:c>
      <x:c r="Y7" s="64"/>
      <x:c r="Z7" s="64" t="str">
        <x:v>未复核</x:v>
      </x:c>
      <x:c r="AA7" s="64" t="str">
        <x:v>部分充分</x:v>
      </x:c>
      <x:c r="AB7" s="64" t="str">
        <x:v>待判断</x:v>
      </x:c>
      <x:c r="AC7" s="64" t="str">
        <x:v>部分核验</x:v>
      </x:c>
      <x:c r="AD7" s="64" t="str">
        <x:v>自动默认</x:v>
      </x:c>
      <x:c r="AE7" s="64" t="str">
        <x:v>候选池</x:v>
      </x:c>
      <x:c r="AF7" s="64" t="str">
        <x:v>C_题目或材料问题</x:v>
      </x:c>
      <x:c r="AG7" s="64"/>
      <x:c r="AH7" s="64"/>
      <x:c r="AI7" s="64"/>
      <x:c r="AJ7" s="64"/>
      <x:c r="AK7" s="64"/>
      <x:c r="AL7" s="64"/>
      <x:c r="AM7" s="64"/>
      <x:c r="AN7" s="48" t="str">
        <x:v>92</x:v>
      </x:c>
      <x:c r="AO7" s="48" t="str">
        <x:v>MAP_BLANK</x:v>
      </x:c>
      <x:c r="AP7" s="48" t="str">
        <x:v>人工判断为空：不得自动补填结论；人工判断为空；结构完整但原因需人工确认；存在报告证据，但尚未经人工逐项核验；已列依据来源，但未在本阶段逐条核验</x:v>
      </x:c>
      <x:c r="AQ7" s="64"/>
      <x:c r="AR7" s="48" t="str">
        <x:v>industry_classification</x:v>
      </x:c>
      <x:c r="AS7" s="48" t="str">
        <x:v>L3_analysis</x:v>
      </x:c>
      <x:c r="AT7" s="48" t="str">
        <x:v>multi_evidence_synthesis</x:v>
      </x:c>
      <x:c r="AU7" s="48" t="str">
        <x:v>evidence_integration</x:v>
      </x:c>
      <x:c r="AV7" s="48" t="str">
        <x:v>report_grounding；basis_grounding</x:v>
      </x:c>
      <x:c r="AW7" s="48" t="str">
        <x:v>high</x:v>
      </x:c>
      <x:c r="AX7" s="48" t="str">
        <x:v>high</x:v>
      </x:c>
      <x:c r="AY7" s="48" t="str">
        <x:v>cross_section</x:v>
      </x:c>
      <x:c r="AZ7" s="48" t="str">
        <x:v>True</x:v>
      </x:c>
      <x:c r="BA7" s="48"/>
      <x:c r="BB7" s="48" t="str">
        <x:v>auto_default</x:v>
      </x:c>
      <x:c r="BC7" s="48" t="str">
        <x:v>v1</x:v>
      </x:c>
      <x:c r="BD7" s="68"/>
    </x:row>
    <x:row r="8" ht="36" customHeight="1">
      <x:c r="A8" s="47" t="str">
        <x:v>2026-06-25</x:v>
      </x:c>
      <x:c r="B8" s="48" t="str">
        <x:v>PL020</x:v>
      </x:c>
      <x:c r="C8" s="48" t="str">
        <x:v>V01</x:v>
      </x:c>
      <x:c r="D8" s="48" t="str">
        <x:v>年10月16日建设项目环境影响报告书（表）受理公告（佛山市生态环境局顺德分局）_2.pdf</x:v>
      </x:c>
      <x:c r="E8" s="48" t="str">
        <x:v>佛山市朗信塑料制品有限公司新建项目</x:v>
      </x:c>
      <x:c r="F8" s="48" t="str">
        <x:v>PL020_V01_Q01</x:v>
      </x:c>
      <x:c r="G8" s="48" t="str">
        <x:v>1. 塑胶行业样本筛选与国民经济行业分类</x:v>
      </x:c>
      <x:c r="H8" s="48" t="str">
        <x:v>请结合项目产品、原辅材料和生产工艺，判断该报告行业类别是否基本合理。</x:v>
      </x:c>
      <x:c r="I8" s="48" t="str">
        <x:v>国民经济行业类型判定结论：正确；具体分析：根据项目概况，本项目以ABS、PP、AS、PA、TPE、POM塑料粒及色粉为主要原辅材料，经混料、注塑、检验和包装等工序，生产水壶外壳、熨斗机外壳和打磨机内壳；生产过程中产生的废边角料和不合格品经破碎后回用于注塑生产。经识别，本项目属于C2929塑料零件及其他塑料制品制造，与报告填报的C2929塑料零件及其他塑料制品制造一致，行业类别基本合理。</x:v>
      </x:c>
      <x:c r="J8" s="48" t="str">
        <x:v>江村村慧商四路 5 号之六 2 楼 地理坐标 （ 113 度 10 分 11.139 秒， 22 度 51 分 5.414 秒） 国民经济 C2929 塑料零件及其 行业类别 他塑料制品制造 新建（迁建） 改建 建设性质 扩建 技术改造 项目审批（核 无 准/备案）部 门（选填） 总投资（万 100 元） 环保投资占 15 比（%） 是否开工建 否 是： 设 13607216269 联系方式 建设项目 行业类别 建设项目 申报情形 二十六、橡胶和塑料制品业 29-53 塑料制品业 292-其他（年 用非溶剂型低 VOCs 含量涂料 10 吨以下的除外） 首次申报项目 不予批准后再次申报项目 超五年重新审核项目 重大变动重新报批项目 项目审批（核准/ 备案）文号（选填） 无 环保投资（万元） 15 施工工期 1 个月 用地（用海） 面积（m2） 4392.38 专项评价</x:v>
      </x:c>
      <x:c r="K8" s="48" t="str">
        <x:v>《国民经济行业分类》(GB/T 4754—2017)；本任务C292筛选及C17/C18排除规则</x:v>
      </x:c>
      <x:c r="L8" s="48" t="str">
        <x:v>结合本项目行业代码、建设性质、工艺关键词及PDF证据生成，非脱离项目的通用题。</x:v>
      </x:c>
      <x:c r="M8" s="48" t="str">
        <x:v>可依据对应PDF原文、工程分析表格及所列法规标准逐项复核。</x:v>
      </x:c>
      <x:c r="N8" s="48" t="str">
        <x:v>True</x:v>
      </x:c>
      <x:c r="O8" s="48"/>
      <x:c r="P8" s="48"/>
      <x:c r="Q8" s="48"/>
      <x:c r="R8" s="48" t="str">
        <x:v>新增</x:v>
      </x:c>
      <x:c r="S8" s="48" t="str">
        <x:v>是</x:v>
      </x:c>
      <x:c r="T8" s="48" t="str">
        <x:v>自动生成；需人工复核项目参数、公式取值、标准适用范围及PDF文字提取完整性。</x:v>
      </x:c>
      <x:c r="U8" s="48" t="str">
        <x:v>seed_qa_塑胶行业筛选版_30个国民经济行业分类的人工标记</x:v>
      </x:c>
      <x:c r="V8" s="48" t="str">
        <x:v>国民经济行业分类</x:v>
      </x:c>
      <x:c r="W8" s="48"/>
      <x:c r="X8" s="48" t="str">
        <x:v>待判断</x:v>
      </x:c>
      <x:c r="Y8" s="64"/>
      <x:c r="Z8" s="64" t="str">
        <x:v>未复核</x:v>
      </x:c>
      <x:c r="AA8" s="64" t="str">
        <x:v>部分充分</x:v>
      </x:c>
      <x:c r="AB8" s="64" t="str">
        <x:v>待判断</x:v>
      </x:c>
      <x:c r="AC8" s="64" t="str">
        <x:v>部分核验</x:v>
      </x:c>
      <x:c r="AD8" s="64" t="str">
        <x:v>自动默认</x:v>
      </x:c>
      <x:c r="AE8" s="64" t="str">
        <x:v>候选池</x:v>
      </x:c>
      <x:c r="AF8" s="64" t="str">
        <x:v>C_题目或材料问题</x:v>
      </x:c>
      <x:c r="AG8" s="64"/>
      <x:c r="AH8" s="64"/>
      <x:c r="AI8" s="64"/>
      <x:c r="AJ8" s="64"/>
      <x:c r="AK8" s="64"/>
      <x:c r="AL8" s="64"/>
      <x:c r="AM8" s="64"/>
      <x:c r="AN8" s="48" t="str">
        <x:v>99</x:v>
      </x:c>
      <x:c r="AO8" s="48" t="str">
        <x:v>MAP_BLANK</x:v>
      </x:c>
      <x:c r="AP8" s="48" t="str">
        <x:v>人工判断为空：不得自动补填结论；人工判断为空；结构完整但原因需人工确认；存在报告证据，但尚未经人工逐项核验；已列依据来源，但未在本阶段逐条核验</x:v>
      </x:c>
      <x:c r="AQ8" s="64"/>
      <x:c r="AR8" s="48" t="str">
        <x:v>industry_classification</x:v>
      </x:c>
      <x:c r="AS8" s="48" t="str">
        <x:v>L3_analysis</x:v>
      </x:c>
      <x:c r="AT8" s="48" t="str">
        <x:v>multi_evidence_synthesis</x:v>
      </x:c>
      <x:c r="AU8" s="48" t="str">
        <x:v>evidence_integration</x:v>
      </x:c>
      <x:c r="AV8" s="48" t="str">
        <x:v>report_grounding；basis_grounding</x:v>
      </x:c>
      <x:c r="AW8" s="48" t="str">
        <x:v>high</x:v>
      </x:c>
      <x:c r="AX8" s="48" t="str">
        <x:v>high</x:v>
      </x:c>
      <x:c r="AY8" s="48" t="str">
        <x:v>cross_section</x:v>
      </x:c>
      <x:c r="AZ8" s="48" t="str">
        <x:v>True</x:v>
      </x:c>
      <x:c r="BA8" s="48"/>
      <x:c r="BB8" s="48" t="str">
        <x:v>auto_default</x:v>
      </x:c>
      <x:c r="BC8" s="48" t="str">
        <x:v>v1</x:v>
      </x:c>
      <x:c r="BD8" s="68"/>
    </x:row>
    <x:row r="9" ht="36" customHeight="1">
      <x:c r="A9" s="47" t="str">
        <x:v>2026-06-25</x:v>
      </x:c>
      <x:c r="B9" s="48" t="str">
        <x:v>PL021</x:v>
      </x:c>
      <x:c r="C9" s="48" t="str">
        <x:v>V01</x:v>
      </x:c>
      <x:c r="D9" s="48" t="str">
        <x:v>年10月16日建设项目环境影响报告受理公告（大良）.pdf</x:v>
      </x:c>
      <x:c r="E9" s="48" t="str">
        <x:v>佛山市顺德区共诺电子元件厂搬迁项目</x:v>
      </x:c>
      <x:c r="F9" s="48" t="str">
        <x:v>PL021_V01_Q01</x:v>
      </x:c>
      <x:c r="G9" s="48" t="str">
        <x:v>1. 塑胶行业样本筛选与国民经济行业分类</x:v>
      </x:c>
      <x:c r="H9" s="48" t="str">
        <x:v>请结合项目产品、原辅材料和生产工艺，判断该报告行业类别是否基本合理。</x:v>
      </x:c>
      <x:c r="I9" s="48" t="str">
        <x:v>国民经济行业类型判定结论：正确；具体分析：根据项目概况，本项目以PBT塑料粒和导针为主要原辅材料，经混料、烘料、插针、注塑成型、间接冷却、检验和包装等工序，生产变压器线圈骨架；边角料和不合格品经破碎后回用于生产，模具维修属于辅助活动。经识别，本项目属于C2929塑料零件及其他塑料制品制造，与报告填报的C2929塑料零件及其他塑料制品制造一致，行业类别基本合理。</x:v>
      </x:c>
      <x:c r="J9" s="48" t="str">
        <x:v>三街 8 号 3 楼之二 地理坐标 （北纬 22 度 50 分 39.195 秒，东经 113 度 13 分 49.350 秒） 国民经济 行业类别 建设性质 C2929 塑料零件及其他塑 料制品制造 新建（迁建） □改建 □扩建 □技术改造 / 项目审批（核准/ 备案）部门（选填） 建设项目 行业类别 建设项目 申报情形 二十六、橡胶和塑料制品业 29-53 塑 料制品业 292-其他（年用非溶剂型低 VOCs 含量涂料 10 吨以下的除外） 首次申报项目 □不予批准后再次申报项目 □超五年重新审核项目 □重大变动重新报批项目 项目审批 （核准/备案） 文号（选填） / 总投资（万元） 250 环保投资（万元） 10 环保投资占比（%） 4% 施工工期 1 个月 用地（用海） 面积（m2） 600 是否开工建设 否 是： 专项评价设置情 况 无 规划名称：《大良街道105国道以西</x:v>
      </x:c>
      <x:c r="K9" s="48" t="str">
        <x:v>《国民经济行业分类》(GB/T 4754—2017)；本任务C292筛选及C17/C18排除规则</x:v>
      </x:c>
      <x:c r="L9" s="48" t="str">
        <x:v>结合本项目行业代码、建设性质、工艺关键词及PDF证据生成，非脱离项目的通用题。</x:v>
      </x:c>
      <x:c r="M9" s="48" t="str">
        <x:v>可依据对应PDF原文、工程分析表格及所列法规标准逐项复核。</x:v>
      </x:c>
      <x:c r="N9" s="48" t="str">
        <x:v>True</x:v>
      </x:c>
      <x:c r="O9" s="48"/>
      <x:c r="P9" s="48"/>
      <x:c r="Q9" s="48"/>
      <x:c r="R9" s="48" t="str">
        <x:v>新增</x:v>
      </x:c>
      <x:c r="S9" s="48" t="str">
        <x:v>是</x:v>
      </x:c>
      <x:c r="T9" s="48" t="str">
        <x:v>自动生成；需人工复核项目参数、公式取值、标准适用范围及PDF文字提取完整性。</x:v>
      </x:c>
      <x:c r="U9" s="48" t="str">
        <x:v>seed_qa_塑胶行业筛选版_30个国民经济行业分类的人工标记</x:v>
      </x:c>
      <x:c r="V9" s="48" t="str">
        <x:v>国民经济行业分类</x:v>
      </x:c>
      <x:c r="W9" s="48"/>
      <x:c r="X9" s="48" t="str">
        <x:v>待判断</x:v>
      </x:c>
      <x:c r="Y9" s="64"/>
      <x:c r="Z9" s="64" t="str">
        <x:v>未复核</x:v>
      </x:c>
      <x:c r="AA9" s="64" t="str">
        <x:v>部分充分</x:v>
      </x:c>
      <x:c r="AB9" s="64" t="str">
        <x:v>待判断</x:v>
      </x:c>
      <x:c r="AC9" s="64" t="str">
        <x:v>部分核验</x:v>
      </x:c>
      <x:c r="AD9" s="64" t="str">
        <x:v>自动默认</x:v>
      </x:c>
      <x:c r="AE9" s="64" t="str">
        <x:v>候选池</x:v>
      </x:c>
      <x:c r="AF9" s="64" t="str">
        <x:v>C_题目或材料问题</x:v>
      </x:c>
      <x:c r="AG9" s="64"/>
      <x:c r="AH9" s="64"/>
      <x:c r="AI9" s="64"/>
      <x:c r="AJ9" s="64"/>
      <x:c r="AK9" s="64"/>
      <x:c r="AL9" s="64"/>
      <x:c r="AM9" s="64"/>
      <x:c r="AN9" s="48" t="str">
        <x:v>106</x:v>
      </x:c>
      <x:c r="AO9" s="48" t="str">
        <x:v>MAP_BLANK</x:v>
      </x:c>
      <x:c r="AP9" s="48" t="str">
        <x:v>人工判断为空：不得自动补填结论；人工判断为空；结构完整但原因需人工确认；存在报告证据，但尚未经人工逐项核验；已列依据来源，但未在本阶段逐条核验</x:v>
      </x:c>
      <x:c r="AQ9" s="64"/>
      <x:c r="AR9" s="48" t="str">
        <x:v>industry_classification</x:v>
      </x:c>
      <x:c r="AS9" s="48" t="str">
        <x:v>L3_analysis</x:v>
      </x:c>
      <x:c r="AT9" s="48" t="str">
        <x:v>multi_evidence_synthesis</x:v>
      </x:c>
      <x:c r="AU9" s="48" t="str">
        <x:v>evidence_integration</x:v>
      </x:c>
      <x:c r="AV9" s="48" t="str">
        <x:v>report_grounding；basis_grounding</x:v>
      </x:c>
      <x:c r="AW9" s="48" t="str">
        <x:v>high</x:v>
      </x:c>
      <x:c r="AX9" s="48" t="str">
        <x:v>high</x:v>
      </x:c>
      <x:c r="AY9" s="48" t="str">
        <x:v>cross_section</x:v>
      </x:c>
      <x:c r="AZ9" s="48" t="str">
        <x:v>True</x:v>
      </x:c>
      <x:c r="BA9" s="48"/>
      <x:c r="BB9" s="48" t="str">
        <x:v>auto_default</x:v>
      </x:c>
      <x:c r="BC9" s="48" t="str">
        <x:v>v1</x:v>
      </x:c>
      <x:c r="BD9" s="68"/>
    </x:row>
    <x:row r="10" ht="36" customHeight="1">
      <x:c r="A10" s="47" t="str">
        <x:v>2026-06-25</x:v>
      </x:c>
      <x:c r="B10" s="48" t="str">
        <x:v>PL022</x:v>
      </x:c>
      <x:c r="C10" s="48" t="str">
        <x:v>V01</x:v>
      </x:c>
      <x:c r="D10" s="48" t="str">
        <x:v>年10月17日建设项目环境影响报告书（表）受理公告（佛山市生态环境局顺德分局）_2.pdf</x:v>
      </x:c>
      <x:c r="E10" s="48" t="str">
        <x:v>佛山市锐拓新材料有限公司新建项目</x:v>
      </x:c>
      <x:c r="F10" s="48" t="str">
        <x:v>PL022_V01_Q01</x:v>
      </x:c>
      <x:c r="G10" s="48" t="str">
        <x:v>1. 塑胶行业样本筛选与国民经济行业分类</x:v>
      </x:c>
      <x:c r="H10" s="48" t="str">
        <x:v>请结合项目产品、原辅材料和生产工艺，判断该报告行业类别是否基本合理。</x:v>
      </x:c>
      <x:c r="I10" s="48" t="str">
        <x:v>国民经济行业类型判定结论：正确；具体分析：根据项目概况，本项目以ABS粉料、PC粉料、PP粉料和色母为主要原辅材料，经投料、密闭混料、挤出成型（造粒）、检验和包装等工序，生产ABS颗粒、PC颗粒和PP颗粒；不合格品及边角料经破碎后回用于生产。经识别，本项目属于C2929塑料零件及其他塑料制品制造，该类别包括其他塑料粒料制造，与项目填报的C2929塑料零件及其他塑料制品制造一致，行业类别基本合理。</x:v>
      </x:c>
      <x:c r="J10" s="48" t="str">
        <x:v>佛山市顺德区杏坛镇顺盈路 9 号顺德高科智能科技产业中心 20 栋 101 号之一 建设地点 地理坐标 （ 113 度 12 分 国民经济 行业类别 C2929 塑料零件及其他塑 料制品制造 建设性质 新建（迁建） □改建 □扩建 □技术改造 13.503 秒， 22 度 45 分 10.602 建设项目 行业类别 二十六、橡胶和塑料制品业 29-53- 橡 胶 和 塑 料 制 品 业 292-其他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是否开工建设 用地（用海） 面积（m2） 否 是： 秒） 占地面积 600 ㎡ 专项评价设置情 况 无</x:v>
      </x:c>
      <x:c r="K10" s="48" t="str">
        <x:v>《国民经济行业分类》(GB/T 4754—2017)；本任务C292筛选及C17/C18排除规则</x:v>
      </x:c>
      <x:c r="L10" s="48" t="str">
        <x:v>结合本项目行业代码、建设性质、工艺关键词及PDF证据生成，非脱离项目的通用题。</x:v>
      </x:c>
      <x:c r="M10" s="48" t="str">
        <x:v>可依据对应PDF原文、工程分析表格及所列法规标准逐项复核。</x:v>
      </x:c>
      <x:c r="N10" s="48" t="str">
        <x:v>True</x:v>
      </x:c>
      <x:c r="O10" s="48"/>
      <x:c r="P10" s="48"/>
      <x:c r="Q10" s="48"/>
      <x:c r="R10" s="48" t="str">
        <x:v>新增</x:v>
      </x:c>
      <x:c r="S10" s="48" t="str">
        <x:v>是</x:v>
      </x:c>
      <x:c r="T10" s="48" t="str">
        <x:v>自动生成；需人工复核项目参数、公式取值、标准适用范围及PDF文字提取完整性。</x:v>
      </x:c>
      <x:c r="U10" s="48" t="str">
        <x:v>seed_qa_塑胶行业筛选版_30个国民经济行业分类的人工标记</x:v>
      </x:c>
      <x:c r="V10" s="48" t="str">
        <x:v>国民经济行业分类</x:v>
      </x:c>
      <x:c r="W10" s="48"/>
      <x:c r="X10" s="48" t="str">
        <x:v>待判断</x:v>
      </x:c>
      <x:c r="Y10" s="64"/>
      <x:c r="Z10" s="64" t="str">
        <x:v>未复核</x:v>
      </x:c>
      <x:c r="AA10" s="64" t="str">
        <x:v>部分充分</x:v>
      </x:c>
      <x:c r="AB10" s="64" t="str">
        <x:v>待判断</x:v>
      </x:c>
      <x:c r="AC10" s="64" t="str">
        <x:v>部分核验</x:v>
      </x:c>
      <x:c r="AD10" s="64" t="str">
        <x:v>自动默认</x:v>
      </x:c>
      <x:c r="AE10" s="64" t="str">
        <x:v>候选池</x:v>
      </x:c>
      <x:c r="AF10" s="64" t="str">
        <x:v>C_题目或材料问题</x:v>
      </x:c>
      <x:c r="AG10" s="64"/>
      <x:c r="AH10" s="64"/>
      <x:c r="AI10" s="64"/>
      <x:c r="AJ10" s="64"/>
      <x:c r="AK10" s="64"/>
      <x:c r="AL10" s="64"/>
      <x:c r="AM10" s="64"/>
      <x:c r="AN10" s="48" t="str">
        <x:v>113</x:v>
      </x:c>
      <x:c r="AO10" s="48" t="str">
        <x:v>MAP_BLANK</x:v>
      </x:c>
      <x:c r="AP10" s="48" t="str">
        <x:v>人工判断为空：不得自动补填结论；人工判断为空；结构完整但原因需人工确认；存在报告证据，但尚未经人工逐项核验；已列依据来源，但未在本阶段逐条核验</x:v>
      </x:c>
      <x:c r="AQ10" s="64"/>
      <x:c r="AR10" s="48" t="str">
        <x:v>industry_classification</x:v>
      </x:c>
      <x:c r="AS10" s="48" t="str">
        <x:v>L3_analysis</x:v>
      </x:c>
      <x:c r="AT10" s="48" t="str">
        <x:v>multi_evidence_synthesis</x:v>
      </x:c>
      <x:c r="AU10" s="48" t="str">
        <x:v>evidence_integration</x:v>
      </x:c>
      <x:c r="AV10" s="48" t="str">
        <x:v>report_grounding；basis_grounding</x:v>
      </x:c>
      <x:c r="AW10" s="48" t="str">
        <x:v>high</x:v>
      </x:c>
      <x:c r="AX10" s="48" t="str">
        <x:v>high</x:v>
      </x:c>
      <x:c r="AY10" s="48" t="str">
        <x:v>cross_section</x:v>
      </x:c>
      <x:c r="AZ10" s="48" t="str">
        <x:v>True</x:v>
      </x:c>
      <x:c r="BA10" s="48"/>
      <x:c r="BB10" s="48" t="str">
        <x:v>auto_default</x:v>
      </x:c>
      <x:c r="BC10" s="48" t="str">
        <x:v>v1</x:v>
      </x:c>
      <x:c r="BD10" s="68"/>
    </x:row>
    <x:row r="11" ht="36" customHeight="1">
      <x:c r="A11" s="47" t="str">
        <x:v>2026-06-25</x:v>
      </x:c>
      <x:c r="B11" s="48" t="str">
        <x:v>PL023</x:v>
      </x:c>
      <x:c r="C11" s="48" t="str">
        <x:v>V01</x:v>
      </x:c>
      <x:c r="D11" s="48" t="str">
        <x:v>年10月17日建设项目环境影响报告书（表）受理公告（佛山市生态环境局顺德分局）_4.pdf</x:v>
      </x:c>
      <x:c r="E11" s="48" t="str">
        <x:v>佛山市通能达科技有限公司新建项目</x:v>
      </x:c>
      <x:c r="F11" s="48" t="str">
        <x:v>PL023_V01_Q01</x:v>
      </x:c>
      <x:c r="G11" s="48" t="str">
        <x:v>1. 塑胶行业样本筛选与国民经济行业分类</x:v>
      </x:c>
      <x:c r="H11" s="48" t="str">
        <x:v>请结合项目产品、原辅材料和生产工艺，判断该报告行业类别是否基本合理。</x:v>
      </x:c>
      <x:c r="I11" s="48" t="str">
        <x:v>国民经济行业类型判定结论：正确；具体分析：根据项目概况，本项目以ABS、PET、PC、PP、PE塑料粒及色母为主要原辅材料，经烘料、混料、注塑成型、修剪、抽检、组装和包装等工序，生产美发棒塑料外壳和运动器具护膝配件；钢材机加工及电火花加工仅用于制作或维护注塑模具，属于辅助活动。经识别，本项目属于C2929塑料零件及其他塑料制品制造，与报告填报的C2929塑料零件及其他塑料制品制造一致，行业类别基本合理。</x:v>
      </x:c>
      <x:c r="J11" s="48" t="str">
        <x:v>山市顺德高新技术产业开发区扩区规划环境影响报告书有关准入的条件 相符性分析 清 符 单 总体准入要求 相符性分析 合 类 性 型 本项目属于C2929塑料零件及其 他塑料制品制造项目，主要从 1.引入产业应符合现行有效的《产业 事美发棒塑料外壳、运动器具 符 结构调整指导目录》、《市场准入负 护 膝 配 件 的 加 工 生 产 ， 符 合 合 面清单》等相关产业政策的要求。 《产业结构调整指导目录》、 《市场准入负面清单》等相关 产业政策的要求。 2.禁止引入新增排放重点防控重金属 空 污染物（铅（Pb）、汞（Hg）、镉 项目不涉及重金属和持久性有 符 间 （ Cd ） 、 铬 （ Cr ） 和 类 金 属 砷 机物污染物。 合 布 （ As））、 持久性 有机污 染物的 项 局 目。 约 3.饮用水源准保护区内不得新建、扩 束 建对水体污染严重、排放一类水污染 本项目不在饮用水源准保护区</x:v>
      </x:c>
      <x:c r="K11" s="48" t="str">
        <x:v>《国民经济行业分类》(GB/T 4754—2017)；本任务C292筛选及C17/C18排除规则</x:v>
      </x:c>
      <x:c r="L11" s="48" t="str">
        <x:v>结合本项目行业代码、建设性质、工艺关键词及PDF证据生成，非脱离项目的通用题。</x:v>
      </x:c>
      <x:c r="M11" s="48" t="str">
        <x:v>可依据对应PDF原文、工程分析表格及所列法规标准逐项复核。</x:v>
      </x:c>
      <x:c r="N11" s="48" t="str">
        <x:v>True</x:v>
      </x:c>
      <x:c r="O11" s="48"/>
      <x:c r="P11" s="48"/>
      <x:c r="Q11" s="48"/>
      <x:c r="R11" s="48" t="str">
        <x:v>新增</x:v>
      </x:c>
      <x:c r="S11" s="48" t="str">
        <x:v>是</x:v>
      </x:c>
      <x:c r="T11" s="48" t="str">
        <x:v>自动生成；需人工复核项目参数、公式取值、标准适用范围及PDF文字提取完整性。</x:v>
      </x:c>
      <x:c r="U11" s="48" t="str">
        <x:v>seed_qa_塑胶行业筛选版_30个国民经济行业分类的人工标记</x:v>
      </x:c>
      <x:c r="V11" s="48" t="str">
        <x:v>国民经济行业分类</x:v>
      </x:c>
      <x:c r="W11" s="48"/>
      <x:c r="X11" s="48" t="str">
        <x:v>待判断</x:v>
      </x:c>
      <x:c r="Y11" s="64"/>
      <x:c r="Z11" s="64" t="str">
        <x:v>未复核</x:v>
      </x:c>
      <x:c r="AA11" s="64" t="str">
        <x:v>部分充分</x:v>
      </x:c>
      <x:c r="AB11" s="64" t="str">
        <x:v>待判断</x:v>
      </x:c>
      <x:c r="AC11" s="64" t="str">
        <x:v>部分核验</x:v>
      </x:c>
      <x:c r="AD11" s="64" t="str">
        <x:v>自动默认</x:v>
      </x:c>
      <x:c r="AE11" s="64" t="str">
        <x:v>候选池</x:v>
      </x:c>
      <x:c r="AF11" s="64" t="str">
        <x:v>C_题目或材料问题</x:v>
      </x:c>
      <x:c r="AG11" s="64"/>
      <x:c r="AH11" s="64"/>
      <x:c r="AI11" s="64"/>
      <x:c r="AJ11" s="64"/>
      <x:c r="AK11" s="64"/>
      <x:c r="AL11" s="64"/>
      <x:c r="AM11" s="64"/>
      <x:c r="AN11" s="48" t="str">
        <x:v>120</x:v>
      </x:c>
      <x:c r="AO11" s="48" t="str">
        <x:v>MAP_BLANK</x:v>
      </x:c>
      <x:c r="AP11" s="48" t="str">
        <x:v>人工判断为空：不得自动补填结论；人工判断为空；结构完整但原因需人工确认；存在报告证据，但尚未经人工逐项核验；已列依据来源，但未在本阶段逐条核验</x:v>
      </x:c>
      <x:c r="AQ11" s="64"/>
      <x:c r="AR11" s="48" t="str">
        <x:v>industry_classification</x:v>
      </x:c>
      <x:c r="AS11" s="48" t="str">
        <x:v>L3_analysis</x:v>
      </x:c>
      <x:c r="AT11" s="48" t="str">
        <x:v>multi_evidence_synthesis</x:v>
      </x:c>
      <x:c r="AU11" s="48" t="str">
        <x:v>evidence_integration</x:v>
      </x:c>
      <x:c r="AV11" s="48" t="str">
        <x:v>report_grounding；basis_grounding</x:v>
      </x:c>
      <x:c r="AW11" s="48" t="str">
        <x:v>high</x:v>
      </x:c>
      <x:c r="AX11" s="48" t="str">
        <x:v>high</x:v>
      </x:c>
      <x:c r="AY11" s="48" t="str">
        <x:v>cross_section</x:v>
      </x:c>
      <x:c r="AZ11" s="48" t="str">
        <x:v>True</x:v>
      </x:c>
      <x:c r="BA11" s="48"/>
      <x:c r="BB11" s="48" t="str">
        <x:v>auto_default</x:v>
      </x:c>
      <x:c r="BC11" s="48" t="str">
        <x:v>v1</x:v>
      </x:c>
      <x:c r="BD11" s="68"/>
    </x:row>
    <x:row r="12" ht="36" customHeight="1">
      <x:c r="A12" s="47" t="str">
        <x:v>2026-06-25</x:v>
      </x:c>
      <x:c r="B12" s="48" t="str">
        <x:v>PL025</x:v>
      </x:c>
      <x:c r="C12" s="48" t="str">
        <x:v>V01</x:v>
      </x:c>
      <x:c r="D12" s="48" t="str">
        <x:v>年10月22日建设项目环境影响报告受理公告（大良）_2.pdf</x:v>
      </x:c>
      <x:c r="E12" s="48" t="str">
        <x:v>佛山市巨人电器有限公司新建项目</x:v>
      </x:c>
      <x:c r="F12" s="48" t="str">
        <x:v>PL025_V01_Q01</x:v>
      </x:c>
      <x:c r="G12" s="48" t="str">
        <x:v>1. 塑胶行业样本筛选与国民经济行业分类</x:v>
      </x:c>
      <x:c r="H12" s="48" t="str">
        <x:v>请结合项目产品、原辅材料和生产工艺，判断该报告行业类别是否基本合理。</x:v>
      </x:c>
      <x:c r="I12" s="48" t="str">
        <x:v>国民经济行业类型判定结论：正确；具体分析：根据项目概况，本项目以ABS、PP、PC、GPPS、PA6塑料粒为主要原辅材料，经混料、物料输送、熔融注塑、检验和包装等工序，生产家用电器零配件；注塑产生的次品经破碎后回用于生产。经识别，本项目属于C2929塑料零件及其他塑料制品制造，与报告填报的C2929塑料零件及其他塑料制品制造一致，行业类别基本合理。</x:v>
      </x:c>
      <x:c r="J12" s="48" t="str">
        <x:v>会荣业七路1号2栋101厂房 地理坐标 北纬 22 度 50 分 48.379 秒，东经 113 度 12 分 41.249 秒 国民经济 行业类别 C2929 塑料零件及其他塑 料制品制造 建设性质 新建（迁建） 改建 扩建 技术改造 建设项目 行业类别 二十六、 橡胶和塑料制品业 29-53. 塑料制品业 292-其他（年用非溶 剂型低 VOCs 含量涂料 10 吨以下 的除外） 建设项目 申报情形 首次申报项目 不予批准后再次申报项目 超五年重新审核项目 重大变动重新报批项目 项目审批（核准/ 备案）部门（选填） / 项目审批（核准/ 备案）文号（选填） / 总投资（万元） *** 环保投资（万元） *** 环保投资占比 （%） 15 施工工期 3个月 用地（用海） 面积（m2） 1411 是否开工建设 否 是： 专项评价设置 情况 无 规划情况 规划名称：《佛山</x:v>
      </x:c>
      <x:c r="K12" s="48" t="str">
        <x:v>《国民经济行业分类》(GB/T 4754—2017)；本任务C292筛选及C17/C18排除规则</x:v>
      </x:c>
      <x:c r="L12" s="48" t="str">
        <x:v>结合本项目行业代码、建设性质、工艺关键词及PDF证据生成，非脱离项目的通用题。</x:v>
      </x:c>
      <x:c r="M12" s="48" t="str">
        <x:v>可依据对应PDF原文、工程分析表格及所列法规标准逐项复核。</x:v>
      </x:c>
      <x:c r="N12" s="48" t="str">
        <x:v>True</x:v>
      </x:c>
      <x:c r="O12" s="48"/>
      <x:c r="P12" s="48"/>
      <x:c r="Q12" s="48"/>
      <x:c r="R12" s="48" t="str">
        <x:v>新增</x:v>
      </x:c>
      <x:c r="S12" s="48" t="str">
        <x:v>是</x:v>
      </x:c>
      <x:c r="T12" s="48" t="str">
        <x:v>自动生成；需人工复核项目参数、公式取值、标准适用范围及PDF文字提取完整性。</x:v>
      </x:c>
      <x:c r="U12" s="48" t="str">
        <x:v>seed_qa_塑胶行业筛选版_30个国民经济行业分类的人工标记</x:v>
      </x:c>
      <x:c r="V12" s="48" t="str">
        <x:v>国民经济行业分类</x:v>
      </x:c>
      <x:c r="W12" s="48"/>
      <x:c r="X12" s="48" t="str">
        <x:v>待判断</x:v>
      </x:c>
      <x:c r="Y12" s="64"/>
      <x:c r="Z12" s="64" t="str">
        <x:v>未复核</x:v>
      </x:c>
      <x:c r="AA12" s="64" t="str">
        <x:v>部分充分</x:v>
      </x:c>
      <x:c r="AB12" s="64" t="str">
        <x:v>待判断</x:v>
      </x:c>
      <x:c r="AC12" s="64" t="str">
        <x:v>部分核验</x:v>
      </x:c>
      <x:c r="AD12" s="64" t="str">
        <x:v>自动默认</x:v>
      </x:c>
      <x:c r="AE12" s="64" t="str">
        <x:v>候选池</x:v>
      </x:c>
      <x:c r="AF12" s="64" t="str">
        <x:v>C_题目或材料问题</x:v>
      </x:c>
      <x:c r="AG12" s="64"/>
      <x:c r="AH12" s="64"/>
      <x:c r="AI12" s="64"/>
      <x:c r="AJ12" s="64"/>
      <x:c r="AK12" s="64"/>
      <x:c r="AL12" s="64"/>
      <x:c r="AM12" s="64"/>
      <x:c r="AN12" s="48" t="str">
        <x:v>127</x:v>
      </x:c>
      <x:c r="AO12" s="48" t="str">
        <x:v>MAP_BLANK</x:v>
      </x:c>
      <x:c r="AP12" s="48" t="str">
        <x:v>人工判断为空：不得自动补填结论；人工判断为空；结构完整但原因需人工确认；存在报告证据，但尚未经人工逐项核验；已列依据来源，但未在本阶段逐条核验</x:v>
      </x:c>
      <x:c r="AQ12" s="64"/>
      <x:c r="AR12" s="48" t="str">
        <x:v>industry_classification</x:v>
      </x:c>
      <x:c r="AS12" s="48" t="str">
        <x:v>L3_analysis</x:v>
      </x:c>
      <x:c r="AT12" s="48" t="str">
        <x:v>multi_evidence_synthesis</x:v>
      </x:c>
      <x:c r="AU12" s="48" t="str">
        <x:v>evidence_integration</x:v>
      </x:c>
      <x:c r="AV12" s="48" t="str">
        <x:v>report_grounding；basis_grounding</x:v>
      </x:c>
      <x:c r="AW12" s="48" t="str">
        <x:v>high</x:v>
      </x:c>
      <x:c r="AX12" s="48" t="str">
        <x:v>high</x:v>
      </x:c>
      <x:c r="AY12" s="48" t="str">
        <x:v>cross_section</x:v>
      </x:c>
      <x:c r="AZ12" s="48" t="str">
        <x:v>True</x:v>
      </x:c>
      <x:c r="BA12" s="48"/>
      <x:c r="BB12" s="48" t="str">
        <x:v>auto_default</x:v>
      </x:c>
      <x:c r="BC12" s="48" t="str">
        <x:v>v1</x:v>
      </x:c>
      <x:c r="BD12" s="68"/>
    </x:row>
    <x:row r="13" ht="36" customHeight="1">
      <x:c r="A13" s="47" t="str">
        <x:v>2026-06-25</x:v>
      </x:c>
      <x:c r="B13" s="48" t="str">
        <x:v>PL026</x:v>
      </x:c>
      <x:c r="C13" s="48" t="str">
        <x:v>V01</x:v>
      </x:c>
      <x:c r="D13" s="48" t="str">
        <x:v>年10月22日建设项目环境影响报告表受理公告（容桂）_2.pdf</x:v>
      </x:c>
      <x:c r="E13" s="48" t="str">
        <x:v>佛山市黑曜电器科技有限公司新建项目</x:v>
      </x:c>
      <x:c r="F13" s="48" t="str">
        <x:v>PL026_V01_Q01</x:v>
      </x:c>
      <x:c r="G13" s="48" t="str">
        <x:v>1. 塑胶行业样本筛选与国民经济行业分类</x:v>
      </x:c>
      <x:c r="H13" s="48" t="str">
        <x:v>请结合项目产品、原辅材料和生产工艺，判断该报告行业类别是否基本合理。</x:v>
      </x:c>
      <x:c r="I13" s="48" t="str">
        <x:v>国民经济行业类型判定结论：正确；具体分析：根据项目概况，本项目以ABS、PP塑料粒和色母为主要原辅材料，经混料、熔融注塑、冷却、检验和包装等工序，生产家用电器塑料配件；注塑产生的边角料和不合格品经破碎后回用于生产。经识别，本项目属于C2929塑料零件及其他塑料制品制造，与报告填报的C2929塑料零件及其他塑料制品制造一致，行业类别基本合理。</x:v>
      </x:c>
      <x:c r="J13" s="48" t="str">
        <x:v>电路制造 中心 2 栋 302 号 地理坐标 （113 度 14 分 15.299 秒， 22 度 46 分 22.873 秒） 国民经济 行业类别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30 环保投资（万元） 10 环保投资占比 （%） 33.3 施工工期 2 个月 用地（用海） 面积（m2） 647.82 是否开工建设 ☑否 ☐是： 专项评价设置 情况 无 规划情况</x:v>
      </x:c>
      <x:c r="K13" s="48" t="str">
        <x:v>《国民经济行业分类》(GB/T 4754—2017)；本任务C292筛选及C17/C18排除规则</x:v>
      </x:c>
      <x:c r="L13" s="48" t="str">
        <x:v>结合本项目行业代码、建设性质、工艺关键词及PDF证据生成，非脱离项目的通用题。</x:v>
      </x:c>
      <x:c r="M13" s="48" t="str">
        <x:v>可依据对应PDF原文、工程分析表格及所列法规标准逐项复核。</x:v>
      </x:c>
      <x:c r="N13" s="48" t="str">
        <x:v>True</x:v>
      </x:c>
      <x:c r="O13" s="48"/>
      <x:c r="P13" s="48"/>
      <x:c r="Q13" s="48"/>
      <x:c r="R13" s="48" t="str">
        <x:v>新增</x:v>
      </x:c>
      <x:c r="S13" s="48" t="str">
        <x:v>是</x:v>
      </x:c>
      <x:c r="T13" s="48" t="str">
        <x:v>自动生成；需人工复核项目参数、公式取值、标准适用范围及PDF文字提取完整性。</x:v>
      </x:c>
      <x:c r="U13" s="48" t="str">
        <x:v>seed_qa_塑胶行业筛选版_30个国民经济行业分类的人工标记</x:v>
      </x:c>
      <x:c r="V13" s="48" t="str">
        <x:v>国民经济行业分类</x:v>
      </x:c>
      <x:c r="W13" s="48"/>
      <x:c r="X13" s="48" t="str">
        <x:v>待判断</x:v>
      </x:c>
      <x:c r="Y13" s="64"/>
      <x:c r="Z13" s="64" t="str">
        <x:v>未复核</x:v>
      </x:c>
      <x:c r="AA13" s="64" t="str">
        <x:v>部分充分</x:v>
      </x:c>
      <x:c r="AB13" s="64" t="str">
        <x:v>待判断</x:v>
      </x:c>
      <x:c r="AC13" s="64" t="str">
        <x:v>部分核验</x:v>
      </x:c>
      <x:c r="AD13" s="64" t="str">
        <x:v>自动默认</x:v>
      </x:c>
      <x:c r="AE13" s="64" t="str">
        <x:v>候选池</x:v>
      </x:c>
      <x:c r="AF13" s="64" t="str">
        <x:v>C_题目或材料问题</x:v>
      </x:c>
      <x:c r="AG13" s="64"/>
      <x:c r="AH13" s="64"/>
      <x:c r="AI13" s="64"/>
      <x:c r="AJ13" s="64"/>
      <x:c r="AK13" s="64"/>
      <x:c r="AL13" s="64"/>
      <x:c r="AM13" s="64"/>
      <x:c r="AN13" s="48" t="str">
        <x:v>134</x:v>
      </x:c>
      <x:c r="AO13" s="48" t="str">
        <x:v>MAP_BLANK</x:v>
      </x:c>
      <x:c r="AP13" s="48" t="str">
        <x:v>人工判断为空：不得自动补填结论；人工判断为空；结构完整但原因需人工确认；存在报告证据，但尚未经人工逐项核验；已列依据来源，但未在本阶段逐条核验</x:v>
      </x:c>
      <x:c r="AQ13" s="64"/>
      <x:c r="AR13" s="48" t="str">
        <x:v>industry_classification</x:v>
      </x:c>
      <x:c r="AS13" s="48" t="str">
        <x:v>L3_analysis</x:v>
      </x:c>
      <x:c r="AT13" s="48" t="str">
        <x:v>multi_evidence_synthesis</x:v>
      </x:c>
      <x:c r="AU13" s="48" t="str">
        <x:v>evidence_integration</x:v>
      </x:c>
      <x:c r="AV13" s="48" t="str">
        <x:v>report_grounding；basis_grounding</x:v>
      </x:c>
      <x:c r="AW13" s="48" t="str">
        <x:v>high</x:v>
      </x:c>
      <x:c r="AX13" s="48" t="str">
        <x:v>high</x:v>
      </x:c>
      <x:c r="AY13" s="48" t="str">
        <x:v>cross_section</x:v>
      </x:c>
      <x:c r="AZ13" s="48" t="str">
        <x:v>True</x:v>
      </x:c>
      <x:c r="BA13" s="48"/>
      <x:c r="BB13" s="48" t="str">
        <x:v>auto_default</x:v>
      </x:c>
      <x:c r="BC13" s="48" t="str">
        <x:v>v1</x:v>
      </x:c>
      <x:c r="BD13" s="68"/>
    </x:row>
    <x:row r="14" ht="36" customHeight="1">
      <x:c r="A14" s="47" t="str">
        <x:v>2026-06-25</x:v>
      </x:c>
      <x:c r="B14" s="48" t="str">
        <x:v>PL027</x:v>
      </x:c>
      <x:c r="C14" s="48" t="str">
        <x:v>V01</x:v>
      </x:c>
      <x:c r="D14" s="48" t="str">
        <x:v>年10月23日建设项目环境影响报告书（表）受理公告（佛山市生态环境局顺德分局）_1.pdf</x:v>
      </x:c>
      <x:c r="E14" s="48" t="str">
        <x:v>佛山市天隆通塑料制品有限公司新建项目</x:v>
      </x:c>
      <x:c r="F14" s="48" t="str">
        <x:v>PL027_V01_Q01</x:v>
      </x:c>
      <x:c r="G14" s="48" t="str">
        <x:v>1. 塑胶行业样本筛选与国民经济行业分类</x:v>
      </x:c>
      <x:c r="H14" s="48" t="str">
        <x:v>请结合项目产品、原辅材料和生产工艺，判断该报告行业类别是否基本合理。</x:v>
      </x:c>
      <x:c r="I14" s="48" t="str">
        <x:v>国民经济行业类型判定结论：需复核；具体分析：根据项目概况，本项目以聚醚多元醇、聚合MDI、色膏、催化剂、硅油等为主要原辅材料，经配料、喷脱模剂、灌注、离心旋转或放置骨架、发泡熟化成型、脱模、修边、组装和包装等工序，生产PU轮胎、自结皮扶手和自结皮座背垫。PU轮胎属于聚氨酯泡沫模塑制品，更符合C2924泡沫塑料制造；自结皮扶手和自结皮座背垫使用木板、铁件作为骨架，属于软体家具或坐具零配件，更符合C2190其他家具制造。上述识别类别与项目填报的C2929塑料零件及其他塑料制品制造存在差异，需复核确认。</x:v>
      </x:c>
      <x:c r="J14" s="48" t="str">
        <x:v>1 栋 701、702、704 地理坐标 （ 113 度 12 分 56.008 秒， 22 度 48 分 54.853 秒） 国民经济 行业类别 C2929 塑料零件及其 他塑料制品制造 建设项目 行业类别 建设性质 新建（迁建） 改建 扩建 技术改造 建设项目 申报情形 二十六、橡胶和塑料制品业 29-53、塑料制品业 292-其他 （年用非溶剂型低 VOCs 含 量涂料 10 吨以下的除外） 首次申报项目 不予批准后再次申报项目 超五年重新审核项目 重大变动重新报批项目 项目审批（核准/ 备案）部门（选填） 无 项目审批（核准/ 备案）文号（选填） 无 总投资（万元） 200.00 环保投资（万元） 20.00 环保投资占比（%） 10.0 施工工期 1 个月 用地（用海） 面积（m2） 1813.56 是否开工建设 否 是： 表 1-1 专项评价设置原则表 专</x:v>
      </x:c>
      <x:c r="K14" s="48" t="str">
        <x:v>《国民经济行业分类》(GB/T 4754—2017)；本任务C292筛选及C17/C18排除规则</x:v>
      </x:c>
      <x:c r="L14" s="48" t="str">
        <x:v>结合本项目行业代码、建设性质、工艺关键词及PDF证据生成，非脱离项目的通用题。</x:v>
      </x:c>
      <x:c r="M14" s="48" t="str">
        <x:v>可依据对应PDF原文、工程分析表格及所列法规标准逐项复核。</x:v>
      </x:c>
      <x:c r="N14" s="48" t="str">
        <x:v>True</x:v>
      </x:c>
      <x:c r="O14" s="48"/>
      <x:c r="P14" s="48"/>
      <x:c r="Q14" s="48"/>
      <x:c r="R14" s="48" t="str">
        <x:v>新增</x:v>
      </x:c>
      <x:c r="S14" s="48" t="str">
        <x:v>是</x:v>
      </x:c>
      <x:c r="T14" s="48" t="str">
        <x:v>自动生成；需人工复核项目参数、公式取值、标准适用范围及PDF文字提取完整性。</x:v>
      </x:c>
      <x:c r="U14" s="48" t="str">
        <x:v>seed_qa_塑胶行业筛选版_30个国民经济行业分类的人工标记</x:v>
      </x:c>
      <x:c r="V14" s="48" t="str">
        <x:v>国民经济行业分类</x:v>
      </x:c>
      <x:c r="W14" s="48"/>
      <x:c r="X14" s="48" t="str">
        <x:v>待判断</x:v>
      </x:c>
      <x:c r="Y14" s="64"/>
      <x:c r="Z14" s="64" t="str">
        <x:v>未复核</x:v>
      </x:c>
      <x:c r="AA14" s="64" t="str">
        <x:v>部分充分</x:v>
      </x:c>
      <x:c r="AB14" s="64" t="str">
        <x:v>待判断</x:v>
      </x:c>
      <x:c r="AC14" s="64" t="str">
        <x:v>部分核验</x:v>
      </x:c>
      <x:c r="AD14" s="64" t="str">
        <x:v>自动默认</x:v>
      </x:c>
      <x:c r="AE14" s="64" t="str">
        <x:v>候选池</x:v>
      </x:c>
      <x:c r="AF14" s="64" t="str">
        <x:v>C_题目或材料问题</x:v>
      </x:c>
      <x:c r="AG14" s="64"/>
      <x:c r="AH14" s="64"/>
      <x:c r="AI14" s="64"/>
      <x:c r="AJ14" s="64"/>
      <x:c r="AK14" s="64"/>
      <x:c r="AL14" s="64"/>
      <x:c r="AM14" s="64"/>
      <x:c r="AN14" s="48" t="str">
        <x:v>141</x:v>
      </x:c>
      <x:c r="AO14" s="48" t="str">
        <x:v>MAP_BLANK</x:v>
      </x:c>
      <x:c r="AP14" s="48" t="str">
        <x:v>人工判断为空：不得自动补填结论；人工判断为空；结构完整但原因需人工确认；存在报告证据，但尚未经人工逐项核验；已列依据来源，但未在本阶段逐条核验</x:v>
      </x:c>
      <x:c r="AQ14" s="64"/>
      <x:c r="AR14" s="48" t="str">
        <x:v>industry_classification</x:v>
      </x:c>
      <x:c r="AS14" s="48" t="str">
        <x:v>L3_analysis</x:v>
      </x:c>
      <x:c r="AT14" s="48" t="str">
        <x:v>multi_evidence_synthesis</x:v>
      </x:c>
      <x:c r="AU14" s="48" t="str">
        <x:v>evidence_integration</x:v>
      </x:c>
      <x:c r="AV14" s="48" t="str">
        <x:v>report_grounding；basis_grounding</x:v>
      </x:c>
      <x:c r="AW14" s="48" t="str">
        <x:v>high</x:v>
      </x:c>
      <x:c r="AX14" s="48" t="str">
        <x:v>high</x:v>
      </x:c>
      <x:c r="AY14" s="48" t="str">
        <x:v>cross_section</x:v>
      </x:c>
      <x:c r="AZ14" s="48" t="str">
        <x:v>True</x:v>
      </x:c>
      <x:c r="BA14" s="48"/>
      <x:c r="BB14" s="48" t="str">
        <x:v>auto_default</x:v>
      </x:c>
      <x:c r="BC14" s="48" t="str">
        <x:v>v1</x:v>
      </x:c>
      <x:c r="BD14" s="68"/>
    </x:row>
    <x:row r="15" ht="36" customHeight="1">
      <x:c r="A15" s="47" t="str">
        <x:v>2026-06-25</x:v>
      </x:c>
      <x:c r="B15" s="48" t="str">
        <x:v>PL028</x:v>
      </x:c>
      <x:c r="C15" s="48" t="str">
        <x:v>V01</x:v>
      </x:c>
      <x:c r="D15" s="48" t="str">
        <x:v>年10月24日建设项目环境影响报告书（表）受理公告（均安）_1.pdf</x:v>
      </x:c>
      <x:c r="E15" s="48" t="str">
        <x:v>佛山市顺德区振峰塑料模具制造有限公司分车间新建项目</x:v>
      </x:c>
      <x:c r="F15" s="48" t="str">
        <x:v>PL028_V01_Q01</x:v>
      </x:c>
      <x:c r="G15" s="48" t="str">
        <x:v>1. 塑胶行业样本筛选与国民经济行业分类</x:v>
      </x:c>
      <x:c r="H15" s="48" t="str">
        <x:v>请结合项目产品、原辅材料和生产工艺，判断该报告行业类别是否基本合理。</x:v>
      </x:c>
      <x:c r="I15" s="48" t="str">
        <x:v>国民经济行业类型判定结论：正确；具体分析：根据项目概况，本项目以ABS、PP、PC塑料粒和色母粒为主要原辅材料，经混料、熔融注塑、冷却和检验等工序，生产灯饰塑料配件和家电塑料配件；同时以模具钢为原料，经车削、铣削、打磨和电火花加工等工序，生产模具。经识别，上述生产活动分别属于C2929塑料零件及其他塑料制品制造和C3525模具制造，与报告填报的国民经济行业类别一致，行业类别基本合理。</x:v>
      </x:c>
      <x:c r="J15" s="48" t="str">
        <x:v>德区均安镇均安社区祥安南路 6 号之六 地理坐标 （东经 113°9'52.7172"E，北纬 22°41'24.5102"N） 国民经济 行业类别 C2929 塑料零件及其他 塑料制品制造、C3525 模具制造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1560 是否开工建设 否 是： 专项评价 设置情况 无 规划情况 无 规划环境影响 评价</x:v>
      </x:c>
      <x:c r="K15" s="48" t="str">
        <x:v>《国民经济行业分类》(GB/T 4754—2017)；本任务C292筛选及C17/C18排除规则</x:v>
      </x:c>
      <x:c r="L15" s="48" t="str">
        <x:v>结合本项目行业代码、建设性质、工艺关键词及PDF证据生成，非脱离项目的通用题。</x:v>
      </x:c>
      <x:c r="M15" s="48" t="str">
        <x:v>可依据对应PDF原文、工程分析表格及所列法规标准逐项复核。</x:v>
      </x:c>
      <x:c r="N15" s="48" t="str">
        <x:v>True</x:v>
      </x:c>
      <x:c r="O15" s="48"/>
      <x:c r="P15" s="48"/>
      <x:c r="Q15" s="48"/>
      <x:c r="R15" s="48" t="str">
        <x:v>新增</x:v>
      </x:c>
      <x:c r="S15" s="48" t="str">
        <x:v>是</x:v>
      </x:c>
      <x:c r="T15" s="48" t="str">
        <x:v>自动生成；需人工复核项目参数、公式取值、标准适用范围及PDF文字提取完整性。</x:v>
      </x:c>
      <x:c r="U15" s="48" t="str">
        <x:v>seed_qa_塑胶行业筛选版_30个国民经济行业分类的人工标记</x:v>
      </x:c>
      <x:c r="V15" s="48" t="str">
        <x:v>国民经济行业分类</x:v>
      </x:c>
      <x:c r="W15" s="48"/>
      <x:c r="X15" s="48" t="str">
        <x:v>待判断</x:v>
      </x:c>
      <x:c r="Y15" s="64"/>
      <x:c r="Z15" s="64" t="str">
        <x:v>未复核</x:v>
      </x:c>
      <x:c r="AA15" s="64" t="str">
        <x:v>部分充分</x:v>
      </x:c>
      <x:c r="AB15" s="64" t="str">
        <x:v>待判断</x:v>
      </x:c>
      <x:c r="AC15" s="64" t="str">
        <x:v>部分核验</x:v>
      </x:c>
      <x:c r="AD15" s="64" t="str">
        <x:v>自动默认</x:v>
      </x:c>
      <x:c r="AE15" s="64" t="str">
        <x:v>候选池</x:v>
      </x:c>
      <x:c r="AF15" s="64" t="str">
        <x:v>C_题目或材料问题</x:v>
      </x:c>
      <x:c r="AG15" s="64"/>
      <x:c r="AH15" s="64"/>
      <x:c r="AI15" s="64"/>
      <x:c r="AJ15" s="64"/>
      <x:c r="AK15" s="64"/>
      <x:c r="AL15" s="64"/>
      <x:c r="AM15" s="64"/>
      <x:c r="AN15" s="48" t="str">
        <x:v>148</x:v>
      </x:c>
      <x:c r="AO15" s="48" t="str">
        <x:v>MAP_BLANK</x:v>
      </x:c>
      <x:c r="AP15" s="48" t="str">
        <x:v>人工判断为空：不得自动补填结论；人工判断为空；结构完整但原因需人工确认；存在报告证据，但尚未经人工逐项核验；已列依据来源，但未在本阶段逐条核验</x:v>
      </x:c>
      <x:c r="AQ15" s="64"/>
      <x:c r="AR15" s="48" t="str">
        <x:v>industry_classification</x:v>
      </x:c>
      <x:c r="AS15" s="48" t="str">
        <x:v>L3_analysis</x:v>
      </x:c>
      <x:c r="AT15" s="48" t="str">
        <x:v>multi_evidence_synthesis</x:v>
      </x:c>
      <x:c r="AU15" s="48" t="str">
        <x:v>evidence_integration</x:v>
      </x:c>
      <x:c r="AV15" s="48" t="str">
        <x:v>report_grounding；basis_grounding</x:v>
      </x:c>
      <x:c r="AW15" s="48" t="str">
        <x:v>high</x:v>
      </x:c>
      <x:c r="AX15" s="48" t="str">
        <x:v>high</x:v>
      </x:c>
      <x:c r="AY15" s="48" t="str">
        <x:v>cross_section</x:v>
      </x:c>
      <x:c r="AZ15" s="48" t="str">
        <x:v>True</x:v>
      </x:c>
      <x:c r="BA15" s="48"/>
      <x:c r="BB15" s="48" t="str">
        <x:v>auto_default</x:v>
      </x:c>
      <x:c r="BC15" s="48" t="str">
        <x:v>v1</x:v>
      </x:c>
      <x:c r="BD15" s="68"/>
    </x:row>
    <x:row r="16" ht="36" customHeight="1">
      <x:c r="A16" s="47" t="str">
        <x:v>2026-06-25</x:v>
      </x:c>
      <x:c r="B16" s="48" t="str">
        <x:v>PL029</x:v>
      </x:c>
      <x:c r="C16" s="48" t="str">
        <x:v>V01</x:v>
      </x:c>
      <x:c r="D16" s="48" t="str">
        <x:v>年10月24日建设项目环境影响报告书（表）受理公告（均安）_2.pdf</x:v>
      </x:c>
      <x:c r="E16" s="48" t="str">
        <x:v>佛山市茂安耀科技有限公司新建项目</x:v>
      </x:c>
      <x:c r="F16" s="48" t="str">
        <x:v>PL029_V01_Q01</x:v>
      </x:c>
      <x:c r="G16" s="48" t="str">
        <x:v>1. 塑胶行业样本筛选与国民经济行业分类</x:v>
      </x:c>
      <x:c r="H16" s="48" t="str">
        <x:v>请结合项目产品、原辅材料和生产工艺，判断该报告行业类别是否基本合理。</x:v>
      </x:c>
      <x:c r="I16" s="48" t="str">
        <x:v>国民经济行业类型判定结论：正确；具体分析：根据项目概况，本项目以ABS、HIPS、GPPS、PP、TPE塑料粒及色母粒为主要原辅材料，经混料、熔融注塑、冷却、检验和包装等工序，生产家电塑料配件和日用塑料制品；注塑产生的边角料和不合格品经破碎后回用于生产。经识别，家电塑料配件属于C2929塑料零件及其他塑料制品制造，日用塑料制品属于C2927日用塑料制品制造，与报告填报的国民经济行业类别一致，行业类别基本合理。</x:v>
      </x:c>
      <x:c r="J16" s="48" t="str">
        <x:v>德区均安镇均安社区祥安南路 6 号之五 地理坐标 （东经 113°9'51.7890"E，北纬 22°41'23.6046"N） 国民经济 行业类别 C2929 塑料零件及其他 塑料制品制造 C2927日用塑料制品制 造 建设性质 新建（迁建） □改建 □扩建 □技术改造 项目审批（核准/ 备案）部门（选填） 无 建设项目 行业类别 二十六、橡胶和塑料制品业 29—53.塑料制品业 292—其 他（年用非溶剂型低 VOCs 含量涂料 10 吨以下的除外） 建设项目 申报情形 首次申报项目 □不予批准后再次申报项目 超五年重新审核项目 □重大变动重新报批项目 项目审批（核准/ 备案）文号（选填） 无 总投资（万元） 环保投资（万元） 环保投资占比（%） 施工工期 1 个月 用地（用海） 面积（m2） 987.5 是否开工建设 否 是： 专项评价 设置情况 无 规划情况 无 规划环境</x:v>
      </x:c>
      <x:c r="K16" s="48" t="str">
        <x:v>《国民经济行业分类》(GB/T 4754—2017)；本任务C292筛选及C17/C18排除规则</x:v>
      </x:c>
      <x:c r="L16" s="48" t="str">
        <x:v>结合本项目行业代码、建设性质、工艺关键词及PDF证据生成，非脱离项目的通用题。</x:v>
      </x:c>
      <x:c r="M16" s="48" t="str">
        <x:v>可依据对应PDF原文、工程分析表格及所列法规标准逐项复核。</x:v>
      </x:c>
      <x:c r="N16" s="48" t="str">
        <x:v>True</x:v>
      </x:c>
      <x:c r="O16" s="48"/>
      <x:c r="P16" s="48"/>
      <x:c r="Q16" s="48"/>
      <x:c r="R16" s="48" t="str">
        <x:v>新增</x:v>
      </x:c>
      <x:c r="S16" s="48" t="str">
        <x:v>是</x:v>
      </x:c>
      <x:c r="T16" s="48" t="str">
        <x:v>自动生成；需人工复核项目参数、公式取值、标准适用范围及PDF文字提取完整性。</x:v>
      </x:c>
      <x:c r="U16" s="48" t="str">
        <x:v>seed_qa_塑胶行业筛选版_30个国民经济行业分类的人工标记</x:v>
      </x:c>
      <x:c r="V16" s="48" t="str">
        <x:v>国民经济行业分类</x:v>
      </x:c>
      <x:c r="W16" s="48"/>
      <x:c r="X16" s="48" t="str">
        <x:v>待判断</x:v>
      </x:c>
      <x:c r="Y16" s="64"/>
      <x:c r="Z16" s="64" t="str">
        <x:v>未复核</x:v>
      </x:c>
      <x:c r="AA16" s="64" t="str">
        <x:v>部分充分</x:v>
      </x:c>
      <x:c r="AB16" s="64" t="str">
        <x:v>待判断</x:v>
      </x:c>
      <x:c r="AC16" s="64" t="str">
        <x:v>部分核验</x:v>
      </x:c>
      <x:c r="AD16" s="64" t="str">
        <x:v>自动默认</x:v>
      </x:c>
      <x:c r="AE16" s="64" t="str">
        <x:v>候选池</x:v>
      </x:c>
      <x:c r="AF16" s="64" t="str">
        <x:v>C_题目或材料问题</x:v>
      </x:c>
      <x:c r="AG16" s="64"/>
      <x:c r="AH16" s="64"/>
      <x:c r="AI16" s="64"/>
      <x:c r="AJ16" s="64"/>
      <x:c r="AK16" s="64"/>
      <x:c r="AL16" s="64"/>
      <x:c r="AM16" s="64"/>
      <x:c r="AN16" s="48" t="str">
        <x:v>155</x:v>
      </x:c>
      <x:c r="AO16" s="48" t="str">
        <x:v>MAP_BLANK</x:v>
      </x:c>
      <x:c r="AP16" s="48" t="str">
        <x:v>人工判断为空：不得自动补填结论；人工判断为空；结构完整但原因需人工确认；存在报告证据，但尚未经人工逐项核验；已列依据来源，但未在本阶段逐条核验</x:v>
      </x:c>
      <x:c r="AQ16" s="64"/>
      <x:c r="AR16" s="48" t="str">
        <x:v>industry_classification</x:v>
      </x:c>
      <x:c r="AS16" s="48" t="str">
        <x:v>L3_analysis</x:v>
      </x:c>
      <x:c r="AT16" s="48" t="str">
        <x:v>multi_evidence_synthesis</x:v>
      </x:c>
      <x:c r="AU16" s="48" t="str">
        <x:v>evidence_integration</x:v>
      </x:c>
      <x:c r="AV16" s="48" t="str">
        <x:v>report_grounding；basis_grounding</x:v>
      </x:c>
      <x:c r="AW16" s="48" t="str">
        <x:v>high</x:v>
      </x:c>
      <x:c r="AX16" s="48" t="str">
        <x:v>high</x:v>
      </x:c>
      <x:c r="AY16" s="48" t="str">
        <x:v>cross_section</x:v>
      </x:c>
      <x:c r="AZ16" s="48" t="str">
        <x:v>True</x:v>
      </x:c>
      <x:c r="BA16" s="48"/>
      <x:c r="BB16" s="48" t="str">
        <x:v>auto_default</x:v>
      </x:c>
      <x:c r="BC16" s="48" t="str">
        <x:v>v1</x:v>
      </x:c>
      <x:c r="BD16" s="68"/>
    </x:row>
    <x:row r="17" ht="36" customHeight="1">
      <x:c r="A17" s="47" t="str">
        <x:v>2026-06-25</x:v>
      </x:c>
      <x:c r="B17" s="48" t="str">
        <x:v>PL030</x:v>
      </x:c>
      <x:c r="C17" s="48" t="str">
        <x:v>V01</x:v>
      </x:c>
      <x:c r="D17" s="48" t="str">
        <x:v>年10月25日建设项目环境影响报告书（表）受理公告（佛山市生态环境局顺德分局）_3.pdf</x:v>
      </x:c>
      <x:c r="E17" s="48" t="str">
        <x:v>佛山市瑞易德塑料五金制品有限公司搬迁项目</x:v>
      </x:c>
      <x:c r="F17" s="48" t="str">
        <x:v>PL030_V01_Q01</x:v>
      </x:c>
      <x:c r="G17" s="48" t="str">
        <x:v>1. 塑胶行业样本筛选与国民经济行业分类</x:v>
      </x:c>
      <x:c r="H17" s="48" t="str">
        <x:v>请结合项目产品、原辅材料和生产工艺，判断该报告行业类别是否基本合理。</x:v>
      </x:c>
      <x:c r="I17" s="48" t="str">
        <x:v>国民经济行业类型判定结论：正确；具体分析：根据项目概况，本项目以PA6、POM、ABS、PC、TPU、PP塑料粒及色粉为主要原辅材料，经投料、混料、熔融注塑、冷却成型、破碎回用、振动筛分和组装等工序，生产抽屉导轨配件等家具塑料配件；同时以钢材为主要原料，经铣削、磨削、电火花、钻孔、外委热处理、线切割及CNC加工，并与顶针、螺丝、弹簧等零配件组装，生产注塑机模具，所产模具大部分对外销售。经识别，家具塑料配件属于C2929塑料零件及其他塑料制品制造，注塑模具属于C3525模具制造，与项目填报的国民经济行业类别C2929塑料零件及其他塑料制品制造、C3525模具制造一致，行业类别基本合理。</x:v>
      </x:c>
      <x:c r="J17" s="48" t="str">
        <x:v>39 号科能产业园 5 栋 401 地理坐标 （ 22 度 50 分 32.420 秒， 113 度 8 分 41.570 秒） 国民经济 行业类别 C2929 塑料零件及其他塑 料制品制造、C3525 模具 制造 建设项目 行业类别 二十六、橡胶和塑料制品业 29，53 塑 料制品业 292，其他（年用非溶剂型 低 VOCs 含量涂料 10 吨以下的除外） 建设性质  新建（迁建）  改建  扩建  技术改造 建设项目 申报情形  首次申报项目  不予批准后再次申报项目  超五年重新审核项目  重大变动重新报批项目 / 项目审批 （核准/备 案） 文号（选填） / 总投资 （万元） 200 环保投资 （万元） 15 环保投资占比 （%） 7.5 施工工期 2 个月 用地（用海） 面积（m2） 2541.88 项目审批 （核准/备案） 部门（选填） 是否开工建设  否 </x:v>
      </x:c>
      <x:c r="K17" s="48" t="str">
        <x:v>《国民经济行业分类》(GB/T 4754—2017)；本任务C292筛选及C17/C18排除规则</x:v>
      </x:c>
      <x:c r="L17" s="48" t="str">
        <x:v>结合本项目行业代码、建设性质、工艺关键词及PDF证据生成，非脱离项目的通用题。</x:v>
      </x:c>
      <x:c r="M17" s="48" t="str">
        <x:v>可依据对应PDF原文、工程分析表格及所列法规标准逐项复核。</x:v>
      </x:c>
      <x:c r="N17" s="48" t="str">
        <x:v>True</x:v>
      </x:c>
      <x:c r="O17" s="48"/>
      <x:c r="P17" s="48"/>
      <x:c r="Q17" s="48"/>
      <x:c r="R17" s="48" t="str">
        <x:v>新增</x:v>
      </x:c>
      <x:c r="S17" s="48" t="str">
        <x:v>是</x:v>
      </x:c>
      <x:c r="T17" s="48" t="str">
        <x:v>自动生成；需人工复核项目参数、公式取值、标准适用范围及PDF文字提取完整性。</x:v>
      </x:c>
      <x:c r="U17" s="48" t="str">
        <x:v>seed_qa_塑胶行业筛选版_30个国民经济行业分类的人工标记</x:v>
      </x:c>
      <x:c r="V17" s="48" t="str">
        <x:v>国民经济行业分类</x:v>
      </x:c>
      <x:c r="W17" s="48"/>
      <x:c r="X17" s="48" t="str">
        <x:v>待判断</x:v>
      </x:c>
      <x:c r="Y17" s="64"/>
      <x:c r="Z17" s="64" t="str">
        <x:v>未复核</x:v>
      </x:c>
      <x:c r="AA17" s="64" t="str">
        <x:v>部分充分</x:v>
      </x:c>
      <x:c r="AB17" s="64" t="str">
        <x:v>待判断</x:v>
      </x:c>
      <x:c r="AC17" s="64" t="str">
        <x:v>部分核验</x:v>
      </x:c>
      <x:c r="AD17" s="64" t="str">
        <x:v>自动默认</x:v>
      </x:c>
      <x:c r="AE17" s="64" t="str">
        <x:v>候选池</x:v>
      </x:c>
      <x:c r="AF17" s="64" t="str">
        <x:v>C_题目或材料问题</x:v>
      </x:c>
      <x:c r="AG17" s="64"/>
      <x:c r="AH17" s="64"/>
      <x:c r="AI17" s="64"/>
      <x:c r="AJ17" s="64"/>
      <x:c r="AK17" s="64"/>
      <x:c r="AL17" s="64"/>
      <x:c r="AM17" s="64"/>
      <x:c r="AN17" s="48" t="str">
        <x:v>162</x:v>
      </x:c>
      <x:c r="AO17" s="48" t="str">
        <x:v>MAP_BLANK</x:v>
      </x:c>
      <x:c r="AP17" s="48" t="str">
        <x:v>人工判断为空：不得自动补填结论；人工判断为空；结构完整但原因需人工确认；存在报告证据，但尚未经人工逐项核验；已列依据来源，但未在本阶段逐条核验</x:v>
      </x:c>
      <x:c r="AQ17" s="64"/>
      <x:c r="AR17" s="48" t="str">
        <x:v>industry_classification</x:v>
      </x:c>
      <x:c r="AS17" s="48" t="str">
        <x:v>L3_analysis</x:v>
      </x:c>
      <x:c r="AT17" s="48" t="str">
        <x:v>multi_evidence_synthesis</x:v>
      </x:c>
      <x:c r="AU17" s="48" t="str">
        <x:v>evidence_integration</x:v>
      </x:c>
      <x:c r="AV17" s="48" t="str">
        <x:v>report_grounding；basis_grounding</x:v>
      </x:c>
      <x:c r="AW17" s="48" t="str">
        <x:v>high</x:v>
      </x:c>
      <x:c r="AX17" s="48" t="str">
        <x:v>high</x:v>
      </x:c>
      <x:c r="AY17" s="48" t="str">
        <x:v>cross_section</x:v>
      </x:c>
      <x:c r="AZ17" s="48" t="str">
        <x:v>True</x:v>
      </x:c>
      <x:c r="BA17" s="48"/>
      <x:c r="BB17" s="48" t="str">
        <x:v>auto_default</x:v>
      </x:c>
      <x:c r="BC17" s="48" t="str">
        <x:v>v1</x:v>
      </x:c>
      <x:c r="BD17" s="68"/>
    </x:row>
    <x:row r="18" ht="36" customHeight="1">
      <x:c r="A18" s="47" t="str">
        <x:v>2026-06-25</x:v>
      </x:c>
      <x:c r="B18" s="48" t="str">
        <x:v>PL031</x:v>
      </x:c>
      <x:c r="C18" s="48" t="str">
        <x:v>V01</x:v>
      </x:c>
      <x:c r="D18" s="48" t="str">
        <x:v>年10月28日建设项目环境影响报告书（表）受理公告（佛山市生态环境局顺德分局）_3.pdf</x:v>
      </x:c>
      <x:c r="E18" s="48" t="str">
        <x:v>佛山市浩创时代包装制品有限公司新建项目</x:v>
      </x:c>
      <x:c r="F18" s="48" t="str">
        <x:v>PL031_V01_Q01</x:v>
      </x:c>
      <x:c r="G18" s="48" t="str">
        <x:v>1. 塑胶行业样本筛选与国民经济行业分类</x:v>
      </x:c>
      <x:c r="H18" s="48" t="str">
        <x:v>请结合项目产品、原辅材料和生产工艺，判断该报告行业类别是否基本合理。</x:v>
      </x:c>
      <x:c r="I18" s="48" t="str">
        <x:v>国民经济行业类型判定结论：正确；具体分析：根据项目概况，本项目以PS、PP、PET塑料粒或片材及色粉为主要原辅材料，经投料、注塑、吹塑成型、吸塑、冲切、丝印、烘干和检验消毒等工序，生产果冻杯、圆筒和吸塑盒；同时以淋膜纸为主要原料，经切纸、冲压成型或超声波封合、检验消毒等工序，生产一次性纸杯和蛋糕杯。经识别，果冻杯、圆筒和吸塑盒属于C2927日用塑料制品制造，一次性纸杯和蛋糕杯属于C2231纸和纸板容器制造，与项目填报的国民经济行业类别一致，行业类别基本合理。</x:v>
      </x:c>
      <x:c r="J18" s="48" t="str">
        <x:v>村委会世龙大道 15 号之一 地理坐标 东经：113 度 10 分 56.279 秒，北纬：22 度 52 分 32.077 秒 国民经济 行业类别 C2927日用塑料制品制造； C2231纸和纸板容器制造 建设项目 行业类别 建设性质 新建（迁建） 改建 扩建 技术改造 建设项目 申报情形 二十六、橡胶和塑料制品业 29-53 塑料制品业 292-其他 （年用非溶剂型低 VOCs 含 量涂料 10 吨以下的除外）； 十九、造纸和纸制品业 22-38 纸制品制造 223*-有涂布、浸 渍、印刷、粘胶工艺的 首次申报项目 不予批准后再次申报项目 超五年重新审核项目 重大变动重新报批项目 项目审批（核准/ 备案）部门（选填） 无 项目审批（核准/ 备案）文号（选填） 无 总投资（万元） 250 环保投资（万元） 25 环保投资占比 （%） 10 施工工期 1 个月 用地（用海）</x:v>
      </x:c>
      <x:c r="K18" s="48" t="str">
        <x:v>《国民经济行业分类》(GB/T 4754—2017)；本任务C292筛选及C17/C18排除规则</x:v>
      </x:c>
      <x:c r="L18" s="48" t="str">
        <x:v>结合本项目行业代码、建设性质、工艺关键词及PDF证据生成，非脱离项目的通用题。</x:v>
      </x:c>
      <x:c r="M18" s="48" t="str">
        <x:v>可依据对应PDF原文、工程分析表格及所列法规标准逐项复核。</x:v>
      </x:c>
      <x:c r="N18" s="48" t="str">
        <x:v>True</x:v>
      </x:c>
      <x:c r="O18" s="48"/>
      <x:c r="P18" s="48"/>
      <x:c r="Q18" s="48"/>
      <x:c r="R18" s="48" t="str">
        <x:v>新增</x:v>
      </x:c>
      <x:c r="S18" s="48" t="str">
        <x:v>是</x:v>
      </x:c>
      <x:c r="T18" s="48" t="str">
        <x:v>自动生成；需人工复核项目参数、公式取值、标准适用范围及PDF文字提取完整性。</x:v>
      </x:c>
      <x:c r="U18" s="48" t="str">
        <x:v>seed_qa_塑胶行业筛选版_30个国民经济行业分类的人工标记</x:v>
      </x:c>
      <x:c r="V18" s="48" t="str">
        <x:v>国民经济行业分类</x:v>
      </x:c>
      <x:c r="W18" s="48"/>
      <x:c r="X18" s="48" t="str">
        <x:v>待判断</x:v>
      </x:c>
      <x:c r="Y18" s="64"/>
      <x:c r="Z18" s="64" t="str">
        <x:v>未复核</x:v>
      </x:c>
      <x:c r="AA18" s="64" t="str">
        <x:v>部分充分</x:v>
      </x:c>
      <x:c r="AB18" s="64" t="str">
        <x:v>待判断</x:v>
      </x:c>
      <x:c r="AC18" s="64" t="str">
        <x:v>部分核验</x:v>
      </x:c>
      <x:c r="AD18" s="64" t="str">
        <x:v>自动默认</x:v>
      </x:c>
      <x:c r="AE18" s="64" t="str">
        <x:v>候选池</x:v>
      </x:c>
      <x:c r="AF18" s="64" t="str">
        <x:v>C_题目或材料问题</x:v>
      </x:c>
      <x:c r="AG18" s="64"/>
      <x:c r="AH18" s="64"/>
      <x:c r="AI18" s="64"/>
      <x:c r="AJ18" s="64"/>
      <x:c r="AK18" s="64"/>
      <x:c r="AL18" s="64"/>
      <x:c r="AM18" s="64"/>
      <x:c r="AN18" s="48" t="str">
        <x:v>169</x:v>
      </x:c>
      <x:c r="AO18" s="48" t="str">
        <x:v>MAP_BLANK</x:v>
      </x:c>
      <x:c r="AP18" s="48" t="str">
        <x:v>人工判断为空：不得自动补填结论；人工判断为空；结构完整但原因需人工确认；存在报告证据，但尚未经人工逐项核验；已列依据来源，但未在本阶段逐条核验</x:v>
      </x:c>
      <x:c r="AQ18" s="64"/>
      <x:c r="AR18" s="48" t="str">
        <x:v>industry_classification</x:v>
      </x:c>
      <x:c r="AS18" s="48" t="str">
        <x:v>L3_analysis</x:v>
      </x:c>
      <x:c r="AT18" s="48" t="str">
        <x:v>multi_evidence_synthesis</x:v>
      </x:c>
      <x:c r="AU18" s="48" t="str">
        <x:v>evidence_integration</x:v>
      </x:c>
      <x:c r="AV18" s="48" t="str">
        <x:v>report_grounding；basis_grounding</x:v>
      </x:c>
      <x:c r="AW18" s="48" t="str">
        <x:v>high</x:v>
      </x:c>
      <x:c r="AX18" s="48" t="str">
        <x:v>high</x:v>
      </x:c>
      <x:c r="AY18" s="48" t="str">
        <x:v>cross_section</x:v>
      </x:c>
      <x:c r="AZ18" s="48" t="str">
        <x:v>True</x:v>
      </x:c>
      <x:c r="BA18" s="48"/>
      <x:c r="BB18" s="48" t="str">
        <x:v>auto_default</x:v>
      </x:c>
      <x:c r="BC18" s="48" t="str">
        <x:v>v1</x:v>
      </x:c>
      <x:c r="BD18" s="68"/>
    </x:row>
    <x:row r="19" ht="36" customHeight="1">
      <x:c r="A19" s="47" t="str">
        <x:v>2026-06-25</x:v>
      </x:c>
      <x:c r="B19" s="48" t="str">
        <x:v>PL032</x:v>
      </x:c>
      <x:c r="C19" s="48" t="str">
        <x:v>V01</x:v>
      </x:c>
      <x:c r="D19" s="48" t="str">
        <x:v>年10月28日建设项目环境影响报告书（表）受理公告（佛山市生态环境局顺德分局）_4.pdf</x:v>
      </x:c>
      <x:c r="E19" s="48" t="str">
        <x:v>德旺众新材料科技（佛山）有限公司新建建设项目</x:v>
      </x:c>
      <x:c r="F19" s="48" t="str">
        <x:v>PL032_V01_Q01</x:v>
      </x:c>
      <x:c r="G19" s="48" t="str">
        <x:v>1. 塑胶行业样本筛选与国民经济行业分类</x:v>
      </x:c>
      <x:c r="H19" s="48" t="str">
        <x:v>请结合项目产品、原辅材料和生产工艺，判断该报告行业类别是否基本合理。</x:v>
      </x:c>
      <x:c r="I19" s="48" t="str">
        <x:v>国民经济行业类型判定结论：正确；具体分析：根据项目概况，本项目以外购PC、PMMA、PS、PVC、ABS板材、紫外光固化涂料及保护膜为主要原辅材料，经去静电、UV淋涂、固化、检验、贴膜和裁切等工序，生产PC板材、PMMA板材、PS板材、PVC板材和ABS板材，产品主要用于手机壳生产及家具装饰。上述生产活动属于塑料板材的功能化加工，经识别，本项目属于C2922塑料板、管、型材制造，与报告填报的C2922塑料板、管、型材制造一致，行业类别基本合理。</x:v>
      </x:c>
      <x:c r="J19" s="48" t="str">
        <x:v>路 195 号 3 栋四层之一 地理坐标 东经 113 度 8 分 44.135 秒，北纬 22 度 41 分 23.964 秒 国民经济 行业类别 C2922 塑料板、管、 型材制造 建设项目 行业类别 建设性质 新建（迁建） 改建 扩建 技术改造 建设项目 申报情形 项目审批（核准/ 备案）部门（选 填） / 总投资（万元） 二十六、橡胶和塑料制品业 29-53 塑料 制 品 业 292- 其 他 （ 年 用 非 溶 剂 型 低 VOCs 含量涂料 10 吨以下的除外） 首次申报项目 不予批准后再次申报项目 超五年重新审核项目 重大变动重新报批项目 ** 项目审批（核准 /备案）文号（选 填） 环保投资（万 元） ** 环保投资占比 （%） 15% 施工工期 2 个月 是否开工建设 否 是： 用地面积（m2） 1400 专项评价设置 情况 / 本项目危险物质最大存在</x:v>
      </x:c>
      <x:c r="K19" s="48" t="str">
        <x:v>《国民经济行业分类》(GB/T 4754—2017)；本任务C292筛选及C17/C18排除规则</x:v>
      </x:c>
      <x:c r="L19" s="48" t="str">
        <x:v>结合本项目行业代码、建设性质、工艺关键词及PDF证据生成，非脱离项目的通用题。</x:v>
      </x:c>
      <x:c r="M19" s="48" t="str">
        <x:v>可依据对应PDF原文、工程分析表格及所列法规标准逐项复核。</x:v>
      </x:c>
      <x:c r="N19" s="48" t="str">
        <x:v>True</x:v>
      </x:c>
      <x:c r="O19" s="48"/>
      <x:c r="P19" s="48"/>
      <x:c r="Q19" s="48"/>
      <x:c r="R19" s="48" t="str">
        <x:v>新增</x:v>
      </x:c>
      <x:c r="S19" s="48" t="str">
        <x:v>是</x:v>
      </x:c>
      <x:c r="T19" s="48" t="str">
        <x:v>自动生成；需人工复核项目参数、公式取值、标准适用范围及PDF文字提取完整性。</x:v>
      </x:c>
      <x:c r="U19" s="48" t="str">
        <x:v>seed_qa_塑胶行业筛选版_30个国民经济行业分类的人工标记</x:v>
      </x:c>
      <x:c r="V19" s="48" t="str">
        <x:v>国民经济行业分类</x:v>
      </x:c>
      <x:c r="W19" s="48"/>
      <x:c r="X19" s="48" t="str">
        <x:v>待判断</x:v>
      </x:c>
      <x:c r="Y19" s="64"/>
      <x:c r="Z19" s="64" t="str">
        <x:v>未复核</x:v>
      </x:c>
      <x:c r="AA19" s="64" t="str">
        <x:v>部分充分</x:v>
      </x:c>
      <x:c r="AB19" s="64" t="str">
        <x:v>待判断</x:v>
      </x:c>
      <x:c r="AC19" s="64" t="str">
        <x:v>部分核验</x:v>
      </x:c>
      <x:c r="AD19" s="64" t="str">
        <x:v>自动默认</x:v>
      </x:c>
      <x:c r="AE19" s="64" t="str">
        <x:v>候选池</x:v>
      </x:c>
      <x:c r="AF19" s="64" t="str">
        <x:v>C_题目或材料问题</x:v>
      </x:c>
      <x:c r="AG19" s="64"/>
      <x:c r="AH19" s="64"/>
      <x:c r="AI19" s="64"/>
      <x:c r="AJ19" s="64"/>
      <x:c r="AK19" s="64"/>
      <x:c r="AL19" s="64"/>
      <x:c r="AM19" s="64"/>
      <x:c r="AN19" s="48" t="str">
        <x:v>176</x:v>
      </x:c>
      <x:c r="AO19" s="48" t="str">
        <x:v>MAP_BLANK</x:v>
      </x:c>
      <x:c r="AP19" s="48" t="str">
        <x:v>人工判断为空：不得自动补填结论；人工判断为空；结构完整但原因需人工确认；存在报告证据，但尚未经人工逐项核验；已列依据来源，但未在本阶段逐条核验</x:v>
      </x:c>
      <x:c r="AQ19" s="64"/>
      <x:c r="AR19" s="48" t="str">
        <x:v>industry_classification</x:v>
      </x:c>
      <x:c r="AS19" s="48" t="str">
        <x:v>L3_analysis</x:v>
      </x:c>
      <x:c r="AT19" s="48" t="str">
        <x:v>multi_evidence_synthesis</x:v>
      </x:c>
      <x:c r="AU19" s="48" t="str">
        <x:v>evidence_integration</x:v>
      </x:c>
      <x:c r="AV19" s="48" t="str">
        <x:v>report_grounding；basis_grounding</x:v>
      </x:c>
      <x:c r="AW19" s="48" t="str">
        <x:v>high</x:v>
      </x:c>
      <x:c r="AX19" s="48" t="str">
        <x:v>high</x:v>
      </x:c>
      <x:c r="AY19" s="48" t="str">
        <x:v>cross_section</x:v>
      </x:c>
      <x:c r="AZ19" s="48" t="str">
        <x:v>True</x:v>
      </x:c>
      <x:c r="BA19" s="48"/>
      <x:c r="BB19" s="48" t="str">
        <x:v>auto_default</x:v>
      </x:c>
      <x:c r="BC19" s="48" t="str">
        <x:v>v1</x:v>
      </x:c>
      <x:c r="BD19" s="68"/>
    </x:row>
    <x:row r="20" ht="36" customHeight="1">
      <x:c r="A20" s="47" t="str">
        <x:v>2026-06-25</x:v>
      </x:c>
      <x:c r="B20" s="48" t="str">
        <x:v>PL033</x:v>
      </x:c>
      <x:c r="C20" s="48" t="str">
        <x:v>V01</x:v>
      </x:c>
      <x:c r="D20" s="48" t="str">
        <x:v>年10月29日建设项目环境影响报告书（表）受理公告（佛山市生态环境局顺德分局）_1.pdf</x:v>
      </x:c>
      <x:c r="E20" s="48" t="str">
        <x:v>广东施格纳电气有限公司新建项目</x:v>
      </x:c>
      <x:c r="F20" s="48" t="str">
        <x:v>PL033_V01_Q01</x:v>
      </x:c>
      <x:c r="G20" s="48" t="str">
        <x:v>1. 塑胶行业样本筛选与国民经济行业分类</x:v>
      </x:c>
      <x:c r="H20" s="48" t="str">
        <x:v>请结合项目产品、原辅材料和生产工艺，判断该报告行业类别是否基本合理。</x:v>
      </x:c>
      <x:c r="I20" s="48" t="str">
        <x:v>国民经济行业类型判定结论：需复核；具体分析：根据项目概况，本项目以PC、PA66塑料粒及PCB板、变压器、IC芯片、电阻、电容等为主要原辅材料，经混料、烘料、注塑和检验等工序生产塑料外壳，并经锡膏印刷、贴片、回流焊、插件、波峰焊、补焊、三防漆涂覆、灌胶、组装和测试等工序生产驱动电源。经识别，塑料外壳制造符合C2929塑料零件及其他塑料制品制造；驱动电源具有电能变换功能，更符合C3821变压器、整流器和电感器制造，与项目填报的C3990其他电子设备制造存在差异。因此，C2929类别基本合理，C3990类别需复核确认。</x:v>
      </x:c>
      <x:c r="J20" s="48" t="str">
        <x:v>三路 13 号 1、3、6、7 楼 地理坐标 北纬 22 度 51 分 4.93 秒，东经 113 度 10 分 17.20 秒 国民经济 行业类别 C3990 其他电子设备制 造、C2929 塑料零件及 其他塑料制品制造 建设项目 行业类别 建设性质 ☑新建（迁建） □改建 □扩建 □技术改造 建设项目 申报情形 三十六、计算机、通信和其他 电子设备制造业 39-82-其他 电子设备制造 399-“全部（仅 分割、焊接、组装的除外）”、 二十六、橡胶和塑料制品业 29-53 塑料制品业 292-其他 （年用非溶剂型低 VOCs 含 量涂料 10t 以下的除外） ☑首次申报项目 □不予批准后再次申报项目 □超五年重新审核项目 □重大变动重新报批项目 项目审批（核准/ 备案）部门（选填） 无 项目审批（核准/ 备案）文号（选填） 无 总投资（万元） 1000 环保投资（万元） 15 环保投资</x:v>
      </x:c>
      <x:c r="K20" s="48" t="str">
        <x:v>《国民经济行业分类》(GB/T 4754—2017)；本任务C292筛选及C17/C18排除规则</x:v>
      </x:c>
      <x:c r="L20" s="48" t="str">
        <x:v>结合本项目行业代码、建设性质、工艺关键词及PDF证据生成，非脱离项目的通用题。</x:v>
      </x:c>
      <x:c r="M20" s="48" t="str">
        <x:v>可依据对应PDF原文、工程分析表格及所列法规标准逐项复核。</x:v>
      </x:c>
      <x:c r="N20" s="48" t="str">
        <x:v>True</x:v>
      </x:c>
      <x:c r="O20" s="48"/>
      <x:c r="P20" s="48"/>
      <x:c r="Q20" s="48"/>
      <x:c r="R20" s="48" t="str">
        <x:v>新增</x:v>
      </x:c>
      <x:c r="S20" s="48" t="str">
        <x:v>是</x:v>
      </x:c>
      <x:c r="T20" s="48" t="str">
        <x:v>自动生成；需人工复核项目参数、公式取值、标准适用范围及PDF文字提取完整性。</x:v>
      </x:c>
      <x:c r="U20" s="48" t="str">
        <x:v>seed_qa_塑胶行业筛选版_30个国民经济行业分类的人工标记</x:v>
      </x:c>
      <x:c r="V20" s="48" t="str">
        <x:v>国民经济行业分类</x:v>
      </x:c>
      <x:c r="W20" s="48"/>
      <x:c r="X20" s="48" t="str">
        <x:v>待判断</x:v>
      </x:c>
      <x:c r="Y20" s="64"/>
      <x:c r="Z20" s="64" t="str">
        <x:v>未复核</x:v>
      </x:c>
      <x:c r="AA20" s="64" t="str">
        <x:v>部分充分</x:v>
      </x:c>
      <x:c r="AB20" s="64" t="str">
        <x:v>待判断</x:v>
      </x:c>
      <x:c r="AC20" s="64" t="str">
        <x:v>部分核验</x:v>
      </x:c>
      <x:c r="AD20" s="64" t="str">
        <x:v>自动默认</x:v>
      </x:c>
      <x:c r="AE20" s="64" t="str">
        <x:v>候选池</x:v>
      </x:c>
      <x:c r="AF20" s="64" t="str">
        <x:v>C_题目或材料问题</x:v>
      </x:c>
      <x:c r="AG20" s="64"/>
      <x:c r="AH20" s="64"/>
      <x:c r="AI20" s="64"/>
      <x:c r="AJ20" s="64"/>
      <x:c r="AK20" s="64"/>
      <x:c r="AL20" s="64"/>
      <x:c r="AM20" s="64"/>
      <x:c r="AN20" s="48" t="str">
        <x:v>183</x:v>
      </x:c>
      <x:c r="AO20" s="48" t="str">
        <x:v>MAP_BLANK</x:v>
      </x:c>
      <x:c r="AP20" s="48" t="str">
        <x:v>人工判断为空：不得自动补填结论；人工判断为空；结构完整但原因需人工确认；存在报告证据，但尚未经人工逐项核验；已列依据来源，但未在本阶段逐条核验</x:v>
      </x:c>
      <x:c r="AQ20" s="64"/>
      <x:c r="AR20" s="48" t="str">
        <x:v>industry_classification</x:v>
      </x:c>
      <x:c r="AS20" s="48" t="str">
        <x:v>L3_analysis</x:v>
      </x:c>
      <x:c r="AT20" s="48" t="str">
        <x:v>multi_evidence_synthesis</x:v>
      </x:c>
      <x:c r="AU20" s="48" t="str">
        <x:v>evidence_integration</x:v>
      </x:c>
      <x:c r="AV20" s="48" t="str">
        <x:v>report_grounding；basis_grounding</x:v>
      </x:c>
      <x:c r="AW20" s="48" t="str">
        <x:v>high</x:v>
      </x:c>
      <x:c r="AX20" s="48" t="str">
        <x:v>high</x:v>
      </x:c>
      <x:c r="AY20" s="48" t="str">
        <x:v>cross_section</x:v>
      </x:c>
      <x:c r="AZ20" s="48" t="str">
        <x:v>True</x:v>
      </x:c>
      <x:c r="BA20" s="48"/>
      <x:c r="BB20" s="48" t="str">
        <x:v>auto_default</x:v>
      </x:c>
      <x:c r="BC20" s="48" t="str">
        <x:v>v1</x:v>
      </x:c>
      <x:c r="BD20" s="68"/>
    </x:row>
    <x:row r="21" ht="36" customHeight="1">
      <x:c r="A21" s="47" t="str">
        <x:v>2026-06-25</x:v>
      </x:c>
      <x:c r="B21" s="48" t="str">
        <x:v>PL034</x:v>
      </x:c>
      <x:c r="C21" s="48" t="str">
        <x:v>V01</x:v>
      </x:c>
      <x:c r="D21" s="48" t="str">
        <x:v>年10月29日建设项目环境影响报告书（表）受理公告（佛山市生态环境局顺德分局）_3.pdf</x:v>
      </x:c>
      <x:c r="E21" s="48" t="str">
        <x:v>佛山市沃丰德电器有限公司扩建项目</x:v>
      </x:c>
      <x:c r="F21" s="48" t="str">
        <x:v>PL034_V01_Q01</x:v>
      </x:c>
      <x:c r="G21" s="48" t="str">
        <x:v>1. 塑胶行业样本筛选与国民经济行业分类</x:v>
      </x:c>
      <x:c r="H21" s="48" t="str">
        <x:v>请结合项目产品、原辅材料和生产工艺，判断该报告行业类别是否基本合理。</x:v>
      </x:c>
      <x:c r="I21" s="48" t="str">
        <x:v>国民经济行业类型判定结论：需复核；具体分析：根据项目概况，本项目以铜管、铝管、黄铜件及焊条等为主要原辅材料，经开料、弯管、整形、测试、焊接和套环等工序，生产小铜弯管、铜跨管及单管、铝跨管及单管和焊接组件；同时以PC塑料粒和色母为原料，经混料、注塑、检验及边角料破碎回用等工序，生产塑料保护套。经识别，塑料保护套制造属于C2929塑料零件及其他塑料制品制造，与项目填报类别一致；上述铜、铝管件及焊接组件属于小型金属管件，不具备金属结构构件的产品特征，现有证据更符合C3399其他未列明金属制品制造，与项目填报的C3311金属结构制造存在差异。因此，C2929类别基本合理，C3311类别需结合金属管件的具体用途进一步复核确认。</x:v>
      </x:c>
      <x:c r="J21" s="48" t="str">
        <x:v>业区 25-2-1 号地块之 31 地理坐标 （113 度 11 分 41.319 秒， 22 度 48 分 32.142 秒） 国民经济 行业类别 C3311 金属结构制造、 C2929 塑料零件及其他 塑料制品制造 建设项目 行业类别 建设性质 □新建（迁建） □改建 ☑扩建 □技术改造 建设项目 申报情形 二十六、橡胶和塑料制品 业 -29 中 53、塑料制品 业 292-其他（年用非溶剂 型低 VOCs 含量涂料 10 吨 以下的除外） ☑首次申报项目 □不予批准后再次申报 项目 ☐超五年重新审核项目 □重大变动重新报批项 目 项目审批（核准 /备案）部门（选 填） / 项目审批（核准/ 备案）文号（选填） / 总投资（万元） 20 环保投资（万元） 10 环保投资占比 （%） 50 施工工期 2 个月 用地（用海） 面积（m2） 1100（扩建新增） 是否开工建设 ☑否 ☐是：</x:v>
      </x:c>
      <x:c r="K21" s="48" t="str">
        <x:v>《国民经济行业分类》(GB/T 4754—2017)；本任务C292筛选及C17/C18排除规则</x:v>
      </x:c>
      <x:c r="L21" s="48" t="str">
        <x:v>结合本项目行业代码、建设性质、工艺关键词及PDF证据生成，非脱离项目的通用题。</x:v>
      </x:c>
      <x:c r="M21" s="48" t="str">
        <x:v>可依据对应PDF原文、工程分析表格及所列法规标准逐项复核。</x:v>
      </x:c>
      <x:c r="N21" s="48" t="str">
        <x:v>True</x:v>
      </x:c>
      <x:c r="O21" s="48"/>
      <x:c r="P21" s="48"/>
      <x:c r="Q21" s="48"/>
      <x:c r="R21" s="48" t="str">
        <x:v>新增</x:v>
      </x:c>
      <x:c r="S21" s="48" t="str">
        <x:v>是</x:v>
      </x:c>
      <x:c r="T21" s="48" t="str">
        <x:v>自动生成；需人工复核项目参数、公式取值、标准适用范围及PDF文字提取完整性。</x:v>
      </x:c>
      <x:c r="U21" s="48" t="str">
        <x:v>seed_qa_塑胶行业筛选版_30个国民经济行业分类的人工标记</x:v>
      </x:c>
      <x:c r="V21" s="48" t="str">
        <x:v>国民经济行业分类</x:v>
      </x:c>
      <x:c r="W21" s="48"/>
      <x:c r="X21" s="48" t="str">
        <x:v>待判断</x:v>
      </x:c>
      <x:c r="Y21" s="64"/>
      <x:c r="Z21" s="64" t="str">
        <x:v>未复核</x:v>
      </x:c>
      <x:c r="AA21" s="64" t="str">
        <x:v>部分充分</x:v>
      </x:c>
      <x:c r="AB21" s="64" t="str">
        <x:v>待判断</x:v>
      </x:c>
      <x:c r="AC21" s="64" t="str">
        <x:v>部分核验</x:v>
      </x:c>
      <x:c r="AD21" s="64" t="str">
        <x:v>自动默认</x:v>
      </x:c>
      <x:c r="AE21" s="64" t="str">
        <x:v>候选池</x:v>
      </x:c>
      <x:c r="AF21" s="64" t="str">
        <x:v>C_题目或材料问题</x:v>
      </x:c>
      <x:c r="AG21" s="64"/>
      <x:c r="AH21" s="64"/>
      <x:c r="AI21" s="64"/>
      <x:c r="AJ21" s="64"/>
      <x:c r="AK21" s="64"/>
      <x:c r="AL21" s="64"/>
      <x:c r="AM21" s="64"/>
      <x:c r="AN21" s="48" t="str">
        <x:v>190</x:v>
      </x:c>
      <x:c r="AO21" s="48" t="str">
        <x:v>MAP_BLANK</x:v>
      </x:c>
      <x:c r="AP21" s="48" t="str">
        <x:v>人工判断为空：不得自动补填结论；人工判断为空；结构完整但原因需人工确认；存在报告证据，但尚未经人工逐项核验；已列依据来源，但未在本阶段逐条核验</x:v>
      </x:c>
      <x:c r="AQ21" s="64"/>
      <x:c r="AR21" s="48" t="str">
        <x:v>industry_classification</x:v>
      </x:c>
      <x:c r="AS21" s="48" t="str">
        <x:v>L3_analysis</x:v>
      </x:c>
      <x:c r="AT21" s="48" t="str">
        <x:v>multi_evidence_synthesis</x:v>
      </x:c>
      <x:c r="AU21" s="48" t="str">
        <x:v>evidence_integration</x:v>
      </x:c>
      <x:c r="AV21" s="48" t="str">
        <x:v>report_grounding；basis_grounding</x:v>
      </x:c>
      <x:c r="AW21" s="48" t="str">
        <x:v>high</x:v>
      </x:c>
      <x:c r="AX21" s="48" t="str">
        <x:v>high</x:v>
      </x:c>
      <x:c r="AY21" s="48" t="str">
        <x:v>cross_section</x:v>
      </x:c>
      <x:c r="AZ21" s="48" t="str">
        <x:v>True</x:v>
      </x:c>
      <x:c r="BA21" s="48"/>
      <x:c r="BB21" s="48" t="str">
        <x:v>auto_default</x:v>
      </x:c>
      <x:c r="BC21" s="48" t="str">
        <x:v>v1</x:v>
      </x:c>
      <x:c r="BD21" s="68"/>
    </x:row>
    <x:row r="22" ht="36" customHeight="1">
      <x:c r="A22" s="47" t="str">
        <x:v>2026-06-25</x:v>
      </x:c>
      <x:c r="B22" s="48" t="str">
        <x:v>PL035</x:v>
      </x:c>
      <x:c r="C22" s="48" t="str">
        <x:v>V01</x:v>
      </x:c>
      <x:c r="D22" s="48" t="str">
        <x:v>年10月29日建设项目环境影响报告书（表）受理公告（佛山市生态环境局顺德分局）_4.pdf</x:v>
      </x:c>
      <x:c r="E22" s="48" t="str">
        <x:v>佛山市顺德区钧锐塑料厂迁建项目</x:v>
      </x:c>
      <x:c r="F22" s="48" t="str">
        <x:v>PL035_V01_Q01</x:v>
      </x:c>
      <x:c r="G22" s="48" t="str">
        <x:v>1. 塑胶行业样本筛选与国民经济行业分类</x:v>
      </x:c>
      <x:c r="H22" s="48" t="str">
        <x:v>请结合项目产品、原辅材料和生产工艺，判断该报告行业类别是否基本合理。</x:v>
      </x:c>
      <x:c r="I22" s="48" t="str">
        <x:v>"国民经济行业类型判定结论：正确；具体分析：根据项目概况，本项目以PC塑料、钛白粉（色粉）、阻燃剂和增韧剂为主要原辅材料，通过投料、混合搅拌、挤出、冷却、切粒、筛选、混合和包装等生产工艺，生产颗粒状改性PC塑料3800t/a。经识别，该产品属于共混/填充/功能改性塑料颗粒，判定国民经济行业为C2929塑料零件及其他塑料制品制造，与项目填报的国民经济行业类别C2929塑料零件及其他塑料制品制造一致。项目部分产品经注塑、质检用于性能测试，次品及边角料破碎回用，均为内部辅助活动，不构成独立对外产品线，不另列行业类别。</x:v>
      </x:c>
      <x:c r="J22" s="48" t="str">
        <x:v>街道富裕村龙冲路 32 号之二 地理坐标 东经 113 度 12 分 7.361 秒，北纬 22 度 48 分 37.173 秒 国民经济 行业类别 建设性质 C2929 塑料零件及其他 塑料制品制造 ☑新建（迁建） ☐改建 ☐扩建 ☐技术改造 建设项目 行业类别 建设项目 申报情形 二十六、橡胶和塑料制品业53 塑料制品业 292； ☑首次申报项目 ☐不予批准后再次申报项目 ☐超五年重新审核项目 ☐重大变动重新报批项目 项目审批（核准/ 备案）部门（选 填） 无 项目审批（核准/ 备案）文号（选填） 无 总投资（万元） 100 环保投资（万元） 20 环保投资占比 （%） 20 施工工期 1 个月 用地（用海） 面积（m2） 4945 是否开工建设 否 ☐是： 专项评价设置 情况 无 规划名称：《顺德西部生态产业新区顺德支流北岸片区（SD-H-04-01、 SD-H-04-02）控制性</x:v>
      </x:c>
      <x:c r="K22" s="48" t="str">
        <x:v>《国民经济行业分类》(GB/T 4754—2017)；本任务C292筛选及C17/C18排除规则</x:v>
      </x:c>
      <x:c r="L22" s="48" t="str">
        <x:v>结合本项目行业代码、建设性质、工艺关键词及PDF证据生成，非脱离项目的通用题。</x:v>
      </x:c>
      <x:c r="M22" s="48" t="str">
        <x:v>可依据对应PDF原文、工程分析表格及所列法规标准逐项复核。</x:v>
      </x:c>
      <x:c r="N22" s="48" t="str">
        <x:v>True</x:v>
      </x:c>
      <x:c r="O22" s="48"/>
      <x:c r="P22" s="48"/>
      <x:c r="Q22" s="48"/>
      <x:c r="R22" s="48" t="str">
        <x:v>新增</x:v>
      </x:c>
      <x:c r="S22" s="48" t="str">
        <x:v>是</x:v>
      </x:c>
      <x:c r="T22" s="48" t="str">
        <x:v>自动生成；需人工复核项目参数、公式取值、标准适用范围及PDF文字提取完整性。</x:v>
      </x:c>
      <x:c r="U22" s="48" t="str">
        <x:v>seed_qa_塑胶行业筛选版_30个国民经济行业分类的人工标记</x:v>
      </x:c>
      <x:c r="V22" s="48" t="str">
        <x:v>国民经济行业分类</x:v>
      </x:c>
      <x:c r="W22" s="48"/>
      <x:c r="X22" s="48" t="str">
        <x:v>待判断</x:v>
      </x:c>
      <x:c r="Y22" s="64"/>
      <x:c r="Z22" s="64" t="str">
        <x:v>未复核</x:v>
      </x:c>
      <x:c r="AA22" s="64" t="str">
        <x:v>部分充分</x:v>
      </x:c>
      <x:c r="AB22" s="64" t="str">
        <x:v>待判断</x:v>
      </x:c>
      <x:c r="AC22" s="64" t="str">
        <x:v>部分核验</x:v>
      </x:c>
      <x:c r="AD22" s="64" t="str">
        <x:v>自动默认</x:v>
      </x:c>
      <x:c r="AE22" s="64" t="str">
        <x:v>候选池</x:v>
      </x:c>
      <x:c r="AF22" s="64" t="str">
        <x:v>C_题目或材料问题</x:v>
      </x:c>
      <x:c r="AG22" s="64"/>
      <x:c r="AH22" s="64"/>
      <x:c r="AI22" s="64"/>
      <x:c r="AJ22" s="64"/>
      <x:c r="AK22" s="64"/>
      <x:c r="AL22" s="64"/>
      <x:c r="AM22" s="64"/>
      <x:c r="AN22" s="48" t="str">
        <x:v>192</x:v>
      </x:c>
      <x:c r="AO22" s="48" t="str">
        <x:v>MAP_BLANK</x:v>
      </x:c>
      <x:c r="AP22" s="48" t="str">
        <x:v>人工判断为空：不得自动补填结论；人工判断为空；结构完整但原因需人工确认；存在报告证据，但尚未经人工逐项核验；已列依据来源，但未在本阶段逐条核验</x:v>
      </x:c>
      <x:c r="AQ22" s="64"/>
      <x:c r="AR22" s="48" t="str">
        <x:v>industry_classification</x:v>
      </x:c>
      <x:c r="AS22" s="48" t="str">
        <x:v>L3_analysis</x:v>
      </x:c>
      <x:c r="AT22" s="48" t="str">
        <x:v>multi_evidence_synthesis</x:v>
      </x:c>
      <x:c r="AU22" s="48" t="str">
        <x:v>evidence_integration</x:v>
      </x:c>
      <x:c r="AV22" s="48" t="str">
        <x:v>report_grounding；basis_grounding</x:v>
      </x:c>
      <x:c r="AW22" s="48" t="str">
        <x:v>high</x:v>
      </x:c>
      <x:c r="AX22" s="48" t="str">
        <x:v>high</x:v>
      </x:c>
      <x:c r="AY22" s="48" t="str">
        <x:v>cross_section</x:v>
      </x:c>
      <x:c r="AZ22" s="48" t="str">
        <x:v>True</x:v>
      </x:c>
      <x:c r="BA22" s="48"/>
      <x:c r="BB22" s="48" t="str">
        <x:v>auto_default</x:v>
      </x:c>
      <x:c r="BC22" s="48" t="str">
        <x:v>v1</x:v>
      </x:c>
      <x:c r="BD22" s="68"/>
    </x:row>
    <x:row r="23" ht="36" customHeight="1">
      <x:c r="A23" s="47" t="str">
        <x:v>2026-06-25</x:v>
      </x:c>
      <x:c r="B23" s="48" t="str">
        <x:v>PL036</x:v>
      </x:c>
      <x:c r="C23" s="48" t="str">
        <x:v>V01</x:v>
      </x:c>
      <x:c r="D23" s="48" t="str">
        <x:v>年10月29日建设项目环境影响报告书（表）受理公告（均安）.pdf</x:v>
      </x:c>
      <x:c r="E23" s="48" t="str">
        <x:v>广东梅州磁性材料有限公司顺德分公司迁扩建项目</x:v>
      </x:c>
      <x:c r="F23" s="48" t="str">
        <x:v>PL036_V01_Q01</x:v>
      </x:c>
      <x:c r="G23" s="48" t="str">
        <x:v>1. 塑胶行业样本筛选与国民经济行业分类</x:v>
      </x:c>
      <x:c r="H23" s="48" t="str">
        <x:v>请结合项目产品、原辅材料和生产工艺，判断该报告行业类别是否基本合理。</x:v>
      </x:c>
      <x:c r="I23" s="48" t="str">
        <x:v>国民经济行业类型判定结论：正确；具体分析：根据项目概况，本项目以PVC粒料、碳酸钙和环氧大豆油为主要原辅材料，通过投料、混料、造粒、挤出、直接冷却、切割等工序制成塑料条，再将外购磁条穿入塑料套经焊磁热熔粘合，生产由塑料条与磁条组合制成的塑料封条648.093吨/年（约400万米/年）。经识别，该产品属于塑料密封制品，判定国民经济行业为C2929塑料零件及其他塑料制品制造，与项目填报的国民经济行业类别C2929塑料零件及其他塑料制品制造一致。</x:v>
      </x:c>
      <x:c r="J23" s="48" t="str">
        <x:v>室、202 室、 302 室 地理坐标 东经 113 度 6 分 34.877 秒，北纬 22 度 45 分 13.748 秒 国民经济 行业类别 C2929 塑料零件及其他 塑料制品制造 建设项目 行业类别 建设性质 ☑新建（迁建） □改建 ☑扩建 □技术改造 建设项目 申报情形 项目审批（核 准/备案）部门 （选填） / 二十六、橡胶和塑料制品业 29—53 塑料制品业 292—其他 （年用非溶剂型低 VOCs 含量涂 料 10 吨以下的除外） ☑首次申报项目 □不予批准后再次申报项目 □超五年重新审核项目 □重大变动重新报批项目 项目审批（核准/ 备案）文号（选填） / 总投资（万元） 环保投资（万元） 环保投资占比 （%） 施工工期 1 个月 用地（用海） 面积（m2） 1031.76 是否开工建设 ☑否 □是： 专项评价设 置情况 无 规划情况 无 规划环境影 响评价情况 无</x:v>
      </x:c>
      <x:c r="K23" s="48" t="str">
        <x:v>《国民经济行业分类》(GB/T 4754—2017)；本任务C292筛选及C17/C18排除规则</x:v>
      </x:c>
      <x:c r="L23" s="48" t="str">
        <x:v>结合本项目行业代码、建设性质、工艺关键词及PDF证据生成，非脱离项目的通用题。</x:v>
      </x:c>
      <x:c r="M23" s="48" t="str">
        <x:v>可依据对应PDF原文、工程分析表格及所列法规标准逐项复核。</x:v>
      </x:c>
      <x:c r="N23" s="48" t="str">
        <x:v>True</x:v>
      </x:c>
      <x:c r="O23" s="48"/>
      <x:c r="P23" s="48"/>
      <x:c r="Q23" s="48"/>
      <x:c r="R23" s="48" t="str">
        <x:v>新增</x:v>
      </x:c>
      <x:c r="S23" s="48" t="str">
        <x:v>是</x:v>
      </x:c>
      <x:c r="T23" s="48" t="str">
        <x:v>自动生成；需人工复核项目参数、公式取值、标准适用范围及PDF文字提取完整性。</x:v>
      </x:c>
      <x:c r="U23" s="48" t="str">
        <x:v>seed_qa_塑胶行业筛选版_30个国民经济行业分类的人工标记</x:v>
      </x:c>
      <x:c r="V23" s="48" t="str">
        <x:v>国民经济行业分类</x:v>
      </x:c>
      <x:c r="W23" s="48"/>
      <x:c r="X23" s="48" t="str">
        <x:v>待判断</x:v>
      </x:c>
      <x:c r="Y23" s="64"/>
      <x:c r="Z23" s="64" t="str">
        <x:v>未复核</x:v>
      </x:c>
      <x:c r="AA23" s="64" t="str">
        <x:v>部分充分</x:v>
      </x:c>
      <x:c r="AB23" s="64" t="str">
        <x:v>待判断</x:v>
      </x:c>
      <x:c r="AC23" s="64" t="str">
        <x:v>部分核验</x:v>
      </x:c>
      <x:c r="AD23" s="64" t="str">
        <x:v>自动默认</x:v>
      </x:c>
      <x:c r="AE23" s="64" t="str">
        <x:v>候选池</x:v>
      </x:c>
      <x:c r="AF23" s="64" t="str">
        <x:v>C_题目或材料问题</x:v>
      </x:c>
      <x:c r="AG23" s="64"/>
      <x:c r="AH23" s="64"/>
      <x:c r="AI23" s="64"/>
      <x:c r="AJ23" s="64"/>
      <x:c r="AK23" s="64"/>
      <x:c r="AL23" s="64"/>
      <x:c r="AM23" s="64"/>
      <x:c r="AN23" s="48" t="str">
        <x:v>194</x:v>
      </x:c>
      <x:c r="AO23" s="48" t="str">
        <x:v>MAP_BLANK</x:v>
      </x:c>
      <x:c r="AP23" s="48" t="str">
        <x:v>人工判断为空：不得自动补填结论；人工判断为空；结构完整但原因需人工确认；存在报告证据，但尚未经人工逐项核验；已列依据来源，但未在本阶段逐条核验</x:v>
      </x:c>
      <x:c r="AQ23" s="64"/>
      <x:c r="AR23" s="48" t="str">
        <x:v>industry_classification</x:v>
      </x:c>
      <x:c r="AS23" s="48" t="str">
        <x:v>L3_analysis</x:v>
      </x:c>
      <x:c r="AT23" s="48" t="str">
        <x:v>multi_evidence_synthesis</x:v>
      </x:c>
      <x:c r="AU23" s="48" t="str">
        <x:v>evidence_integration</x:v>
      </x:c>
      <x:c r="AV23" s="48" t="str">
        <x:v>report_grounding；basis_grounding</x:v>
      </x:c>
      <x:c r="AW23" s="48" t="str">
        <x:v>high</x:v>
      </x:c>
      <x:c r="AX23" s="48" t="str">
        <x:v>high</x:v>
      </x:c>
      <x:c r="AY23" s="48" t="str">
        <x:v>cross_section</x:v>
      </x:c>
      <x:c r="AZ23" s="48" t="str">
        <x:v>True</x:v>
      </x:c>
      <x:c r="BA23" s="48"/>
      <x:c r="BB23" s="48" t="str">
        <x:v>auto_default</x:v>
      </x:c>
      <x:c r="BC23" s="48" t="str">
        <x:v>v1</x:v>
      </x:c>
      <x:c r="BD23" s="68"/>
    </x:row>
    <x:row r="24" ht="36" customHeight="1">
      <x:c r="A24" s="47" t="str">
        <x:v>2026-06-25</x:v>
      </x:c>
      <x:c r="B24" s="48" t="str">
        <x:v>PL037</x:v>
      </x:c>
      <x:c r="C24" s="48" t="str">
        <x:v>V01</x:v>
      </x:c>
      <x:c r="D24" s="48" t="str">
        <x:v>年11月13日建设项目环境影响报告受理公告（大良）.pdf</x:v>
      </x:c>
      <x:c r="E24" s="48" t="str">
        <x:v>佛山麦琪科技有限公司建设项目</x:v>
      </x:c>
      <x:c r="F24" s="48" t="str">
        <x:v>PL037_V01_Q01</x:v>
      </x:c>
      <x:c r="G24" s="48" t="str">
        <x:v>1. 塑胶行业样本筛选与国民经济行业分类</x:v>
      </x:c>
      <x:c r="H24" s="48" t="str">
        <x:v>请结合项目产品、原辅材料和生产工艺，判断该报告行业类别是否基本合理。</x:v>
      </x:c>
      <x:c r="I24" s="48" t="str">
        <x:v>国民经济行业类型判定结论：正确；具体分析：根据项目概况，本项目以TPU塑料粒和色母为主要原辅材料，通过投料混料、烘料、注塑成型、冲孔、检验包装等生产工艺，生产手机壳700万个/年（塑料总质量约224吨/年）。经识别，该产品属于塑胶手机配件，判定国民经济行业为C2929塑料零件及其他塑料制品制造，与项目填报的国民经济行业类别C2929塑料零件及其他塑料制品制造一致。</x:v>
      </x:c>
      <x:c r="J24" s="48" t="str">
        <x:v>顺昌路 21 号悦腾智能制造园 6 号楼 703 地理坐标 东经 113°21′14.184″，北纬 22°48′29.758″ 国民经济 行业类别 C2929 塑料零件及其 他塑料制品制造 建设项目 行业类别 二十六、橡胶和塑料制品业29-53 塑料制品业292——“其他（年用非 溶剂型低VOCS含量涂料10吨以下 的除外）”）” 建设性质 ☑新建（迁建） □改建 □扩建 □技术改造 建设项目 申报情形 ☑首次申报项目 □不予批准后再次申报项目 □超五年重新审核项目 □重大变动重新报批项目 项目审批（核准/ 备案）部门（选填） 无 总投资（万元） 项目审批（核准/ 备案）文号（选填） 无 环保投资（万元） 施工工期 1 个月 用地（用海） 面积（m2） 956.58 20 环保投资占比（%） 是否开工建设 ☑否 □是 专项评价设置 情况 无 审批文件名称：《佛山市顺德区 SD-A-05-</x:v>
      </x:c>
      <x:c r="K24" s="48" t="str">
        <x:v>《国民经济行业分类》(GB/T 4754—2017)；本任务C292筛选及C17/C18排除规则</x:v>
      </x:c>
      <x:c r="L24" s="48" t="str">
        <x:v>结合本项目行业代码、建设性质、工艺关键词及PDF证据生成，非脱离项目的通用题。</x:v>
      </x:c>
      <x:c r="M24" s="48" t="str">
        <x:v>可依据对应PDF原文、工程分析表格及所列法规标准逐项复核。</x:v>
      </x:c>
      <x:c r="N24" s="48" t="str">
        <x:v>True</x:v>
      </x:c>
      <x:c r="O24" s="48"/>
      <x:c r="P24" s="48"/>
      <x:c r="Q24" s="48"/>
      <x:c r="R24" s="48" t="str">
        <x:v>新增</x:v>
      </x:c>
      <x:c r="S24" s="48" t="str">
        <x:v>是</x:v>
      </x:c>
      <x:c r="T24" s="48" t="str">
        <x:v>自动生成；需人工复核项目参数、公式取值、标准适用范围及PDF文字提取完整性。</x:v>
      </x:c>
      <x:c r="U24" s="48" t="str">
        <x:v>seed_qa_塑胶行业筛选版_30个国民经济行业分类的人工标记</x:v>
      </x:c>
      <x:c r="V24" s="48" t="str">
        <x:v>国民经济行业分类</x:v>
      </x:c>
      <x:c r="W24" s="48"/>
      <x:c r="X24" s="48" t="str">
        <x:v>待判断</x:v>
      </x:c>
      <x:c r="Y24" s="64"/>
      <x:c r="Z24" s="64" t="str">
        <x:v>未复核</x:v>
      </x:c>
      <x:c r="AA24" s="64" t="str">
        <x:v>部分充分</x:v>
      </x:c>
      <x:c r="AB24" s="64" t="str">
        <x:v>待判断</x:v>
      </x:c>
      <x:c r="AC24" s="64" t="str">
        <x:v>部分核验</x:v>
      </x:c>
      <x:c r="AD24" s="64" t="str">
        <x:v>自动默认</x:v>
      </x:c>
      <x:c r="AE24" s="64" t="str">
        <x:v>候选池</x:v>
      </x:c>
      <x:c r="AF24" s="64" t="str">
        <x:v>C_题目或材料问题</x:v>
      </x:c>
      <x:c r="AG24" s="64"/>
      <x:c r="AH24" s="64"/>
      <x:c r="AI24" s="64"/>
      <x:c r="AJ24" s="64"/>
      <x:c r="AK24" s="64"/>
      <x:c r="AL24" s="64"/>
      <x:c r="AM24" s="64"/>
      <x:c r="AN24" s="48" t="str">
        <x:v>196</x:v>
      </x:c>
      <x:c r="AO24" s="48" t="str">
        <x:v>MAP_BLANK</x:v>
      </x:c>
      <x:c r="AP24" s="48" t="str">
        <x:v>人工判断为空：不得自动补填结论；人工判断为空；结构完整但原因需人工确认；存在报告证据，但尚未经人工逐项核验；已列依据来源，但未在本阶段逐条核验</x:v>
      </x:c>
      <x:c r="AQ24" s="64"/>
      <x:c r="AR24" s="48" t="str">
        <x:v>industry_classification</x:v>
      </x:c>
      <x:c r="AS24" s="48" t="str">
        <x:v>L3_analysis</x:v>
      </x:c>
      <x:c r="AT24" s="48" t="str">
        <x:v>multi_evidence_synthesis</x:v>
      </x:c>
      <x:c r="AU24" s="48" t="str">
        <x:v>evidence_integration</x:v>
      </x:c>
      <x:c r="AV24" s="48" t="str">
        <x:v>report_grounding；basis_grounding</x:v>
      </x:c>
      <x:c r="AW24" s="48" t="str">
        <x:v>high</x:v>
      </x:c>
      <x:c r="AX24" s="48" t="str">
        <x:v>high</x:v>
      </x:c>
      <x:c r="AY24" s="48" t="str">
        <x:v>cross_section</x:v>
      </x:c>
      <x:c r="AZ24" s="48" t="str">
        <x:v>True</x:v>
      </x:c>
      <x:c r="BA24" s="48"/>
      <x:c r="BB24" s="48" t="str">
        <x:v>auto_default</x:v>
      </x:c>
      <x:c r="BC24" s="48" t="str">
        <x:v>v1</x:v>
      </x:c>
      <x:c r="BD24" s="68"/>
    </x:row>
    <x:row r="25" ht="36" customHeight="1">
      <x:c r="A25" s="47" t="str">
        <x:v>2026-06-25</x:v>
      </x:c>
      <x:c r="B25" s="48" t="str">
        <x:v>PL038</x:v>
      </x:c>
      <x:c r="C25" s="48" t="str">
        <x:v>V01</x:v>
      </x:c>
      <x:c r="D25" s="48" t="str">
        <x:v>年11月13日建设项目环境影响报告表受理公告（伦教）_2.pdf</x:v>
      </x:c>
      <x:c r="E25" s="48" t="str">
        <x:v>佛山市顺德区晟昂电子科技有限公司新建项目</x:v>
      </x:c>
      <x:c r="F25" s="48" t="str">
        <x:v>PL038_V01_Q01</x:v>
      </x:c>
      <x:c r="G25" s="48" t="str">
        <x:v>1. 塑胶行业样本筛选与国民经济行业分类</x:v>
      </x:c>
      <x:c r="H25" s="48" t="str">
        <x:v>请结合项目产品、原辅材料和生产工艺，判断该报告行业类别是否基本合理。</x:v>
      </x:c>
      <x:c r="I25" s="48" t="str">
        <x:v>国民经济行业类型判定结论：需复核；具体分析：根据项目概况，本项目以ABS塑料粒、PC塑料粒和ABS+PC阻燃料为主要原辅材料，经混料、注塑、检验等工序，生产电子灯外壳300万个/年；同时以钢材、铜材、铝材为原料，经开料、机制加工并发外喷漆、电镀等工序，生产电子灯五金配件约64.6万个/年。经识别，电子灯外壳制造属于C2929塑料零件及其他塑料制品制造，与项目填报类别一致；电子灯五金配件为金属机制加工零部件，不具备照明灯具成品的产品特征，现有证据更符合C3399其他未列明金属制品制造，与项目填报的C3872照明灯具制造存在差异。因此，C2929类别基本合理，C3872类别需结合五金配件的具体用途及是否构成灯具成品组装进一步复核确认。</x:v>
      </x:c>
      <x:c r="J25" s="48" t="str">
        <x:v>作为经营场所，不需要进行土建施工，不存在施 施工期环境 保护措施 工期环境影响。 30 本项目主要从事电子灯外壳、电子灯五金配件的加工生产，行业类别属于 “C292 塑料制品业”－“C2929 塑料零件及其他 塑料制品制造”、“C387 照明器具制造”－“C3872 照明灯具制造”。根据《固定污染源排污许可分类管理名录（2019 年 版）》，本项目属于登记管理类别，项目污染防治措施可行性分析内容参考《排污许可证申请与核发技术规范 总则》（HJ 9422018）进行分析。 一、大气污染源 1.1 大气污染物产排情况汇总 本项目废气污染源源强核算结果及相关参数一览表详见表 4-1 所示： 表 4-1 废气污染源源强核算结果及相关参数一览表 运营 期环 境影 响和 保护 措施 产排污 环节 排放口 编号/类 型 污染物产生情况 治理措施 污染物 种类 DA001/ 一般排 非甲烷 放口 总烃 生</x:v>
      </x:c>
      <x:c r="K25" s="48" t="str">
        <x:v>《国民经济行业分类》(GB/T 4754—2017)；本任务C292筛选及C17/C18排除规则</x:v>
      </x:c>
      <x:c r="L25" s="48" t="str">
        <x:v>结合本项目行业代码、建设性质、工艺关键词及PDF证据生成，非脱离项目的通用题。</x:v>
      </x:c>
      <x:c r="M25" s="48" t="str">
        <x:v>可依据对应PDF原文、工程分析表格及所列法规标准逐项复核。</x:v>
      </x:c>
      <x:c r="N25" s="48" t="str">
        <x:v>True</x:v>
      </x:c>
      <x:c r="O25" s="48"/>
      <x:c r="P25" s="48"/>
      <x:c r="Q25" s="48"/>
      <x:c r="R25" s="48" t="str">
        <x:v>新增</x:v>
      </x:c>
      <x:c r="S25" s="48" t="str">
        <x:v>是</x:v>
      </x:c>
      <x:c r="T25" s="48" t="str">
        <x:v>自动生成；需人工复核项目参数、公式取值、标准适用范围及PDF文字提取完整性。</x:v>
      </x:c>
      <x:c r="U25" s="48" t="str">
        <x:v>seed_qa_塑胶行业筛选版_30个国民经济行业分类的人工标记</x:v>
      </x:c>
      <x:c r="V25" s="48" t="str">
        <x:v>国民经济行业分类</x:v>
      </x:c>
      <x:c r="W25" s="48"/>
      <x:c r="X25" s="48" t="str">
        <x:v>待判断</x:v>
      </x:c>
      <x:c r="Y25" s="64"/>
      <x:c r="Z25" s="64" t="str">
        <x:v>未复核</x:v>
      </x:c>
      <x:c r="AA25" s="64" t="str">
        <x:v>部分充分</x:v>
      </x:c>
      <x:c r="AB25" s="64" t="str">
        <x:v>待判断</x:v>
      </x:c>
      <x:c r="AC25" s="64" t="str">
        <x:v>部分核验</x:v>
      </x:c>
      <x:c r="AD25" s="64" t="str">
        <x:v>自动默认</x:v>
      </x:c>
      <x:c r="AE25" s="64" t="str">
        <x:v>候选池</x:v>
      </x:c>
      <x:c r="AF25" s="64" t="str">
        <x:v>C_题目或材料问题</x:v>
      </x:c>
      <x:c r="AG25" s="64"/>
      <x:c r="AH25" s="64"/>
      <x:c r="AI25" s="64"/>
      <x:c r="AJ25" s="64"/>
      <x:c r="AK25" s="64"/>
      <x:c r="AL25" s="64"/>
      <x:c r="AM25" s="64"/>
      <x:c r="AN25" s="48" t="str">
        <x:v>198</x:v>
      </x:c>
      <x:c r="AO25" s="48" t="str">
        <x:v>MAP_BLANK</x:v>
      </x:c>
      <x:c r="AP25" s="48" t="str">
        <x:v>人工判断为空：不得自动补填结论；人工判断为空；结构完整但原因需人工确认；存在报告证据，但尚未经人工逐项核验；已列依据来源，但未在本阶段逐条核验</x:v>
      </x:c>
      <x:c r="AQ25" s="64"/>
      <x:c r="AR25" s="48" t="str">
        <x:v>industry_classification</x:v>
      </x:c>
      <x:c r="AS25" s="48" t="str">
        <x:v>L3_analysis</x:v>
      </x:c>
      <x:c r="AT25" s="48" t="str">
        <x:v>multi_evidence_synthesis</x:v>
      </x:c>
      <x:c r="AU25" s="48" t="str">
        <x:v>evidence_integration</x:v>
      </x:c>
      <x:c r="AV25" s="48" t="str">
        <x:v>report_grounding；basis_grounding</x:v>
      </x:c>
      <x:c r="AW25" s="48" t="str">
        <x:v>high</x:v>
      </x:c>
      <x:c r="AX25" s="48" t="str">
        <x:v>high</x:v>
      </x:c>
      <x:c r="AY25" s="48" t="str">
        <x:v>cross_section</x:v>
      </x:c>
      <x:c r="AZ25" s="48" t="str">
        <x:v>True</x:v>
      </x:c>
      <x:c r="BA25" s="48"/>
      <x:c r="BB25" s="48" t="str">
        <x:v>auto_default</x:v>
      </x:c>
      <x:c r="BC25" s="48" t="str">
        <x:v>v1</x:v>
      </x:c>
      <x:c r="BD25" s="68"/>
    </x:row>
    <x:row r="26" ht="36" customHeight="1">
      <x:c r="A26" s="47" t="str">
        <x:v>2026-06-25</x:v>
      </x:c>
      <x:c r="B26" s="48" t="str">
        <x:v>PL039</x:v>
      </x:c>
      <x:c r="C26" s="48" t="str">
        <x:v>V01</x:v>
      </x:c>
      <x:c r="D26" s="48" t="str">
        <x:v>年11月14日建设项目环境影响报告受理公告（大良）_1.pdf</x:v>
      </x:c>
      <x:c r="E26" s="48" t="str">
        <x:v>佛山市锦汇塑料制品有限公司新建项目</x:v>
      </x:c>
      <x:c r="F26" s="48" t="str">
        <x:v>PL039_V01_Q01</x:v>
      </x:c>
      <x:c r="G26" s="48" t="str">
        <x:v>1. 塑胶行业样本筛选与国民经济行业分类</x:v>
      </x:c>
      <x:c r="H26" s="48" t="str">
        <x:v>请结合项目产品、原辅材料和生产工艺，判断该报告行业类别是否基本合理。</x:v>
      </x:c>
      <x:c r="I26" s="48" t="str">
        <x:v>国民经济行业类型判定结论：正确；具体分析：根据项目概况，本项目以外购ABS板材为主要原辅材料，通过加热软化、吸塑成型、间接冷却、雕刻切割、修边打磨和人工打包等生产工艺，生产塑料热水器外壳138.24吨/年和塑料装饰条480吨/年。经识别，上述产品属于吸塑成型的塑胶配件及塑胶装饰件，判定国民经济行业为C2929塑料零件及其他塑料制品制造，与项目填报的国民经济行业类别C2929塑料零件及其他塑料制品制造一致。</x:v>
      </x:c>
      <x:c r="J26" s="48" t="str">
        <x:v>栋 2 楼 202 室 地理坐标 （东经：113 度 22 分 43.774 秒，北纬：22 度 48 分 27.103 秒） 国民经济 行业类别 C2929 塑料零件及其 他塑料制品制造 建设项目 行业类别 建设性质 新建（迁建） 改建 扩建 技术改造 建设项目 申报情形 二十六、橡胶和塑料制品业 53 塑料制品业 292-其他（年用非 溶剂型低 VOC 含量涂料 10 吨 以下的除外） 首次申报项目 不予批准后再次申报项目 超五年重新审核项目 重大变动重新报批项目 项目审批（核准/ 备案）部门（选 填） / 项目审批（核准/ 备案）文号（选填） / 总投资（万元） *** 环保投资（万元） *** 环保投资占比 （%） 20 施工工期 2 个月 用地（用海） 面积（m2） 1674 是否开工建设 否 是 专项评价设置 情况 规划情况 规划环境影响 评价情况 无 审</x:v>
      </x:c>
      <x:c r="K26" s="48" t="str">
        <x:v>《国民经济行业分类》(GB/T 4754—2017)；本任务C292筛选及C17/C18排除规则</x:v>
      </x:c>
      <x:c r="L26" s="48" t="str">
        <x:v>结合本项目行业代码、建设性质、工艺关键词及PDF证据生成，非脱离项目的通用题。</x:v>
      </x:c>
      <x:c r="M26" s="48" t="str">
        <x:v>可依据对应PDF原文、工程分析表格及所列法规标准逐项复核。</x:v>
      </x:c>
      <x:c r="N26" s="48" t="str">
        <x:v>True</x:v>
      </x:c>
      <x:c r="O26" s="48"/>
      <x:c r="P26" s="48"/>
      <x:c r="Q26" s="48"/>
      <x:c r="R26" s="48" t="str">
        <x:v>新增</x:v>
      </x:c>
      <x:c r="S26" s="48" t="str">
        <x:v>是</x:v>
      </x:c>
      <x:c r="T26" s="48" t="str">
        <x:v>自动生成；需人工复核项目参数、公式取值、标准适用范围及PDF文字提取完整性。</x:v>
      </x:c>
      <x:c r="U26" s="48" t="str">
        <x:v>seed_qa_塑胶行业筛选版_30个国民经济行业分类的人工标记</x:v>
      </x:c>
      <x:c r="V26" s="48" t="str">
        <x:v>国民经济行业分类</x:v>
      </x:c>
      <x:c r="W26" s="48"/>
      <x:c r="X26" s="48" t="str">
        <x:v>待判断</x:v>
      </x:c>
      <x:c r="Y26" s="64"/>
      <x:c r="Z26" s="64" t="str">
        <x:v>未复核</x:v>
      </x:c>
      <x:c r="AA26" s="64" t="str">
        <x:v>部分充分</x:v>
      </x:c>
      <x:c r="AB26" s="64" t="str">
        <x:v>待判断</x:v>
      </x:c>
      <x:c r="AC26" s="64" t="str">
        <x:v>部分核验</x:v>
      </x:c>
      <x:c r="AD26" s="64" t="str">
        <x:v>自动默认</x:v>
      </x:c>
      <x:c r="AE26" s="64" t="str">
        <x:v>候选池</x:v>
      </x:c>
      <x:c r="AF26" s="64" t="str">
        <x:v>C_题目或材料问题</x:v>
      </x:c>
      <x:c r="AG26" s="64"/>
      <x:c r="AH26" s="64"/>
      <x:c r="AI26" s="64"/>
      <x:c r="AJ26" s="64"/>
      <x:c r="AK26" s="64"/>
      <x:c r="AL26" s="64"/>
      <x:c r="AM26" s="64"/>
      <x:c r="AN26" s="48" t="str">
        <x:v>200</x:v>
      </x:c>
      <x:c r="AO26" s="48" t="str">
        <x:v>MAP_BLANK</x:v>
      </x:c>
      <x:c r="AP26" s="48" t="str">
        <x:v>人工判断为空：不得自动补填结论；人工判断为空；结构完整但原因需人工确认；存在报告证据，但尚未经人工逐项核验；已列依据来源，但未在本阶段逐条核验</x:v>
      </x:c>
      <x:c r="AQ26" s="64"/>
      <x:c r="AR26" s="48" t="str">
        <x:v>industry_classification</x:v>
      </x:c>
      <x:c r="AS26" s="48" t="str">
        <x:v>L3_analysis</x:v>
      </x:c>
      <x:c r="AT26" s="48" t="str">
        <x:v>multi_evidence_synthesis</x:v>
      </x:c>
      <x:c r="AU26" s="48" t="str">
        <x:v>evidence_integration</x:v>
      </x:c>
      <x:c r="AV26" s="48" t="str">
        <x:v>report_grounding；basis_grounding</x:v>
      </x:c>
      <x:c r="AW26" s="48" t="str">
        <x:v>high</x:v>
      </x:c>
      <x:c r="AX26" s="48" t="str">
        <x:v>high</x:v>
      </x:c>
      <x:c r="AY26" s="48" t="str">
        <x:v>cross_section</x:v>
      </x:c>
      <x:c r="AZ26" s="48" t="str">
        <x:v>True</x:v>
      </x:c>
      <x:c r="BA26" s="48"/>
      <x:c r="BB26" s="48" t="str">
        <x:v>auto_default</x:v>
      </x:c>
      <x:c r="BC26" s="48" t="str">
        <x:v>v1</x:v>
      </x:c>
      <x:c r="BD26" s="68"/>
    </x:row>
    <x:row r="27" ht="36" customHeight="1">
      <x:c r="A27" s="47" t="str">
        <x:v>2026-06-25</x:v>
      </x:c>
      <x:c r="B27" s="48" t="str">
        <x:v>PL040</x:v>
      </x:c>
      <x:c r="C27" s="48" t="str">
        <x:v>V01</x:v>
      </x:c>
      <x:c r="D27" s="48" t="str">
        <x:v>年11月14日建设项目环境影响报告受理公告（大良）_2.pdf</x:v>
      </x:c>
      <x:c r="E27" s="48" t="str">
        <x:v>佛山市海川塑料制品有限公司新建项目</x:v>
      </x:c>
      <x:c r="F27" s="48" t="str">
        <x:v>PL040_V01_Q01</x:v>
      </x:c>
      <x:c r="G27" s="48" t="str">
        <x:v>1. 塑胶行业样本筛选与国民经济行业分类</x:v>
      </x:c>
      <x:c r="H27" s="48" t="str">
        <x:v>请结合项目产品、原辅材料和生产工艺，判断该报告行业类别是否基本合理。</x:v>
      </x:c>
      <x:c r="I27" s="48" t="str">
        <x:v>国民经济行业类型判定结论：正确；具体分析：根据项目概况，本项目以ABS塑料粒、PP塑料粒、PE塑料粒和色母为主要原辅材料，通过投料混料、烘干、注塑成型、冷却、检验等生产工艺，生产家用塑料配件160吨/年。经识别，该产品属于家居用注塑塑胶配件，判定国民经济行业为C2929塑料零件及其他塑料制品制造，与项目填报的国民经济行业类别C2929塑料零件及其他塑料制品制造一致。</x:v>
      </x:c>
      <x:c r="J27" s="48" t="str">
        <x:v>之 2 号 1 座 301 地理坐标 （东经 113 度 21 分 5.4468 秒，北纬 22 度 48 分28.0548秒） 国民经济 行业类别 C2929 塑料零件及其塑料制品制造 建设项目 行业类别 二十六、橡胶和塑料制品业 29-53 塑料制品业 292-其他（年 用非溶剂型低 VOCs 含量涂料 10 吨以下的除外） 建设性质 新建（迁建） 改建 扩建 技术改造 建设项目 申报情形 √首次申报项目 不予批准后再次申报项目 超五年重新审核项目 重大变动重新报批项目 项目审批（核准/ 备案）部门（选填） —— 项目审批（核准/ 备案）文号（选填） —— 总投资（万元） *** 环保投资（万元） *** 环保投资占比（%） 10 施工工期 1 个月 用地（用海） 面积（m2） 1125 是否开工建设 √否 是： 专项评价设置情 况 无 审批文件名称： 佛山市顺德区 S</x:v>
      </x:c>
      <x:c r="K27" s="48" t="str">
        <x:v>《国民经济行业分类》(GB/T 4754—2017)；本任务C292筛选及C17/C18排除规则</x:v>
      </x:c>
      <x:c r="L27" s="48" t="str">
        <x:v>结合本项目行业代码、建设性质、工艺关键词及PDF证据生成，非脱离项目的通用题。</x:v>
      </x:c>
      <x:c r="M27" s="48" t="str">
        <x:v>可依据对应PDF原文、工程分析表格及所列法规标准逐项复核。</x:v>
      </x:c>
      <x:c r="N27" s="48" t="str">
        <x:v>True</x:v>
      </x:c>
      <x:c r="O27" s="48"/>
      <x:c r="P27" s="48"/>
      <x:c r="Q27" s="48"/>
      <x:c r="R27" s="48" t="str">
        <x:v>新增</x:v>
      </x:c>
      <x:c r="S27" s="48" t="str">
        <x:v>是</x:v>
      </x:c>
      <x:c r="T27" s="48" t="str">
        <x:v>自动生成；需人工复核项目参数、公式取值、标准适用范围及PDF文字提取完整性。</x:v>
      </x:c>
      <x:c r="U27" s="48" t="str">
        <x:v>seed_qa_塑胶行业筛选版_30个国民经济行业分类的人工标记</x:v>
      </x:c>
      <x:c r="V27" s="48" t="str">
        <x:v>国民经济行业分类</x:v>
      </x:c>
      <x:c r="W27" s="48"/>
      <x:c r="X27" s="48" t="str">
        <x:v>待判断</x:v>
      </x:c>
      <x:c r="Y27" s="64"/>
      <x:c r="Z27" s="64" t="str">
        <x:v>未复核</x:v>
      </x:c>
      <x:c r="AA27" s="64" t="str">
        <x:v>部分充分</x:v>
      </x:c>
      <x:c r="AB27" s="64" t="str">
        <x:v>待判断</x:v>
      </x:c>
      <x:c r="AC27" s="64" t="str">
        <x:v>部分核验</x:v>
      </x:c>
      <x:c r="AD27" s="64" t="str">
        <x:v>自动默认</x:v>
      </x:c>
      <x:c r="AE27" s="64" t="str">
        <x:v>候选池</x:v>
      </x:c>
      <x:c r="AF27" s="64" t="str">
        <x:v>C_题目或材料问题</x:v>
      </x:c>
      <x:c r="AG27" s="64"/>
      <x:c r="AH27" s="64"/>
      <x:c r="AI27" s="64"/>
      <x:c r="AJ27" s="64"/>
      <x:c r="AK27" s="64"/>
      <x:c r="AL27" s="64"/>
      <x:c r="AM27" s="64"/>
      <x:c r="AN27" s="48" t="str">
        <x:v>202</x:v>
      </x:c>
      <x:c r="AO27" s="48" t="str">
        <x:v>MAP_BLANK</x:v>
      </x:c>
      <x:c r="AP27" s="48" t="str">
        <x:v>人工判断为空：不得自动补填结论；人工判断为空；结构完整但原因需人工确认；存在报告证据，但尚未经人工逐项核验；已列依据来源，但未在本阶段逐条核验</x:v>
      </x:c>
      <x:c r="AQ27" s="64"/>
      <x:c r="AR27" s="48" t="str">
        <x:v>industry_classification</x:v>
      </x:c>
      <x:c r="AS27" s="48" t="str">
        <x:v>L3_analysis</x:v>
      </x:c>
      <x:c r="AT27" s="48" t="str">
        <x:v>multi_evidence_synthesis</x:v>
      </x:c>
      <x:c r="AU27" s="48" t="str">
        <x:v>evidence_integration</x:v>
      </x:c>
      <x:c r="AV27" s="48" t="str">
        <x:v>report_grounding；basis_grounding</x:v>
      </x:c>
      <x:c r="AW27" s="48" t="str">
        <x:v>high</x:v>
      </x:c>
      <x:c r="AX27" s="48" t="str">
        <x:v>high</x:v>
      </x:c>
      <x:c r="AY27" s="48" t="str">
        <x:v>cross_section</x:v>
      </x:c>
      <x:c r="AZ27" s="48" t="str">
        <x:v>True</x:v>
      </x:c>
      <x:c r="BA27" s="48"/>
      <x:c r="BB27" s="48" t="str">
        <x:v>auto_default</x:v>
      </x:c>
      <x:c r="BC27" s="48" t="str">
        <x:v>v1</x:v>
      </x:c>
      <x:c r="BD27" s="68"/>
    </x:row>
    <x:row r="28" ht="36" customHeight="1">
      <x:c r="A28" s="47" t="str">
        <x:v>2026-06-25</x:v>
      </x:c>
      <x:c r="B28" s="48" t="str">
        <x:v>PL041</x:v>
      </x:c>
      <x:c r="C28" s="48" t="str">
        <x:v>V01</x:v>
      </x:c>
      <x:c r="D28" s="48" t="str">
        <x:v>年11月15日建设项目环境影响报告书（表）受理公告（佛山市生态环境局顺德分局）_4.pdf</x:v>
      </x:c>
      <x:c r="E28" s="48" t="str">
        <x:v>佛山市创灏五金塑料有限公司年产塑料制品 1250 万件迁改扩建项目</x:v>
      </x:c>
      <x:c r="F28" s="48" t="str">
        <x:v>PL041_V01_Q01</x:v>
      </x:c>
      <x:c r="G28" s="48" t="str">
        <x:v>1. 塑胶行业样本筛选与国民经济行业分类</x:v>
      </x:c>
      <x:c r="H28" s="48" t="str">
        <x:v>请结合项目产品、原辅材料和生产工艺，判断该报告行业类别是否基本合理。</x:v>
      </x:c>
      <x:c r="I28" s="48" t="str">
        <x:v>国民经济行业类型判定结论：正确；具体分析：根据项目概况，本项目以PP、ABS、POM塑料粒及色母为主要原辅材料，经混料、上料、熔融注塑、间接冷却、定型和包装等工序，生产空调塑料配件和过滤网；不良品经破碎后回用于生产，模具维修属于辅助活动。经识别，本项目属于C2929塑料零件及其他塑料制品制造，与报告填报的C2929塑料零件及其他塑料制品制造一致，行业类别基本合理。</x:v>
      </x:c>
      <x:c r="J28" s="48" t="str">
        <x:v>德区勒流富安工业区 16-1 号之一（C） 地理坐标 厂区中心地理坐标：北纬 22.806947°，东经 113.194332° 国民经济 行业类别 C2929 塑料零件 及其他塑料制品 制造 二十六、橡胶和塑料制品业 29-53.塑料制 品业 292-其他（年用非溶剂型低 VOCs 含 量涂料 10 吨以下的除外） 建设项目 行业类别 ☑新建（迁建） 建设性质 ☑改建 √首次申报项目 ☑不予批准后再次申报项目 建设项目 申报情形 ☑扩建 □超五年重新审核项目 □技术改造 项目审批（核准/ 备案）部门（选填） 无 □重大变动重新报批项目 项目审批（核准/ 备案）文号（选填） 无 总投资（万元） 200 环保投资（万元） 10 环保投资占比（%） 5 施工工期 已建成厂房 用地（用海） 面积（m2） 5913 是否开工建设 √否 是： 专项评价设置情 况 无 规划情况 无 规划环境影响评</x:v>
      </x:c>
      <x:c r="K28" s="48" t="str">
        <x:v>《国民经济行业分类》(GB/T 4754—2017)；本任务C292筛选及C17/C18排除规则</x:v>
      </x:c>
      <x:c r="L28" s="48" t="str">
        <x:v>结合本项目行业代码、建设性质、工艺关键词及PDF证据生成，非脱离项目的通用题。</x:v>
      </x:c>
      <x:c r="M28" s="48" t="str">
        <x:v>可依据对应PDF原文、工程分析表格及所列法规标准逐项复核。</x:v>
      </x:c>
      <x:c r="N28" s="48" t="str">
        <x:v>True</x:v>
      </x:c>
      <x:c r="O28" s="48"/>
      <x:c r="P28" s="48"/>
      <x:c r="Q28" s="48"/>
      <x:c r="R28" s="48" t="str">
        <x:v>新增</x:v>
      </x:c>
      <x:c r="S28" s="48" t="str">
        <x:v>是</x:v>
      </x:c>
      <x:c r="T28" s="48" t="str">
        <x:v>自动生成；需人工复核项目参数、公式取值、标准适用范围及PDF文字提取完整性。</x:v>
      </x:c>
      <x:c r="U28" s="48" t="str">
        <x:v>seed_qa_塑胶行业筛选版_30个国民经济行业分类的人工标记</x:v>
      </x:c>
      <x:c r="V28" s="48" t="str">
        <x:v>国民经济行业分类</x:v>
      </x:c>
      <x:c r="W28" s="48"/>
      <x:c r="X28" s="48" t="str">
        <x:v>待判断</x:v>
      </x:c>
      <x:c r="Y28" s="64"/>
      <x:c r="Z28" s="64" t="str">
        <x:v>未复核</x:v>
      </x:c>
      <x:c r="AA28" s="64" t="str">
        <x:v>部分充分</x:v>
      </x:c>
      <x:c r="AB28" s="64" t="str">
        <x:v>待判断</x:v>
      </x:c>
      <x:c r="AC28" s="64" t="str">
        <x:v>部分核验</x:v>
      </x:c>
      <x:c r="AD28" s="64" t="str">
        <x:v>自动默认</x:v>
      </x:c>
      <x:c r="AE28" s="64" t="str">
        <x:v>候选池</x:v>
      </x:c>
      <x:c r="AF28" s="64" t="str">
        <x:v>C_题目或材料问题</x:v>
      </x:c>
      <x:c r="AG28" s="64"/>
      <x:c r="AH28" s="64"/>
      <x:c r="AI28" s="64"/>
      <x:c r="AJ28" s="64"/>
      <x:c r="AK28" s="64"/>
      <x:c r="AL28" s="64"/>
      <x:c r="AM28" s="64"/>
      <x:c r="AN28" s="48" t="str">
        <x:v>204</x:v>
      </x:c>
      <x:c r="AO28" s="48" t="str">
        <x:v>MAP_BLANK</x:v>
      </x:c>
      <x:c r="AP28" s="48" t="str">
        <x:v>人工判断为空：不得自动补填结论；人工判断为空；结构完整但原因需人工确认；存在报告证据，但尚未经人工逐项核验；已列依据来源，但未在本阶段逐条核验</x:v>
      </x:c>
      <x:c r="AQ28" s="64"/>
      <x:c r="AR28" s="48" t="str">
        <x:v>industry_classification</x:v>
      </x:c>
      <x:c r="AS28" s="48" t="str">
        <x:v>L3_analysis</x:v>
      </x:c>
      <x:c r="AT28" s="48" t="str">
        <x:v>multi_evidence_synthesis</x:v>
      </x:c>
      <x:c r="AU28" s="48" t="str">
        <x:v>evidence_integration</x:v>
      </x:c>
      <x:c r="AV28" s="48" t="str">
        <x:v>report_grounding；basis_grounding</x:v>
      </x:c>
      <x:c r="AW28" s="48" t="str">
        <x:v>high</x:v>
      </x:c>
      <x:c r="AX28" s="48" t="str">
        <x:v>high</x:v>
      </x:c>
      <x:c r="AY28" s="48" t="str">
        <x:v>cross_section</x:v>
      </x:c>
      <x:c r="AZ28" s="48" t="str">
        <x:v>True</x:v>
      </x:c>
      <x:c r="BA28" s="48"/>
      <x:c r="BB28" s="48" t="str">
        <x:v>auto_default</x:v>
      </x:c>
      <x:c r="BC28" s="48" t="str">
        <x:v>v1</x:v>
      </x:c>
      <x:c r="BD28" s="68"/>
    </x:row>
    <x:row r="29" ht="36" customHeight="1">
      <x:c r="A29" s="47" t="str">
        <x:v>2026-06-25</x:v>
      </x:c>
      <x:c r="B29" s="48" t="str">
        <x:v>PL042</x:v>
      </x:c>
      <x:c r="C29" s="48" t="str">
        <x:v>V01</x:v>
      </x:c>
      <x:c r="D29" s="48" t="str">
        <x:v>年11月19日建设项目环境影响报告书（表）受理公告（佛山市生态环境局顺德分局）_1.pdf</x:v>
      </x:c>
      <x:c r="E29" s="48" t="str">
        <x:v>佛山市顺德区夏瑞塑胶有限公司迁扩建项目</x:v>
      </x:c>
      <x:c r="F29" s="48" t="str">
        <x:v>PL042_V01_Q01</x:v>
      </x:c>
      <x:c r="G29" s="48" t="str">
        <x:v>1. 塑胶行业样本筛选与国民经济行业分类</x:v>
      </x:c>
      <x:c r="H29" s="48" t="str">
        <x:v>请结合项目产品、原辅材料和生产工艺，判断该报告行业类别是否基本合理。</x:v>
      </x:c>
      <x:c r="I29" s="48" t="str">
        <x:v>国民经济行业类型判定结论：正确；具体分析：根据项目概况，本项目以PP塑料粒和色母为主要原辅材料，经混料、熔融注塑、冷却、检验等工序，生产电水壶手柄、底座等电水壶塑料配件；不合格品和边角料经破碎后回用于生产。经识别，本项目属于C2929塑料零件及其他塑料制品制造，与报告填报的C2929塑料零件及其他塑料制品制造一致，行业类别基本合理。</x:v>
      </x:c>
      <x:c r="J29" s="48" t="str">
        <x:v>一、建设项目基本情况 建设项目名 称 佛山市顺德区晨瑞塑胶有限公司迁扩建项目 项目代码 无 建设单位联 系人 建设地点 地理坐标 国民经济 行业类别 建设性质 阳杰 联系方式 广东省佛山市顺德区勒流街道大晚社区沿江南路 36 号 3A 号楼第 2 层 202 单元之一 东经：113 度 8 分 38.561 秒，北纬： 22 度 51 分 05.191 秒 二十六、橡胶和塑料制品业 C2929 塑料零件及其 29-53 塑料制品业 292-其他（年 建设项目 他塑料制品制造 行业类别 用非溶剂型低 VOCs 含量涂料 10 吨以下的除外） 新建（迁建） 首次申报项目 改建 不予批准后再次申报项目 建设项目 扩建 超五年重新审核项目 申报情形 技术改造 重大变动重新报批项目 项目审批（核 无 准/备案）部 门（选填） 总投资（万 200 元） 环保投资占 10 比（%） 是否</x:v>
      </x:c>
      <x:c r="K29" s="48" t="str">
        <x:v>《国民经济行业分类》(GB/T 4754—2017)；本任务C292筛选及C17/C18排除规则</x:v>
      </x:c>
      <x:c r="L29" s="48" t="str">
        <x:v>结合本项目行业代码、建设性质、工艺关键词及PDF证据生成，非脱离项目的通用题。</x:v>
      </x:c>
      <x:c r="M29" s="48" t="str">
        <x:v>可依据对应PDF原文、工程分析表格及所列法规标准逐项复核。</x:v>
      </x:c>
      <x:c r="N29" s="48" t="str">
        <x:v>True</x:v>
      </x:c>
      <x:c r="O29" s="48"/>
      <x:c r="P29" s="48"/>
      <x:c r="Q29" s="48"/>
      <x:c r="R29" s="48" t="str">
        <x:v>新增</x:v>
      </x:c>
      <x:c r="S29" s="48" t="str">
        <x:v>是</x:v>
      </x:c>
      <x:c r="T29" s="48" t="str">
        <x:v>自动生成；需人工复核项目参数、公式取值、标准适用范围及PDF文字提取完整性。</x:v>
      </x:c>
      <x:c r="U29" s="48" t="str">
        <x:v>seed_qa_塑胶行业筛选版_30个国民经济行业分类的人工标记</x:v>
      </x:c>
      <x:c r="V29" s="48" t="str">
        <x:v>国民经济行业分类</x:v>
      </x:c>
      <x:c r="W29" s="48"/>
      <x:c r="X29" s="48" t="str">
        <x:v>待判断</x:v>
      </x:c>
      <x:c r="Y29" s="64"/>
      <x:c r="Z29" s="64" t="str">
        <x:v>未复核</x:v>
      </x:c>
      <x:c r="AA29" s="64" t="str">
        <x:v>部分充分</x:v>
      </x:c>
      <x:c r="AB29" s="64" t="str">
        <x:v>待判断</x:v>
      </x:c>
      <x:c r="AC29" s="64" t="str">
        <x:v>部分核验</x:v>
      </x:c>
      <x:c r="AD29" s="64" t="str">
        <x:v>自动默认</x:v>
      </x:c>
      <x:c r="AE29" s="64" t="str">
        <x:v>候选池</x:v>
      </x:c>
      <x:c r="AF29" s="64" t="str">
        <x:v>C_题目或材料问题</x:v>
      </x:c>
      <x:c r="AG29" s="64"/>
      <x:c r="AH29" s="64"/>
      <x:c r="AI29" s="64"/>
      <x:c r="AJ29" s="64"/>
      <x:c r="AK29" s="64"/>
      <x:c r="AL29" s="64"/>
      <x:c r="AM29" s="64"/>
      <x:c r="AN29" s="48" t="str">
        <x:v>206</x:v>
      </x:c>
      <x:c r="AO29" s="48" t="str">
        <x:v>MAP_BLANK</x:v>
      </x:c>
      <x:c r="AP29" s="48" t="str">
        <x:v>人工判断为空：不得自动补填结论；人工判断为空；结构完整但原因需人工确认；存在报告证据，但尚未经人工逐项核验；已列依据来源，但未在本阶段逐条核验</x:v>
      </x:c>
      <x:c r="AQ29" s="64"/>
      <x:c r="AR29" s="48" t="str">
        <x:v>industry_classification</x:v>
      </x:c>
      <x:c r="AS29" s="48" t="str">
        <x:v>L3_analysis</x:v>
      </x:c>
      <x:c r="AT29" s="48" t="str">
        <x:v>multi_evidence_synthesis</x:v>
      </x:c>
      <x:c r="AU29" s="48" t="str">
        <x:v>evidence_integration</x:v>
      </x:c>
      <x:c r="AV29" s="48" t="str">
        <x:v>report_grounding；basis_grounding</x:v>
      </x:c>
      <x:c r="AW29" s="48" t="str">
        <x:v>high</x:v>
      </x:c>
      <x:c r="AX29" s="48" t="str">
        <x:v>high</x:v>
      </x:c>
      <x:c r="AY29" s="48" t="str">
        <x:v>cross_section</x:v>
      </x:c>
      <x:c r="AZ29" s="48" t="str">
        <x:v>True</x:v>
      </x:c>
      <x:c r="BA29" s="48"/>
      <x:c r="BB29" s="48" t="str">
        <x:v>auto_default</x:v>
      </x:c>
      <x:c r="BC29" s="48" t="str">
        <x:v>v1</x:v>
      </x:c>
      <x:c r="BD29" s="68"/>
    </x:row>
    <x:row r="30" ht="36" customHeight="1">
      <x:c r="A30" s="47" t="str">
        <x:v>2026-06-25</x:v>
      </x:c>
      <x:c r="B30" s="48" t="str">
        <x:v>PL043</x:v>
      </x:c>
      <x:c r="C30" s="48" t="str">
        <x:v>V01</x:v>
      </x:c>
      <x:c r="D30" s="48" t="str">
        <x:v>年11月21日建设项目环境影响报告受理公告（大良）.pdf</x:v>
      </x:c>
      <x:c r="E30" s="48" t="str">
        <x:v>佛山市益旭电器有限公司新建项目</x:v>
      </x:c>
      <x:c r="F30" s="48" t="str">
        <x:v>PL043_V01_Q01</x:v>
      </x:c>
      <x:c r="G30" s="48" t="str">
        <x:v>1. 塑胶行业样本筛选与国民经济行业分类</x:v>
      </x:c>
      <x:c r="H30" s="48" t="str">
        <x:v>请结合项目产品、原辅材料和生产工艺，判断该报告行业类别是否基本合理。</x:v>
      </x:c>
      <x:c r="I30" s="48" t="str">
        <x:v>国民经济行业类型判定结论：正确；具体分析：根据项目概况，本项目以PA、PC、PP、ABS塑料粒及色母为主要原辅材料，经投料、密闭混料、热熔、注塑成型、检验和打包等工序，生产空气炸锅塑料配件和冰沙机塑料配件；次品经破碎后回用于生产，模具维修属于辅助活动。经识别，本项目属于C2929塑料零件及其他塑料制品制造，与报告填报的C2929塑料零件及其他塑料制品制造一致，行业类别基本合理。</x:v>
      </x:c>
      <x:c r="J30" s="48" t="str">
        <x:v>号 1 栋 4 层之一 地理坐标 东经： 113 度 21 分 52.945 秒，北纬： 22 度 49 分 25.038 秒 国民经济 行业类别 C2929 塑料零件及其他塑料 制品制造 建设项目 行业类别 建设性质 ☑新建（迁建） □改建 □扩建 □技术改造 建设项目 申报情形 二十六、橡胶和塑料制品 业 29-53 塑料制品业 292其他（年用非溶剂型低 VOCs 含量涂料 10 吨以下 的除外） 首次申报项目 □不予批准后再次申报项 目 □超五年重新审核项目 □重大变动重新报批项目 项目审批（核准/ 备案）部门（选 填） 无 项目审批（核准/ 备案）文号（选填） 无 总投资（万元） *** 环保投资（万元） *** 环保投资占比 （%） 4 施工工期 2 个月 用地面积（m2） 1280 是否开工建设 否 是： 专项评价设置 情况 无 规划名称：《佛山市顺德区SD-A-05</x:v>
      </x:c>
      <x:c r="K30" s="48" t="str">
        <x:v>《国民经济行业分类》(GB/T 4754—2017)；本任务C292筛选及C17/C18排除规则</x:v>
      </x:c>
      <x:c r="L30" s="48" t="str">
        <x:v>结合本项目行业代码、建设性质、工艺关键词及PDF证据生成，非脱离项目的通用题。</x:v>
      </x:c>
      <x:c r="M30" s="48" t="str">
        <x:v>可依据对应PDF原文、工程分析表格及所列法规标准逐项复核。</x:v>
      </x:c>
      <x:c r="N30" s="48" t="str">
        <x:v>True</x:v>
      </x:c>
      <x:c r="O30" s="48"/>
      <x:c r="P30" s="48"/>
      <x:c r="Q30" s="48"/>
      <x:c r="R30" s="48" t="str">
        <x:v>新增</x:v>
      </x:c>
      <x:c r="S30" s="48" t="str">
        <x:v>是</x:v>
      </x:c>
      <x:c r="T30" s="48" t="str">
        <x:v>自动生成；需人工复核项目参数、公式取值、标准适用范围及PDF文字提取完整性。</x:v>
      </x:c>
      <x:c r="U30" s="48" t="str">
        <x:v>seed_qa_塑胶行业筛选版_30个国民经济行业分类的人工标记</x:v>
      </x:c>
      <x:c r="V30" s="48" t="str">
        <x:v>国民经济行业分类</x:v>
      </x:c>
      <x:c r="W30" s="48"/>
      <x:c r="X30" s="48" t="str">
        <x:v>待判断</x:v>
      </x:c>
      <x:c r="Y30" s="64"/>
      <x:c r="Z30" s="64" t="str">
        <x:v>未复核</x:v>
      </x:c>
      <x:c r="AA30" s="64" t="str">
        <x:v>部分充分</x:v>
      </x:c>
      <x:c r="AB30" s="64" t="str">
        <x:v>待判断</x:v>
      </x:c>
      <x:c r="AC30" s="64" t="str">
        <x:v>部分核验</x:v>
      </x:c>
      <x:c r="AD30" s="64" t="str">
        <x:v>自动默认</x:v>
      </x:c>
      <x:c r="AE30" s="64" t="str">
        <x:v>候选池</x:v>
      </x:c>
      <x:c r="AF30" s="64" t="str">
        <x:v>C_题目或材料问题</x:v>
      </x:c>
      <x:c r="AG30" s="64"/>
      <x:c r="AH30" s="64"/>
      <x:c r="AI30" s="64"/>
      <x:c r="AJ30" s="64"/>
      <x:c r="AK30" s="64"/>
      <x:c r="AL30" s="64"/>
      <x:c r="AM30" s="64"/>
      <x:c r="AN30" s="48" t="str">
        <x:v>208</x:v>
      </x:c>
      <x:c r="AO30" s="48" t="str">
        <x:v>MAP_BLANK</x:v>
      </x:c>
      <x:c r="AP30" s="48" t="str">
        <x:v>人工判断为空：不得自动补填结论；人工判断为空；结构完整但原因需人工确认；存在报告证据，但尚未经人工逐项核验；已列依据来源，但未在本阶段逐条核验</x:v>
      </x:c>
      <x:c r="AQ30" s="64"/>
      <x:c r="AR30" s="48" t="str">
        <x:v>industry_classification</x:v>
      </x:c>
      <x:c r="AS30" s="48" t="str">
        <x:v>L3_analysis</x:v>
      </x:c>
      <x:c r="AT30" s="48" t="str">
        <x:v>multi_evidence_synthesis</x:v>
      </x:c>
      <x:c r="AU30" s="48" t="str">
        <x:v>evidence_integration</x:v>
      </x:c>
      <x:c r="AV30" s="48" t="str">
        <x:v>report_grounding；basis_grounding</x:v>
      </x:c>
      <x:c r="AW30" s="48" t="str">
        <x:v>high</x:v>
      </x:c>
      <x:c r="AX30" s="48" t="str">
        <x:v>high</x:v>
      </x:c>
      <x:c r="AY30" s="48" t="str">
        <x:v>cross_section</x:v>
      </x:c>
      <x:c r="AZ30" s="48" t="str">
        <x:v>True</x:v>
      </x:c>
      <x:c r="BA30" s="48"/>
      <x:c r="BB30" s="48" t="str">
        <x:v>auto_default</x:v>
      </x:c>
      <x:c r="BC30" s="48" t="str">
        <x:v>v1</x:v>
      </x:c>
      <x:c r="BD30" s="68"/>
    </x:row>
    <x:row r="31" ht="36" customHeight="1">
      <x:c r="A31" s="50" t="str">
        <x:v>2026-06-25</x:v>
      </x:c>
      <x:c r="B31" s="51" t="str">
        <x:v>PL044</x:v>
      </x:c>
      <x:c r="C31" s="51" t="str">
        <x:v>V01</x:v>
      </x:c>
      <x:c r="D31" s="51" t="str">
        <x:v>年11月29日建设项目环境影响报告书（表）受理公告（佛山市生态环境局顺德分局）_2.pdf</x:v>
      </x:c>
      <x:c r="E31" s="51" t="str">
        <x:v>佛山市昇汇包装材料有限公司新建项目</x:v>
      </x:c>
      <x:c r="F31" s="51" t="str">
        <x:v>PL044_V01_Q01</x:v>
      </x:c>
      <x:c r="G31" s="51" t="str">
        <x:v>1. 塑胶行业样本筛选与国民经济行业分类</x:v>
      </x:c>
      <x:c r="H31" s="51" t="str">
        <x:v>请结合项目产品、原辅材料和生产工艺，判断该报告行业类别是否基本合理。</x:v>
      </x:c>
      <x:c r="I31" s="51" t="str">
        <x:v>国民经济行业类型判定结论：正确；具体分析：根据项目概况，本项目以PVC、PET、PS、PP塑料片材为主要原辅材料，经加热吸塑成型、冷却、分切、冲切、折边、检验和包装等工序，生产PVC、PET、PS、PP吸塑包装品；模具手板制作及委外模具石膏填充仅服务于本项目吸塑生产，属于辅助活动。经识别，本项目属于C2926塑料包装箱及容器制造，与报告填报的C2926塑料包装箱及容器制造一致，行业类别基本合理。</x:v>
      </x:c>
      <x:c r="J31" s="51" t="str">
        <x:v>10 栋 501 单元之一 地理坐标 （东经 113 度 10 分 2.352 秒，北纬 22 度 51 分 3.816 秒） 国民经济 行业类别 C2926 塑料包装箱及容 器制造 建设性质 ☑新建（迁建） □改建 □扩建 □技术改造 建设项目 行业类别 二十六、橡胶和塑料制品 业 29-53、塑料制品业 292其他（年用非溶剂型低 VOCs 含量涂料 10 吨以下 的除外） 建设项目 申报情形 ☑首次申报项目 □不予批准后再次申报项目 □超五年重新审核项目 □重大变动重新报批项目 项目审批（核准/ 备案）部门（选填） 无 项目审批（核准/ 备案）文号（选填） 无 总投资（万元） 100 环保投资（万元） 10 环保投资占比（%） 10 施工工期 1 个月 用地（用海） 面积（m2） 1165 是否开工建设 ☑否 □是： 专项评价设置 情况 无 规划情况 无 规划环境影响 评价情况 无</x:v>
      </x:c>
      <x:c r="K31" s="51" t="str">
        <x:v>《国民经济行业分类》(GB/T 4754—2017)；本任务C292筛选及C17/C18排除规则</x:v>
      </x:c>
      <x:c r="L31" s="51" t="str">
        <x:v>结合本项目行业代码、建设性质、工艺关键词及PDF证据生成，非脱离项目的通用题。</x:v>
      </x:c>
      <x:c r="M31" s="51" t="str">
        <x:v>可依据对应PDF原文、工程分析表格及所列法规标准逐项复核。</x:v>
      </x:c>
      <x:c r="N31" s="51" t="str">
        <x:v>True</x:v>
      </x:c>
      <x:c r="O31" s="51"/>
      <x:c r="P31" s="51"/>
      <x:c r="Q31" s="51"/>
      <x:c r="R31" s="51" t="str">
        <x:v>新增</x:v>
      </x:c>
      <x:c r="S31" s="51" t="str">
        <x:v>是</x:v>
      </x:c>
      <x:c r="T31" s="51" t="str">
        <x:v>自动生成；需人工复核项目参数、公式取值、标准适用范围及PDF文字提取完整性。</x:v>
      </x:c>
      <x:c r="U31" s="51" t="str">
        <x:v>seed_qa_塑胶行业筛选版_30个国民经济行业分类的人工标记</x:v>
      </x:c>
      <x:c r="V31" s="51" t="str">
        <x:v>国民经济行业分类</x:v>
      </x:c>
      <x:c r="W31" s="51"/>
      <x:c r="X31" s="51" t="str">
        <x:v>待判断</x:v>
      </x:c>
      <x:c r="Y31" s="65"/>
      <x:c r="Z31" s="65" t="str">
        <x:v>未复核</x:v>
      </x:c>
      <x:c r="AA31" s="65" t="str">
        <x:v>部分充分</x:v>
      </x:c>
      <x:c r="AB31" s="65" t="str">
        <x:v>待判断</x:v>
      </x:c>
      <x:c r="AC31" s="65" t="str">
        <x:v>部分核验</x:v>
      </x:c>
      <x:c r="AD31" s="65" t="str">
        <x:v>自动默认</x:v>
      </x:c>
      <x:c r="AE31" s="65" t="str">
        <x:v>候选池</x:v>
      </x:c>
      <x:c r="AF31" s="65" t="str">
        <x:v>C_题目或材料问题</x:v>
      </x:c>
      <x:c r="AG31" s="65"/>
      <x:c r="AH31" s="65"/>
      <x:c r="AI31" s="65"/>
      <x:c r="AJ31" s="65"/>
      <x:c r="AK31" s="65"/>
      <x:c r="AL31" s="65"/>
      <x:c r="AM31" s="65"/>
      <x:c r="AN31" s="51" t="str">
        <x:v>210</x:v>
      </x:c>
      <x:c r="AO31" s="51" t="str">
        <x:v>MAP_BLANK</x:v>
      </x:c>
      <x:c r="AP31" s="51" t="str">
        <x:v>人工判断为空：不得自动补填结论；人工判断为空；结构完整但原因需人工确认；存在报告证据，但尚未经人工逐项核验；已列依据来源，但未在本阶段逐条核验</x:v>
      </x:c>
      <x:c r="AQ31" s="65"/>
      <x:c r="AR31" s="51" t="str">
        <x:v>industry_classification</x:v>
      </x:c>
      <x:c r="AS31" s="51" t="str">
        <x:v>L3_analysis</x:v>
      </x:c>
      <x:c r="AT31" s="51" t="str">
        <x:v>multi_evidence_synthesis</x:v>
      </x:c>
      <x:c r="AU31" s="51" t="str">
        <x:v>evidence_integration</x:v>
      </x:c>
      <x:c r="AV31" s="51" t="str">
        <x:v>report_grounding；basis_grounding</x:v>
      </x:c>
      <x:c r="AW31" s="51" t="str">
        <x:v>high</x:v>
      </x:c>
      <x:c r="AX31" s="51" t="str">
        <x:v>high</x:v>
      </x:c>
      <x:c r="AY31" s="51" t="str">
        <x:v>cross_section</x:v>
      </x:c>
      <x:c r="AZ31" s="51" t="str">
        <x:v>True</x:v>
      </x:c>
      <x:c r="BA31" s="51"/>
      <x:c r="BB31" s="51" t="str">
        <x:v>auto_default</x:v>
      </x:c>
      <x:c r="BC31" s="51" t="str">
        <x:v>v1</x:v>
      </x:c>
      <x:c r="BD31" s="69"/>
    </x:row>
  </x:sheetData>
  <x:conditionalFormatting sqref="AP2:AP31">
    <x:cfRule type="expression" dxfId="12" priority="1">
      <x:formula>LEN(AP2)&gt;0</x:formula>
    </x:cfRule>
  </x:conditionalFormatting>
  <x:conditionalFormatting sqref="AA2:AA31">
    <x:cfRule type="cellIs" dxfId="13" priority="2" operator="equal">
      <x:formula>"不足"</x:formula>
    </x:cfRule>
  </x:conditionalFormatting>
  <x:conditionalFormatting sqref="Z2:Z31">
    <x:cfRule type="cellIs" dxfId="14" priority="3" operator="equal">
      <x:formula>"已冻结"</x:formula>
    </x:cfRule>
  </x:conditionalFormatting>
  <x:dataValidations count="8">
    <x:dataValidation type="list" sqref="Y2:Y31">
      <x:formula1>"无误,存在错误,存在缺漏,证据不足,需人工复核,待判断"</x:formula1>
    </x:dataValidation>
    <x:dataValidation type="list" sqref="Z2:Z31">
      <x:formula1>"未复核,一审完成,二审完成,已裁决,已冻结,排除"</x:formula1>
    </x:dataValidation>
    <x:dataValidation type="list" sqref="AA2:AA31">
      <x:formula1>"充分,部分充分,不足,原始材料缺失,待判断"</x:formula1>
    </x:dataValidation>
    <x:dataValidation type="list" sqref="AB2:AB31">
      <x:formula1>"有效,表述歧义,字段错位,题答不匹配,重复,原始材料缺失,排除,待判断"</x:formula1>
    </x:dataValidation>
    <x:dataValidation type="list" sqref="AC2:AC31">
      <x:formula1>"已核验,部分核验,未核验,不需要外部依据,待判断"</x:formula1>
    </x:dataValidation>
    <x:dataValidation type="list" sqref="AD2:AD31">
      <x:formula1>"自动默认,人工确认,人工覆盖"</x:formula1>
    </x:dataValidation>
    <x:dataValidation type="list" sqref="AE2:AE31">
      <x:formula1>"候选池,趋势实验候选,趋势实验冻结,正式实验候选,正式实验冻结,排除"</x:formula1>
    </x:dataValidation>
    <x:dataValidation type="list" sqref="AF2:AF31">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f388a9a43479441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ht="36" customHeight="1">
      <x:c r="A1" s="84" t="str">
        <x:v>date</x:v>
      </x:c>
      <x:c r="B1" s="85" t="str">
        <x:v>canonical_project_id</x:v>
      </x:c>
      <x:c r="C1" s="85" t="str">
        <x:v>version_round</x:v>
      </x:c>
      <x:c r="D1" s="85" t="str">
        <x:v>report_name</x:v>
      </x:c>
      <x:c r="E1" s="85" t="str">
        <x:v>project_name</x:v>
      </x:c>
      <x:c r="F1" s="85" t="str">
        <x:v>question_id</x:v>
      </x:c>
      <x:c r="G1" s="85" t="str">
        <x:v>audit_module</x:v>
      </x:c>
      <x:c r="H1" s="85" t="str">
        <x:v>question</x:v>
      </x:c>
      <x:c r="I1" s="85" t="str">
        <x:v>answer</x:v>
      </x:c>
      <x:c r="J1" s="85" t="str">
        <x:v>evidence</x:v>
      </x:c>
      <x:c r="K1" s="85" t="str">
        <x:v>source_basis</x:v>
      </x:c>
      <x:c r="L1" s="85" t="str">
        <x:v>scarcity_check</x:v>
      </x:c>
      <x:c r="M1" s="85" t="str">
        <x:v>verifiability_check</x:v>
      </x:c>
      <x:c r="N1" s="85" t="str">
        <x:v>manual_check</x:v>
      </x:c>
      <x:c r="O1" s="85" t="str">
        <x:v>人工判断</x:v>
      </x:c>
      <x:c r="P1" s="85" t="str">
        <x:v>人工备注</x:v>
      </x:c>
      <x:c r="Q1" s="85" t="str">
        <x:v>润色后答案</x:v>
      </x:c>
      <x:c r="R1" s="85" t="str">
        <x:v>修改类型</x:v>
      </x:c>
      <x:c r="S1" s="85" t="str">
        <x:v>是否需要人工复核</x:v>
      </x:c>
      <x:c r="T1" s="85" t="str">
        <x:v>AI标注备注</x:v>
      </x:c>
      <x:c r="U1" s="85" t="str">
        <x:v>来源文件</x:v>
      </x:c>
      <x:c r="V1" s="85" t="str">
        <x:v>审核类别</x:v>
      </x:c>
      <x:c r="W1" s="86" t="str">
        <x:v>raw_manual_judgement</x:v>
      </x:c>
      <x:c r="X1" s="86" t="str">
        <x:v>normalized_judgement_candidate</x:v>
      </x:c>
      <x:c r="Y1" s="94" t="str">
        <x:v>normalized_judgement_final</x:v>
      </x:c>
      <x:c r="Z1" s="94" t="str">
        <x:v>gold_review_status</x:v>
      </x:c>
      <x:c r="AA1" s="94" t="str">
        <x:v>evidence_sufficiency</x:v>
      </x:c>
      <x:c r="AB1" s="94" t="str">
        <x:v>item_quality_status</x:v>
      </x:c>
      <x:c r="AC1" s="94" t="str">
        <x:v>basis_verification_status</x:v>
      </x:c>
      <x:c r="AD1" s="94" t="str">
        <x:v>taxonomy_review_status</x:v>
      </x:c>
      <x:c r="AE1" s="94" t="str">
        <x:v>experiment_inclusion</x:v>
      </x:c>
      <x:c r="AF1" s="94" t="str">
        <x:v>review_queue_type</x:v>
      </x:c>
      <x:c r="AG1" s="94" t="str">
        <x:v>reviewer_1</x:v>
      </x:c>
      <x:c r="AH1" s="94" t="str">
        <x:v>reviewer_1_date</x:v>
      </x:c>
      <x:c r="AI1" s="94" t="str">
        <x:v>reviewer_2</x:v>
      </x:c>
      <x:c r="AJ1" s="94" t="str">
        <x:v>reviewer_2_date</x:v>
      </x:c>
      <x:c r="AK1" s="94" t="str">
        <x:v>adjudicator</x:v>
      </x:c>
      <x:c r="AL1" s="94" t="str">
        <x:v>adjudication_note</x:v>
      </x:c>
      <x:c r="AM1" s="94" t="str">
        <x:v>gold_version</x:v>
      </x:c>
      <x:c r="AN1" s="86" t="str">
        <x:v>source_row_number</x:v>
      </x:c>
      <x:c r="AO1" s="86" t="str">
        <x:v>auto_mapping_rule</x:v>
      </x:c>
      <x:c r="AP1" s="86" t="str">
        <x:v>auto_flag_reason</x:v>
      </x:c>
      <x:c r="AQ1" s="94" t="str">
        <x:v>human_review_note</x:v>
      </x:c>
      <x:c r="AR1" s="87" t="str">
        <x:v>audit_domain</x:v>
      </x:c>
      <x:c r="AS1" s="87" t="str">
        <x:v>cognitive_level</x:v>
      </x:c>
      <x:c r="AT1" s="87" t="str">
        <x:v>reasoning_type</x:v>
      </x:c>
      <x:c r="AU1" s="87" t="str">
        <x:v>primary_functional_capability</x:v>
      </x:c>
      <x:c r="AV1" s="87" t="str">
        <x:v>secondary_capabilities</x:v>
      </x:c>
      <x:c r="AW1" s="87" t="str">
        <x:v>knowledge_dependency</x:v>
      </x:c>
      <x:c r="AX1" s="87" t="str">
        <x:v>workflow_dependency</x:v>
      </x:c>
      <x:c r="AY1" s="87" t="str">
        <x:v>evidence_span</x:v>
      </x:c>
      <x:c r="AZ1" s="87" t="str">
        <x:v>template_default_used</x:v>
      </x:c>
      <x:c r="BA1" s="87" t="str">
        <x:v>taxonomy_source_override_reason</x:v>
      </x:c>
      <x:c r="BB1" s="87" t="str">
        <x:v>classification_status</x:v>
      </x:c>
      <x:c r="BC1" s="87" t="str">
        <x:v>taxonomy_version</x:v>
      </x:c>
      <x:c r="BD1" s="98" t="str">
        <x:v>taxonomy_override_reason</x:v>
      </x:c>
    </x:row>
    <x:row r="2" ht="36" customHeight="1">
      <x:c r="A2" s="40"/>
      <x:c r="B2" s="40"/>
      <x:c r="C2" s="40"/>
      <x:c r="D2" s="40"/>
      <x:c r="E2" s="40"/>
      <x:c r="F2" s="40"/>
      <x:c r="G2" s="40"/>
      <x:c r="H2" s="40"/>
      <x:c r="I2" s="40"/>
      <x:c r="J2" s="40"/>
      <x:c r="K2" s="40"/>
      <x:c r="L2" s="40"/>
      <x:c r="M2" s="40"/>
      <x:c r="N2" s="40"/>
      <x:c r="O2" s="40"/>
      <x:c r="P2" s="40"/>
      <x:c r="Q2" s="40"/>
      <x:c r="R2" s="40"/>
      <x:c r="S2" s="40"/>
      <x:c r="T2" s="40"/>
      <x:c r="U2" s="40"/>
      <x:c r="V2" s="40"/>
      <x:c r="W2" s="40"/>
      <x:c r="X2" s="40"/>
      <x:c r="Y2" s="95"/>
      <x:c r="Z2" s="95"/>
      <x:c r="AA2" s="95"/>
      <x:c r="AB2" s="95"/>
      <x:c r="AC2" s="95"/>
      <x:c r="AD2" s="95"/>
      <x:c r="AE2" s="95"/>
      <x:c r="AF2" s="95"/>
      <x:c r="AG2" s="95"/>
      <x:c r="AH2" s="95"/>
      <x:c r="AI2" s="95"/>
      <x:c r="AJ2" s="95"/>
      <x:c r="AK2" s="95"/>
      <x:c r="AL2" s="95"/>
      <x:c r="AM2" s="95"/>
      <x:c r="AN2" s="40"/>
      <x:c r="AO2" s="40"/>
      <x:c r="AP2" s="40"/>
      <x:c r="AQ2" s="95"/>
      <x:c r="AR2" s="40"/>
      <x:c r="AS2" s="40"/>
      <x:c r="AT2" s="40"/>
      <x:c r="AU2" s="40"/>
      <x:c r="AV2" s="40"/>
      <x:c r="AW2" s="40"/>
      <x:c r="AX2" s="40"/>
      <x:c r="AY2" s="40"/>
      <x:c r="AZ2" s="40"/>
      <x:c r="BA2" s="40"/>
      <x:c r="BB2" s="40"/>
      <x:c r="BC2" s="40"/>
      <x:c r="BD2" s="95"/>
    </x:row>
  </x:sheetData>
  <x:pageMargins left="0.7" right="0.7" top="0.75" bottom="0.75" header="0.3" footer="0.3"/>
</x:worksheet>
</file>

<file path=xl/worksheets/sheet8.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2026-07-24</x:v>
      </x:c>
      <x:c r="B2" s="48" t="str">
        <x:v>PL003</x:v>
      </x:c>
      <x:c r="C2" s="48" t="str">
        <x:v>V01</x:v>
      </x:c>
      <x:c r="D2" s="48" t="str">
        <x:v>PL003_佛山市顺德区康明新材料厂新建项目</x:v>
      </x:c>
      <x:c r="E2" s="48" t="str">
        <x:v>佛山市顺德区康明新材料厂新建项目</x:v>
      </x:c>
      <x:c r="F2" s="48" t="str">
        <x:v>PL003_V01_Q03</x:v>
      </x:c>
      <x:c r="G2" s="48" t="str">
        <x:v>环评投资核算</x:v>
      </x:c>
      <x:c r="H2" s="48" t="str">
        <x:v>请根据报告中的总投资、环保投资和环保工程投资明细，判断环保投资核算是否前后一致、比例是否正确。</x:v>
      </x:c>
      <x:c r="I2" s="48" t="str">
        <x:v>环评投资核算判定结论：正确；具体分析：报告填报总投资为100万元、环保投资为15万元、环保投资占比为15%。按“环保投资÷总投资×100%”复算为15.00%，与报告填报值一致；表2-9 项目环保工程措施投资一览表中的分项投资合计为15万元，与环保投资一致。因此，环保投资金额、分项合计及占比前后一致，核算正确。</x:v>
      </x:c>
      <x:c r="J2" s="48" t="str">
        <x:v>一、建设项目基本情况；表2-9：总投资100万元、环保投资15万元、占比15%；分项合计15万元。来源：解析文本拼接_01_001-020(4).md</x:v>
      </x:c>
      <x:c r="K2" s="48" t="str">
        <x:v>报告原文-环保投资明细表</x:v>
      </x:c>
      <x:c r="L2" s="48" t="str">
        <x:v>2</x:v>
      </x:c>
      <x:c r="M2" s="48" t="str">
        <x:v>2</x:v>
      </x:c>
      <x:c r="N2" s="48" t="str">
        <x:v>False</x:v>
      </x:c>
      <x:c r="O2" s="48" t="str">
        <x:v>正确</x:v>
      </x:c>
      <x:c r="P2" s="48"/>
      <x:c r="Q2" s="48"/>
      <x:c r="R2" s="48"/>
      <x:c r="S2" s="48" t="str">
        <x:v>否</x:v>
      </x:c>
      <x:c r="T2" s="48"/>
      <x:c r="U2" s="48" t="str">
        <x:v>30个PL_环评投资核算QA</x:v>
      </x:c>
      <x:c r="V2" s="48" t="str">
        <x:v>环评投资概算</x:v>
      </x:c>
      <x:c r="W2" s="48" t="str">
        <x:v>正确</x:v>
      </x:c>
      <x:c r="X2" s="48" t="str">
        <x:v>无误</x:v>
      </x:c>
      <x:c r="Y2" s="64"/>
      <x:c r="Z2" s="64" t="str">
        <x:v>未复核</x:v>
      </x:c>
      <x:c r="AA2" s="64" t="str">
        <x:v>部分充分</x:v>
      </x:c>
      <x:c r="AB2" s="64" t="str">
        <x:v>有效</x:v>
      </x:c>
      <x:c r="AC2" s="64" t="str">
        <x:v>不需要外部依据</x:v>
      </x:c>
      <x:c r="AD2" s="64" t="str">
        <x:v>自动默认</x:v>
      </x:c>
      <x:c r="AE2" s="64" t="str">
        <x:v>趋势实验候选</x:v>
      </x:c>
      <x:c r="AF2" s="64" t="str">
        <x:v>待分流</x:v>
      </x:c>
      <x:c r="AG2" s="64"/>
      <x:c r="AH2" s="64"/>
      <x:c r="AI2" s="64"/>
      <x:c r="AJ2" s="64"/>
      <x:c r="AK2" s="64"/>
      <x:c r="AL2" s="64"/>
      <x:c r="AM2" s="64"/>
      <x:c r="AN2" s="48" t="str">
        <x:v>17</x:v>
      </x:c>
      <x:c r="AO2" s="48" t="str">
        <x:v>MAP_正确</x:v>
      </x:c>
      <x:c r="AP2" s="48" t="str">
        <x:v>存在报告证据，但尚未经人工逐项核验；投资复核主要依据报告内金额与算式</x:v>
      </x:c>
      <x:c r="AQ2" s="64"/>
      <x:c r="AR2" s="48" t="str">
        <x:v>environmental_investment</x:v>
      </x:c>
      <x:c r="AS2" s="48" t="str">
        <x:v>L2_application</x:v>
      </x:c>
      <x:c r="AT2" s="48" t="str">
        <x:v>quantitative_verification</x:v>
      </x:c>
      <x:c r="AU2" s="48" t="str">
        <x:v>numerical_accuracy</x:v>
      </x:c>
      <x:c r="AV2" s="48" t="str">
        <x:v>report_grounding；procedural_reasoning</x:v>
      </x:c>
      <x:c r="AW2" s="48" t="str">
        <x:v>low</x:v>
      </x:c>
      <x:c r="AX2" s="48" t="str">
        <x:v>medium</x:v>
      </x:c>
      <x:c r="AY2" s="48" t="str">
        <x:v>cross_section</x:v>
      </x:c>
      <x:c r="AZ2" s="48" t="str">
        <x:v>True</x:v>
      </x:c>
      <x:c r="BA2" s="48"/>
      <x:c r="BB2" s="48" t="str">
        <x:v>auto_default</x:v>
      </x:c>
      <x:c r="BC2" s="48" t="str">
        <x:v>v1</x:v>
      </x:c>
      <x:c r="BD2" s="68"/>
    </x:row>
    <x:row r="3" ht="36" customHeight="1">
      <x:c r="A3" s="47" t="str">
        <x:v>2026-07-24</x:v>
      </x:c>
      <x:c r="B3" s="48" t="str">
        <x:v>PL019</x:v>
      </x:c>
      <x:c r="C3" s="48" t="str">
        <x:v>V01</x:v>
      </x:c>
      <x:c r="D3" s="48" t="str">
        <x:v>PL019_佛山市智龙科技有限公司迁扩建项目</x:v>
      </x:c>
      <x:c r="E3" s="48" t="str">
        <x:v>佛山市智龙科技有限公司迁扩建项目</x:v>
      </x:c>
      <x:c r="F3" s="48" t="str">
        <x:v>PL019_V01_Q03</x:v>
      </x:c>
      <x:c r="G3" s="48" t="str">
        <x:v>环评投资核算</x:v>
      </x:c>
      <x:c r="H3" s="48" t="str">
        <x:v>请根据报告中的总投资、环保投资和环保工程投资明细，判断环保投资核算是否前后一致、比例是否正确。</x:v>
      </x:c>
      <x:c r="I3" s="48" t="str">
        <x:v>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x:v>
      </x:c>
      <x:c r="J3" s="48" t="str">
        <x:v>一、建设项目基本情况；表2.11：总投资100万元、环保投资12万元、占比12%；分项合计12万元。来源：解析文本拼接_01_001-020(4).md</x:v>
      </x:c>
      <x:c r="K3" s="48" t="str">
        <x:v>报告原文-环保投资明细表</x:v>
      </x:c>
      <x:c r="L3" s="48" t="str">
        <x:v>2</x:v>
      </x:c>
      <x:c r="M3" s="48" t="str">
        <x:v>2</x:v>
      </x:c>
      <x:c r="N3" s="48" t="str">
        <x:v>False</x:v>
      </x:c>
      <x:c r="O3" s="48" t="str">
        <x:v>正确</x:v>
      </x:c>
      <x:c r="P3" s="48"/>
      <x:c r="Q3" s="48"/>
      <x:c r="R3" s="48"/>
      <x:c r="S3" s="48" t="str">
        <x:v>否</x:v>
      </x:c>
      <x:c r="T3" s="48"/>
      <x:c r="U3" s="48" t="str">
        <x:v>30个PL_环评投资核算QA</x:v>
      </x:c>
      <x:c r="V3" s="48" t="str">
        <x:v>环评投资概算</x:v>
      </x:c>
      <x:c r="W3" s="48" t="str">
        <x:v>正确</x:v>
      </x:c>
      <x:c r="X3" s="48" t="str">
        <x:v>无误</x:v>
      </x:c>
      <x:c r="Y3" s="64"/>
      <x:c r="Z3" s="64" t="str">
        <x:v>未复核</x:v>
      </x:c>
      <x:c r="AA3" s="64" t="str">
        <x:v>部分充分</x:v>
      </x:c>
      <x:c r="AB3" s="64" t="str">
        <x:v>有效</x:v>
      </x:c>
      <x:c r="AC3" s="64" t="str">
        <x:v>不需要外部依据</x:v>
      </x:c>
      <x:c r="AD3" s="64" t="str">
        <x:v>自动默认</x:v>
      </x:c>
      <x:c r="AE3" s="64" t="str">
        <x:v>趋势实验候选</x:v>
      </x:c>
      <x:c r="AF3" s="64" t="str">
        <x:v>待分流</x:v>
      </x:c>
      <x:c r="AG3" s="64"/>
      <x:c r="AH3" s="64"/>
      <x:c r="AI3" s="64"/>
      <x:c r="AJ3" s="64"/>
      <x:c r="AK3" s="64"/>
      <x:c r="AL3" s="64"/>
      <x:c r="AM3" s="64"/>
      <x:c r="AN3" s="48" t="str">
        <x:v>93</x:v>
      </x:c>
      <x:c r="AO3" s="48" t="str">
        <x:v>MAP_正确</x:v>
      </x:c>
      <x:c r="AP3" s="48" t="str">
        <x:v>存在报告证据，但尚未经人工逐项核验；投资复核主要依据报告内金额与算式</x:v>
      </x:c>
      <x:c r="AQ3" s="64"/>
      <x:c r="AR3" s="48" t="str">
        <x:v>environmental_investment</x:v>
      </x:c>
      <x:c r="AS3" s="48" t="str">
        <x:v>L2_application</x:v>
      </x:c>
      <x:c r="AT3" s="48" t="str">
        <x:v>quantitative_verification</x:v>
      </x:c>
      <x:c r="AU3" s="48" t="str">
        <x:v>numerical_accuracy</x:v>
      </x:c>
      <x:c r="AV3" s="48" t="str">
        <x:v>report_grounding；procedural_reasoning</x:v>
      </x:c>
      <x:c r="AW3" s="48" t="str">
        <x:v>low</x:v>
      </x:c>
      <x:c r="AX3" s="48" t="str">
        <x:v>medium</x:v>
      </x:c>
      <x:c r="AY3" s="48" t="str">
        <x:v>cross_section</x:v>
      </x:c>
      <x:c r="AZ3" s="48" t="str">
        <x:v>True</x:v>
      </x:c>
      <x:c r="BA3" s="48"/>
      <x:c r="BB3" s="48" t="str">
        <x:v>auto_default</x:v>
      </x:c>
      <x:c r="BC3" s="48" t="str">
        <x:v>v1</x:v>
      </x:c>
      <x:c r="BD3" s="68"/>
    </x:row>
    <x:row r="4" ht="36" customHeight="1">
      <x:c r="A4" s="47" t="str">
        <x:v>2026-07-24</x:v>
      </x:c>
      <x:c r="B4" s="48" t="str">
        <x:v>PL021</x:v>
      </x:c>
      <x:c r="C4" s="48" t="str">
        <x:v>V01</x:v>
      </x:c>
      <x:c r="D4" s="48" t="str">
        <x:v>PL021_佛山市顺德区共诺电子元件厂搬迁项目</x:v>
      </x:c>
      <x:c r="E4" s="48" t="str">
        <x:v>佛山市顺德区共诺电子元件厂搬迁项目</x:v>
      </x:c>
      <x:c r="F4" s="48" t="str">
        <x:v>PL021_V01_Q03</x:v>
      </x:c>
      <x:c r="G4" s="48" t="str">
        <x:v>环评投资核算</x:v>
      </x:c>
      <x:c r="H4" s="48" t="str">
        <x:v>请根据报告中的总投资、环保投资和环保工程投资明细，判断环保投资核算是否前后一致、比例是否正确。</x:v>
      </x:c>
      <x:c r="I4" s="48" t="str">
        <x:v>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x:v>
      </x:c>
      <x:c r="J4" s="48" t="str">
        <x:v>一、建设项目基本情况；表4-24：总投资250万元、环保投资10万元、占比4%；分项合计10万元。来源：解析文本拼接_01_001-020(4).md</x:v>
      </x:c>
      <x:c r="K4" s="48" t="str">
        <x:v>报告原文-环保投资明细表</x:v>
      </x:c>
      <x:c r="L4" s="48" t="str">
        <x:v>2</x:v>
      </x:c>
      <x:c r="M4" s="48" t="str">
        <x:v>2</x:v>
      </x:c>
      <x:c r="N4" s="48" t="str">
        <x:v>False</x:v>
      </x:c>
      <x:c r="O4" s="48" t="str">
        <x:v>正确</x:v>
      </x:c>
      <x:c r="P4" s="48"/>
      <x:c r="Q4" s="48"/>
      <x:c r="R4" s="48"/>
      <x:c r="S4" s="48" t="str">
        <x:v>否</x:v>
      </x:c>
      <x:c r="T4" s="48"/>
      <x:c r="U4" s="48" t="str">
        <x:v>30个PL_环评投资核算QA</x:v>
      </x:c>
      <x:c r="V4" s="48" t="str">
        <x:v>环评投资概算</x:v>
      </x:c>
      <x:c r="W4" s="48" t="str">
        <x:v>正确</x:v>
      </x:c>
      <x:c r="X4" s="48" t="str">
        <x:v>无误</x:v>
      </x:c>
      <x:c r="Y4" s="64"/>
      <x:c r="Z4" s="64" t="str">
        <x:v>未复核</x:v>
      </x:c>
      <x:c r="AA4" s="64" t="str">
        <x:v>部分充分</x:v>
      </x:c>
      <x:c r="AB4" s="64" t="str">
        <x:v>有效</x:v>
      </x:c>
      <x:c r="AC4" s="64" t="str">
        <x:v>不需要外部依据</x:v>
      </x:c>
      <x:c r="AD4" s="64" t="str">
        <x:v>自动默认</x:v>
      </x:c>
      <x:c r="AE4" s="64" t="str">
        <x:v>趋势实验候选</x:v>
      </x:c>
      <x:c r="AF4" s="64" t="str">
        <x:v>待分流</x:v>
      </x:c>
      <x:c r="AG4" s="64"/>
      <x:c r="AH4" s="64"/>
      <x:c r="AI4" s="64"/>
      <x:c r="AJ4" s="64"/>
      <x:c r="AK4" s="64"/>
      <x:c r="AL4" s="64"/>
      <x:c r="AM4" s="64"/>
      <x:c r="AN4" s="48" t="str">
        <x:v>107</x:v>
      </x:c>
      <x:c r="AO4" s="48" t="str">
        <x:v>MAP_正确</x:v>
      </x:c>
      <x:c r="AP4" s="48" t="str">
        <x:v>存在报告证据，但尚未经人工逐项核验；投资复核主要依据报告内金额与算式</x:v>
      </x:c>
      <x:c r="AQ4" s="64"/>
      <x:c r="AR4" s="48" t="str">
        <x:v>environmental_investment</x:v>
      </x:c>
      <x:c r="AS4" s="48" t="str">
        <x:v>L2_application</x:v>
      </x:c>
      <x:c r="AT4" s="48" t="str">
        <x:v>quantitative_verification</x:v>
      </x:c>
      <x:c r="AU4" s="48" t="str">
        <x:v>numerical_accuracy</x:v>
      </x:c>
      <x:c r="AV4" s="48" t="str">
        <x:v>report_grounding；procedural_reasoning</x:v>
      </x:c>
      <x:c r="AW4" s="48" t="str">
        <x:v>low</x:v>
      </x:c>
      <x:c r="AX4" s="48" t="str">
        <x:v>medium</x:v>
      </x:c>
      <x:c r="AY4" s="48" t="str">
        <x:v>cross_section</x:v>
      </x:c>
      <x:c r="AZ4" s="48" t="str">
        <x:v>True</x:v>
      </x:c>
      <x:c r="BA4" s="48"/>
      <x:c r="BB4" s="48" t="str">
        <x:v>auto_default</x:v>
      </x:c>
      <x:c r="BC4" s="48" t="str">
        <x:v>v1</x:v>
      </x:c>
      <x:c r="BD4" s="68"/>
    </x:row>
    <x:row r="5" ht="36" customHeight="1">
      <x:c r="A5" s="47" t="str">
        <x:v>2026-07-24</x:v>
      </x:c>
      <x:c r="B5" s="48" t="str">
        <x:v>PL023</x:v>
      </x:c>
      <x:c r="C5" s="48" t="str">
        <x:v>V01</x:v>
      </x:c>
      <x:c r="D5" s="48" t="str">
        <x:v>PL023_佛山市通能达科技有限公司新建项目</x:v>
      </x:c>
      <x:c r="E5" s="48" t="str">
        <x:v>佛山市通能达科技有限公司新建项目</x:v>
      </x:c>
      <x:c r="F5" s="48" t="str">
        <x:v>PL023_V01_Q03</x:v>
      </x:c>
      <x:c r="G5" s="48" t="str">
        <x:v>环评投资核算</x:v>
      </x:c>
      <x:c r="H5" s="48" t="str">
        <x:v>请根据报告中的总投资、环保投资和环保工程投资明细，判断环保投资核算是否前后一致、比例是否正确。</x:v>
      </x:c>
      <x:c r="I5" s="48" t="str">
        <x:v>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x:v>
      </x:c>
      <x:c r="J5" s="48" t="str">
        <x:v>一、建设项目基本情况；表2-11：总投资300万元、环保投资25万元、占比8.33%；分项合计25万元。来源：解析文本拼接_02_021-040(3).md</x:v>
      </x:c>
      <x:c r="K5" s="48" t="str">
        <x:v>报告原文-环保投资明细表</x:v>
      </x:c>
      <x:c r="L5" s="48" t="str">
        <x:v>2</x:v>
      </x:c>
      <x:c r="M5" s="48" t="str">
        <x:v>2</x:v>
      </x:c>
      <x:c r="N5" s="48" t="str">
        <x:v>False</x:v>
      </x:c>
      <x:c r="O5" s="48" t="str">
        <x:v>正确</x:v>
      </x:c>
      <x:c r="P5" s="48"/>
      <x:c r="Q5" s="48"/>
      <x:c r="R5" s="48"/>
      <x:c r="S5" s="48" t="str">
        <x:v>否</x:v>
      </x:c>
      <x:c r="T5" s="48"/>
      <x:c r="U5" s="48" t="str">
        <x:v>30个PL_环评投资核算QA</x:v>
      </x:c>
      <x:c r="V5" s="48" t="str">
        <x:v>环评投资概算</x:v>
      </x:c>
      <x:c r="W5" s="48" t="str">
        <x:v>正确</x:v>
      </x:c>
      <x:c r="X5" s="48" t="str">
        <x:v>无误</x:v>
      </x:c>
      <x:c r="Y5" s="64"/>
      <x:c r="Z5" s="64" t="str">
        <x:v>未复核</x:v>
      </x:c>
      <x:c r="AA5" s="64" t="str">
        <x:v>部分充分</x:v>
      </x:c>
      <x:c r="AB5" s="64" t="str">
        <x:v>有效</x:v>
      </x:c>
      <x:c r="AC5" s="64" t="str">
        <x:v>不需要外部依据</x:v>
      </x:c>
      <x:c r="AD5" s="64" t="str">
        <x:v>自动默认</x:v>
      </x:c>
      <x:c r="AE5" s="64" t="str">
        <x:v>趋势实验候选</x:v>
      </x:c>
      <x:c r="AF5" s="64" t="str">
        <x:v>待分流</x:v>
      </x:c>
      <x:c r="AG5" s="64"/>
      <x:c r="AH5" s="64"/>
      <x:c r="AI5" s="64"/>
      <x:c r="AJ5" s="64"/>
      <x:c r="AK5" s="64"/>
      <x:c r="AL5" s="64"/>
      <x:c r="AM5" s="64"/>
      <x:c r="AN5" s="48" t="str">
        <x:v>121</x:v>
      </x:c>
      <x:c r="AO5" s="48" t="str">
        <x:v>MAP_正确</x:v>
      </x:c>
      <x:c r="AP5" s="48" t="str">
        <x:v>存在报告证据，但尚未经人工逐项核验；投资复核主要依据报告内金额与算式</x:v>
      </x:c>
      <x:c r="AQ5" s="64"/>
      <x:c r="AR5" s="48" t="str">
        <x:v>environmental_investment</x:v>
      </x:c>
      <x:c r="AS5" s="48" t="str">
        <x:v>L2_application</x:v>
      </x:c>
      <x:c r="AT5" s="48" t="str">
        <x:v>quantitative_verification</x:v>
      </x:c>
      <x:c r="AU5" s="48" t="str">
        <x:v>numerical_accuracy</x:v>
      </x:c>
      <x:c r="AV5" s="48" t="str">
        <x:v>report_grounding；procedural_reasoning</x:v>
      </x:c>
      <x:c r="AW5" s="48" t="str">
        <x:v>low</x:v>
      </x:c>
      <x:c r="AX5" s="48" t="str">
        <x:v>medium</x:v>
      </x:c>
      <x:c r="AY5" s="48" t="str">
        <x:v>cross_section</x:v>
      </x:c>
      <x:c r="AZ5" s="48" t="str">
        <x:v>True</x:v>
      </x:c>
      <x:c r="BA5" s="48"/>
      <x:c r="BB5" s="48" t="str">
        <x:v>auto_default</x:v>
      </x:c>
      <x:c r="BC5" s="48" t="str">
        <x:v>v1</x:v>
      </x:c>
      <x:c r="BD5" s="68"/>
    </x:row>
    <x:row r="6" ht="36" customHeight="1">
      <x:c r="A6" s="47" t="str">
        <x:v>2026-07-27</x:v>
      </x:c>
      <x:c r="B6" s="48" t="str">
        <x:v>PL002</x:v>
      </x:c>
      <x:c r="C6" s="48" t="str">
        <x:v>V01</x:v>
      </x:c>
      <x:c r="D6" s="48" t="str">
        <x:v>PL002_佛山市顺德区启卓工程塑料实业有限公司搬迁项目_01_核查材料.docx</x:v>
      </x:c>
      <x:c r="E6" s="48" t="str">
        <x:v>佛山市顺德区启卓工程塑料实业有限公司搬迁项目</x:v>
      </x:c>
      <x:c r="F6" s="48" t="str">
        <x:v>PL002_Emission_噪声</x:v>
      </x:c>
      <x:c r="G6" s="48" t="str">
        <x:v>污染物排放标准-噪声排放标准</x:v>
      </x:c>
      <x:c r="H6" s="48" t="str">
        <x:v>请根据项目所属声环境功能区类别，判断噪声排放标准选取是否合理。要求总结声功能区类型、厂界执行标准（GB12348-2008）及昼夜限值，并与环评编制内容进行一致性分析。</x:v>
      </x:c>
      <x:c r="I6" s="48" t="str">
        <x:v>1、噪声排放标准中执行标准与排放限值内容：无误；
2、无误。项目厂界执行GB12348-2008中3类标准（昼间≤65dB(A)、夜间≤55dB(A)），与项目所在的工业区声功能区划相符。</x:v>
      </x:c>
      <x:c r="J6" s="48" t="str">
        <x:v>噪声标准原文："项目厂界外1m执行《工业企业厂界环境噪声排放标准》（GB12348-2008）中的3类标准：昼间≤65dB(A)、夜间≤55dB(A)。"</x:v>
      </x:c>
      <x:c r="K6" s="48" t="str">
        <x:v>emission-standard-kb.jsonl; DB44/26-2001; DB44/2367-2022; GB31572-2015; GB14554-93; GB12348-2008; GB18597-2023; GB18599-2020</x:v>
      </x:c>
      <x:c r="L6" s="48" t="str">
        <x:v>2</x:v>
      </x:c>
      <x:c r="M6" s="48" t="str">
        <x:v>2</x:v>
      </x:c>
      <x:c r="N6" s="48" t="str">
        <x:v>False</x:v>
      </x:c>
      <x:c r="O6" s="48" t="str">
        <x:v>无误</x:v>
      </x:c>
      <x:c r="P6" s="48" t="str">
        <x:v>水:无误；气:无误；噪声:无误；固废:存在缺漏</x:v>
      </x:c>
      <x:c r="Q6" s="48"/>
      <x:c r="R6" s="48"/>
      <x:c r="S6" s="48" t="str">
        <x:v>否</x:v>
      </x:c>
      <x:c r="T6" s="48" t="str">
        <x:v>原综合排放标准问答对拆分而来</x:v>
      </x:c>
      <x:c r="U6" s="48" t="str">
        <x:v>30份环评_污染物排放控制执行标准复核QA(拆分版)</x:v>
      </x:c>
      <x:c r="V6" s="48" t="str">
        <x:v>噪声排放标准</x:v>
      </x:c>
      <x:c r="W6" s="48" t="str">
        <x:v>无误</x:v>
      </x:c>
      <x:c r="X6" s="48" t="str">
        <x:v>无误</x:v>
      </x:c>
      <x:c r="Y6" s="64"/>
      <x:c r="Z6" s="64" t="str">
        <x:v>未复核</x:v>
      </x:c>
      <x:c r="AA6" s="64" t="str">
        <x:v>部分充分</x:v>
      </x:c>
      <x:c r="AB6" s="64" t="str">
        <x:v>有效</x:v>
      </x:c>
      <x:c r="AC6" s="64" t="str">
        <x:v>部分核验</x:v>
      </x:c>
      <x:c r="AD6" s="64" t="str">
        <x:v>自动默认</x:v>
      </x:c>
      <x:c r="AE6" s="64" t="str">
        <x:v>趋势实验候选</x:v>
      </x:c>
      <x:c r="AF6" s="64" t="str">
        <x:v>待分流</x:v>
      </x:c>
      <x:c r="AG6" s="64"/>
      <x:c r="AH6" s="64"/>
      <x:c r="AI6" s="64"/>
      <x:c r="AJ6" s="64"/>
      <x:c r="AK6" s="64"/>
      <x:c r="AL6" s="64"/>
      <x:c r="AM6" s="64"/>
      <x:c r="AN6" s="48" t="str">
        <x:v>14</x:v>
      </x:c>
      <x:c r="AO6" s="48" t="str">
        <x:v>MAP_无误</x:v>
      </x:c>
      <x:c r="AP6" s="48" t="str">
        <x:v>存在报告证据，但尚未经人工逐项核验；已列依据来源，但未在本阶段逐条核验</x:v>
      </x:c>
      <x:c r="AQ6" s="64"/>
      <x:c r="AR6" s="48" t="str">
        <x:v>noise_emission_standard</x:v>
      </x:c>
      <x:c r="AS6" s="48" t="str">
        <x:v>L2_application</x:v>
      </x:c>
      <x:c r="AT6" s="48" t="str">
        <x:v>rule_applicability</x:v>
      </x:c>
      <x:c r="AU6" s="48" t="str">
        <x:v>basis_grounding</x:v>
      </x:c>
      <x:c r="AV6" s="48" t="str">
        <x:v>report_grounding</x:v>
      </x:c>
      <x:c r="AW6" s="48" t="str">
        <x:v>high</x:v>
      </x:c>
      <x:c r="AX6" s="48" t="str">
        <x:v>medium</x:v>
      </x:c>
      <x:c r="AY6" s="48" t="str">
        <x:v>report_plus_external</x:v>
      </x:c>
      <x:c r="AZ6" s="48" t="str">
        <x:v>True</x:v>
      </x:c>
      <x:c r="BA6" s="48"/>
      <x:c r="BB6" s="48" t="str">
        <x:v>auto_default</x:v>
      </x:c>
      <x:c r="BC6" s="48" t="str">
        <x:v>v1</x:v>
      </x:c>
      <x:c r="BD6" s="68"/>
    </x:row>
    <x:row r="7" ht="36" customHeight="1">
      <x:c r="A7" s="47" t="str">
        <x:v>2026-07-27</x:v>
      </x:c>
      <x:c r="B7" s="48" t="str">
        <x:v>PL006</x:v>
      </x:c>
      <x:c r="C7" s="48" t="str">
        <x:v>V01</x:v>
      </x:c>
      <x:c r="D7" s="48" t="str">
        <x:v>PL006_佛山市顺德区乐鲸科技有限公司年产五金拉手300万个新建项目_01_修改评估意见.docx</x:v>
      </x:c>
      <x:c r="E7" s="48" t="str">
        <x:v>佛山市顺德区乐鲸科技有限公司年产五金拉手300万个新建项目</x:v>
      </x:c>
      <x:c r="F7" s="48" t="str">
        <x:v>PL006_Emission_噪声</x:v>
      </x:c>
      <x:c r="G7" s="48" t="str">
        <x:v>污染物排放标准-噪声排放标准</x:v>
      </x:c>
      <x:c r="H7" s="48" t="str">
        <x:v>请根据项目所属声环境功能区类别，判断噪声排放标准选取是否合理。要求总结声功能区类型、厂界执行标准（GB12348-2008）及昼夜限值，并与环评编制内容进行一致性分析。</x:v>
      </x:c>
      <x:c r="I7" s="48" t="str">
        <x:v>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x:v>
      </x:c>
      <x:c r="J7"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x:v>
      </x:c>
      <x:c r="K7" s="48" t="str">
        <x:v>emission-standard-kb.jsonl; DB44/26-2001; DB44/2367-2022; GB31572-2015; GB14554-93; GB12348-2008; GB18597-2023; GB18599-2020</x:v>
      </x:c>
      <x:c r="L7" s="48" t="str">
        <x:v>2</x:v>
      </x:c>
      <x:c r="M7" s="48" t="str">
        <x:v>2</x:v>
      </x:c>
      <x:c r="N7" s="48" t="str">
        <x:v>False</x:v>
      </x:c>
      <x:c r="O7" s="48" t="str">
        <x:v>存在缺漏</x:v>
      </x:c>
      <x:c r="P7" s="48" t="str">
        <x:v>水：存在缺漏——企业排口标准未填报，标准名称遗漏“厂”字；大气：存在缺漏——喷涂/烘干工序VOCs和颗粒物排放标准全部缺失；噪声：存在缺漏——厂界噪声排放标准未编制；固废：存在缺漏——一般固废和危废控制标准均未编制。</x:v>
      </x:c>
      <x:c r="Q7" s="48"/>
      <x:c r="R7" s="48"/>
      <x:c r="S7" s="48" t="str">
        <x:v>是</x:v>
      </x:c>
      <x:c r="T7" s="48" t="str">
        <x:v>原综合排放标准问答对拆分而来</x:v>
      </x:c>
      <x:c r="U7" s="48" t="str">
        <x:v>30份环评_污染物排放控制执行标准复核QA(拆分版)</x:v>
      </x:c>
      <x:c r="V7" s="48" t="str">
        <x:v>噪声排放标准</x:v>
      </x:c>
      <x:c r="W7" s="48" t="str">
        <x:v>存在缺漏</x:v>
      </x:c>
      <x:c r="X7" s="48" t="str">
        <x:v>存在缺漏</x:v>
      </x:c>
      <x:c r="Y7" s="64"/>
      <x:c r="Z7" s="64" t="str">
        <x:v>未复核</x:v>
      </x:c>
      <x:c r="AA7" s="64" t="str">
        <x:v>部分充分</x:v>
      </x:c>
      <x:c r="AB7" s="64" t="str">
        <x:v>有效</x:v>
      </x:c>
      <x:c r="AC7" s="64" t="str">
        <x:v>部分核验</x:v>
      </x:c>
      <x:c r="AD7" s="64" t="str">
        <x:v>自动默认</x:v>
      </x:c>
      <x:c r="AE7" s="64" t="str">
        <x:v>趋势实验候选</x:v>
      </x:c>
      <x:c r="AF7" s="64" t="str">
        <x:v>A_仅待终审</x:v>
      </x:c>
      <x:c r="AG7" s="64"/>
      <x:c r="AH7" s="64"/>
      <x:c r="AI7" s="64"/>
      <x:c r="AJ7" s="64"/>
      <x:c r="AK7" s="64"/>
      <x:c r="AL7" s="64"/>
      <x:c r="AM7" s="64"/>
      <x:c r="AN7" s="48" t="str">
        <x:v>38</x:v>
      </x:c>
      <x:c r="AO7" s="48" t="str">
        <x:v>MAP_存在缺漏</x:v>
      </x:c>
      <x:c r="AP7" s="48" t="str">
        <x:v>存在报告证据，但尚未经人工逐项核验；已列依据来源，但未在本阶段逐条核验</x:v>
      </x:c>
      <x:c r="AQ7" s="64"/>
      <x:c r="AR7" s="48" t="str">
        <x:v>noise_emission_standard</x:v>
      </x:c>
      <x:c r="AS7" s="48" t="str">
        <x:v>L2_application</x:v>
      </x:c>
      <x:c r="AT7" s="48" t="str">
        <x:v>rule_applicability</x:v>
      </x:c>
      <x:c r="AU7" s="48" t="str">
        <x:v>basis_grounding</x:v>
      </x:c>
      <x:c r="AV7" s="48" t="str">
        <x:v>report_grounding</x:v>
      </x:c>
      <x:c r="AW7" s="48" t="str">
        <x:v>high</x:v>
      </x:c>
      <x:c r="AX7" s="48" t="str">
        <x:v>medium</x:v>
      </x:c>
      <x:c r="AY7" s="48" t="str">
        <x:v>report_plus_external</x:v>
      </x:c>
      <x:c r="AZ7" s="48" t="str">
        <x:v>True</x:v>
      </x:c>
      <x:c r="BA7" s="48"/>
      <x:c r="BB7" s="48" t="str">
        <x:v>auto_default</x:v>
      </x:c>
      <x:c r="BC7" s="48" t="str">
        <x:v>v1</x:v>
      </x:c>
      <x:c r="BD7" s="68"/>
    </x:row>
    <x:row r="8" ht="36" customHeight="1">
      <x:c r="A8" s="47" t="str">
        <x:v>2026-07-27</x:v>
      </x:c>
      <x:c r="B8" s="48" t="str">
        <x:v>PL010</x:v>
      </x:c>
      <x:c r="C8" s="48" t="str">
        <x:v>V01</x:v>
      </x:c>
      <x:c r="D8" s="48" t="str">
        <x:v>PL010_悍高集团股份有限公司功能拉篮车间搬迁扩建项目_01_修改评估意见.docx</x:v>
      </x:c>
      <x:c r="E8" s="48" t="str">
        <x:v>悍高集团股份有限公司功能拉篮车间搬迁扩建项目</x:v>
      </x:c>
      <x:c r="F8" s="48" t="str">
        <x:v>PL010_Emission_噪声</x:v>
      </x:c>
      <x:c r="G8" s="48" t="str">
        <x:v>污染物排放标准-噪声排放标准</x:v>
      </x:c>
      <x:c r="H8" s="48" t="str">
        <x:v>请根据项目所属声环境功能区类别，判断噪声排放标准选取是否合理。要求总结声功能区类型、厂界执行标准（GB12348-2008）及昼夜限值，并与环评编制内容进行一致性分析。</x:v>
      </x:c>
      <x:c r="I8" s="48" t="str">
        <x:v>1、噪声排放标准中执行标准与排放限值内容：存在缺漏；
2、存在缺漏。排放标准章节文本中未列出厂界噪声排放执行标准的名称、编号、声功能区类别及昼夜限值。项目位于工业区域，应执行GB12348-2008相应类别标准，但报告未编制。</x:v>
      </x:c>
      <x:c r="J8" s="48" t="str">
        <x:v>噪声】排放标准章节文本中未检出噪声排放标准的编制内容。</x:v>
      </x:c>
      <x:c r="K8" s="48" t="str">
        <x:v>emission-standard-kb.jsonl; DB44/26-2001; DB44/2367-2022; GB31572-2015; GB14554-93; GB12348-2008; GB18597-2023; GB18599-2020</x:v>
      </x:c>
      <x:c r="L8" s="48" t="str">
        <x:v>2</x:v>
      </x:c>
      <x:c r="M8" s="48" t="str">
        <x:v>2</x:v>
      </x:c>
      <x:c r="N8" s="48" t="str">
        <x:v>False</x:v>
      </x:c>
      <x:c r="O8" s="48" t="str">
        <x:v>存在缺漏</x:v>
      </x:c>
      <x:c r="P8"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8" s="48"/>
      <x:c r="R8" s="48"/>
      <x:c r="S8" s="48" t="str">
        <x:v>是</x:v>
      </x:c>
      <x:c r="T8" s="48" t="str">
        <x:v>原综合排放标准问答对拆分而来</x:v>
      </x:c>
      <x:c r="U8" s="48" t="str">
        <x:v>30份环评_污染物排放控制执行标准复核QA(拆分版)</x:v>
      </x:c>
      <x:c r="V8" s="48" t="str">
        <x:v>噪声排放标准</x:v>
      </x:c>
      <x:c r="W8" s="48" t="str">
        <x:v>存在缺漏</x:v>
      </x:c>
      <x:c r="X8" s="48" t="str">
        <x:v>存在缺漏</x:v>
      </x:c>
      <x:c r="Y8" s="64"/>
      <x:c r="Z8" s="64" t="str">
        <x:v>未复核</x:v>
      </x:c>
      <x:c r="AA8" s="64" t="str">
        <x:v>部分充分</x:v>
      </x:c>
      <x:c r="AB8" s="64" t="str">
        <x:v>有效</x:v>
      </x:c>
      <x:c r="AC8" s="64" t="str">
        <x:v>部分核验</x:v>
      </x:c>
      <x:c r="AD8" s="64" t="str">
        <x:v>自动默认</x:v>
      </x:c>
      <x:c r="AE8" s="64" t="str">
        <x:v>趋势实验候选</x:v>
      </x:c>
      <x:c r="AF8" s="64" t="str">
        <x:v>A_仅待终审</x:v>
      </x:c>
      <x:c r="AG8" s="64"/>
      <x:c r="AH8" s="64"/>
      <x:c r="AI8" s="64"/>
      <x:c r="AJ8" s="64"/>
      <x:c r="AK8" s="64"/>
      <x:c r="AL8" s="64"/>
      <x:c r="AM8" s="64"/>
      <x:c r="AN8" s="48" t="str">
        <x:v>58</x:v>
      </x:c>
      <x:c r="AO8" s="48" t="str">
        <x:v>MAP_存在缺漏</x:v>
      </x:c>
      <x:c r="AP8" s="48" t="str">
        <x:v>存在报告证据，但尚未经人工逐项核验；已列依据来源，但未在本阶段逐条核验</x:v>
      </x:c>
      <x:c r="AQ8" s="64"/>
      <x:c r="AR8" s="48" t="str">
        <x:v>noise_emission_standard</x:v>
      </x:c>
      <x:c r="AS8" s="48" t="str">
        <x:v>L2_application</x:v>
      </x:c>
      <x:c r="AT8" s="48" t="str">
        <x:v>rule_applicability</x:v>
      </x:c>
      <x:c r="AU8" s="48" t="str">
        <x:v>basis_grounding</x:v>
      </x:c>
      <x:c r="AV8" s="48" t="str">
        <x:v>report_grounding</x:v>
      </x:c>
      <x:c r="AW8" s="48" t="str">
        <x:v>high</x:v>
      </x:c>
      <x:c r="AX8" s="48" t="str">
        <x:v>medium</x:v>
      </x:c>
      <x:c r="AY8" s="48" t="str">
        <x:v>report_plus_external</x:v>
      </x:c>
      <x:c r="AZ8" s="48" t="str">
        <x:v>True</x:v>
      </x:c>
      <x:c r="BA8" s="48"/>
      <x:c r="BB8" s="48" t="str">
        <x:v>auto_default</x:v>
      </x:c>
      <x:c r="BC8" s="48" t="str">
        <x:v>v1</x:v>
      </x:c>
      <x:c r="BD8" s="68"/>
    </x:row>
    <x:row r="9" ht="36" customHeight="1">
      <x:c r="A9" s="47" t="str">
        <x:v>2026-07-27</x:v>
      </x:c>
      <x:c r="B9" s="48" t="str">
        <x:v>PL020</x:v>
      </x:c>
      <x:c r="C9" s="48" t="str">
        <x:v>V01</x:v>
      </x:c>
      <x:c r="D9" s="48" t="str">
        <x:v>PL020_佛山市朗信塑料制品有限公司新建项目_01_受理公告或公示版.pdf</x:v>
      </x:c>
      <x:c r="E9" s="48" t="str">
        <x:v>佛山市朗信塑料制品有限公司新建项目</x:v>
      </x:c>
      <x:c r="F9" s="48" t="str">
        <x:v>PL020_Emission_噪声</x:v>
      </x:c>
      <x:c r="G9" s="48" t="str">
        <x:v>污染物排放标准-噪声排放标准</x:v>
      </x:c>
      <x:c r="H9" s="48" t="str">
        <x:v>请根据项目所属声环境功能区类别，判断噪声排放标准选取是否合理。要求总结声功能区类型、厂界执行标准（GB12348-2008）及昼夜限值，并与环评编制内容进行一致性分析。</x:v>
      </x:c>
      <x:c r="I9" s="48" t="str">
        <x:v>1、噪声排放标准中执行标准与排放限值内容：存在缺漏；
2、存在缺漏。提取文本中未发现噪声排放标准章节，未引用《工业企业厂界环境噪声排放标准》（GB12348-2008），未给出声功能区类别及昼夜限值。
4、</x:v>
      </x:c>
      <x:c r="J9" s="48" t="str">
        <x:v>3、噪声：提取文本中未发现噪声排放标准相关内容。
4、固体废物："一般固体废物收集后交由资源回收公司回收，危险废物交由有危险废物处理资质的单位收集处置。"未引用具体标准编号。</x:v>
      </x:c>
      <x:c r="K9" s="48" t="str">
        <x:v>emission-standard-kb.jsonl; DB44/26-2001; DB44/2367-2022; GB31572-2015; GB14554-93; GB12348-2008; GB18597-2023; GB18599-2020</x:v>
      </x:c>
      <x:c r="L9" s="48" t="str">
        <x:v>2</x:v>
      </x:c>
      <x:c r="M9" s="48" t="str">
        <x:v>2</x:v>
      </x:c>
      <x:c r="N9" s="48" t="str">
        <x:v>False</x:v>
      </x:c>
      <x:c r="O9" s="48" t="str">
        <x:v>存在缺漏</x:v>
      </x:c>
      <x:c r="P9"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9" s="48"/>
      <x:c r="R9" s="48"/>
      <x:c r="S9" s="48" t="str">
        <x:v>是</x:v>
      </x:c>
      <x:c r="T9" s="48" t="str">
        <x:v>原综合排放标准问答对拆分而来</x:v>
      </x:c>
      <x:c r="U9" s="48" t="str">
        <x:v>30份环评_污染物排放控制执行标准复核QA(拆分版)</x:v>
      </x:c>
      <x:c r="V9" s="48" t="str">
        <x:v>噪声排放标准</x:v>
      </x:c>
      <x:c r="W9" s="48" t="str">
        <x:v>存在缺漏</x:v>
      </x:c>
      <x:c r="X9" s="48" t="str">
        <x:v>存在缺漏</x:v>
      </x:c>
      <x:c r="Y9" s="64"/>
      <x:c r="Z9" s="64" t="str">
        <x:v>未复核</x:v>
      </x:c>
      <x:c r="AA9" s="64" t="str">
        <x:v>部分充分</x:v>
      </x:c>
      <x:c r="AB9" s="64" t="str">
        <x:v>有效</x:v>
      </x:c>
      <x:c r="AC9" s="64" t="str">
        <x:v>部分核验</x:v>
      </x:c>
      <x:c r="AD9" s="64" t="str">
        <x:v>自动默认</x:v>
      </x:c>
      <x:c r="AE9" s="64" t="str">
        <x:v>趋势实验候选</x:v>
      </x:c>
      <x:c r="AF9" s="64" t="str">
        <x:v>A_仅待终审</x:v>
      </x:c>
      <x:c r="AG9" s="64"/>
      <x:c r="AH9" s="64"/>
      <x:c r="AI9" s="64"/>
      <x:c r="AJ9" s="64"/>
      <x:c r="AK9" s="64"/>
      <x:c r="AL9" s="64"/>
      <x:c r="AM9" s="64"/>
      <x:c r="AN9" s="48" t="str">
        <x:v>104</x:v>
      </x:c>
      <x:c r="AO9" s="48" t="str">
        <x:v>MAP_存在缺漏</x:v>
      </x:c>
      <x:c r="AP9" s="48" t="str">
        <x:v>存在报告证据，但尚未经人工逐项核验；已列依据来源，但未在本阶段逐条核验</x:v>
      </x:c>
      <x:c r="AQ9" s="64"/>
      <x:c r="AR9" s="48" t="str">
        <x:v>noise_emission_standard</x:v>
      </x:c>
      <x:c r="AS9" s="48" t="str">
        <x:v>L2_application</x:v>
      </x:c>
      <x:c r="AT9" s="48" t="str">
        <x:v>rule_applicability</x:v>
      </x:c>
      <x:c r="AU9" s="48" t="str">
        <x:v>basis_grounding</x:v>
      </x:c>
      <x:c r="AV9" s="48" t="str">
        <x:v>report_grounding</x:v>
      </x:c>
      <x:c r="AW9" s="48" t="str">
        <x:v>high</x:v>
      </x:c>
      <x:c r="AX9" s="48" t="str">
        <x:v>medium</x:v>
      </x:c>
      <x:c r="AY9" s="48" t="str">
        <x:v>report_plus_external</x:v>
      </x:c>
      <x:c r="AZ9" s="48" t="str">
        <x:v>True</x:v>
      </x:c>
      <x:c r="BA9" s="48"/>
      <x:c r="BB9" s="48" t="str">
        <x:v>auto_default</x:v>
      </x:c>
      <x:c r="BC9" s="48" t="str">
        <x:v>v1</x:v>
      </x:c>
      <x:c r="BD9" s="68"/>
    </x:row>
    <x:row r="10" ht="36" customHeight="1">
      <x:c r="A10" s="47" t="str">
        <x:v>2026-07-27</x:v>
      </x:c>
      <x:c r="B10" s="48" t="str">
        <x:v>PL004</x:v>
      </x:c>
      <x:c r="C10" s="48" t="str">
        <x:v>V01</x:v>
      </x:c>
      <x:c r="D10" s="48" t="str">
        <x:v>PL004_恒励新材料科技(佛山)有限公司新建项目_01_核查材料.docx</x:v>
      </x:c>
      <x:c r="E10" s="48" t="str">
        <x:v>恒励新材料科技(佛山)有限公司新建项目</x:v>
      </x:c>
      <x:c r="F10" s="48" t="str">
        <x:v>PL004_Emission_水污</x:v>
      </x:c>
      <x:c r="G10" s="48" t="str">
        <x:v>污染物排放标准-水污染物排放标准</x:v>
      </x:c>
      <x:c r="H10"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0" s="48" t="str">
        <x:v>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c r="J10" s="4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10" s="48" t="str">
        <x:v>emission-standard-kb.jsonl; DB44/26-2001; DB44/2367-2022; GB31572-2015; GB14554-93; GB12348-2008; GB18597-2023; GB18599-2020</x:v>
      </x:c>
      <x:c r="L10" s="48" t="str">
        <x:v>2</x:v>
      </x:c>
      <x:c r="M10" s="48" t="str">
        <x:v>2</x:v>
      </x:c>
      <x:c r="N10" s="48" t="str">
        <x:v>False</x:v>
      </x:c>
      <x:c r="O10" s="48" t="str">
        <x:v>无误</x:v>
      </x:c>
      <x:c r="P10" s="48" t="str">
        <x:v>水:无误；气:存在缺漏；噪声:无误；固废:存在缺漏</x:v>
      </x:c>
      <x:c r="Q10" s="48"/>
      <x:c r="R10" s="48"/>
      <x:c r="S10" s="48" t="str">
        <x:v>否</x:v>
      </x:c>
      <x:c r="T10" s="48" t="str">
        <x:v>原综合排放标准问答对拆分而来</x:v>
      </x:c>
      <x:c r="U10" s="48" t="str">
        <x:v>30份环评_污染物排放控制执行标准复核QA(拆分版)</x:v>
      </x:c>
      <x:c r="V10" s="48" t="str">
        <x:v>水污染物排放标准</x:v>
      </x:c>
      <x:c r="W10" s="48" t="str">
        <x:v>无误</x:v>
      </x:c>
      <x:c r="X10" s="48" t="str">
        <x:v>无误</x:v>
      </x:c>
      <x:c r="Y10" s="64"/>
      <x:c r="Z10" s="64" t="str">
        <x:v>未复核</x:v>
      </x:c>
      <x:c r="AA10" s="64" t="str">
        <x:v>部分充分</x:v>
      </x:c>
      <x:c r="AB10" s="64" t="str">
        <x:v>有效</x:v>
      </x:c>
      <x:c r="AC10" s="64" t="str">
        <x:v>部分核验</x:v>
      </x:c>
      <x:c r="AD10" s="64" t="str">
        <x:v>自动默认</x:v>
      </x:c>
      <x:c r="AE10" s="64" t="str">
        <x:v>趋势实验候选</x:v>
      </x:c>
      <x:c r="AF10" s="64" t="str">
        <x:v>待分流</x:v>
      </x:c>
      <x:c r="AG10" s="64"/>
      <x:c r="AH10" s="64"/>
      <x:c r="AI10" s="64"/>
      <x:c r="AJ10" s="64"/>
      <x:c r="AK10" s="64"/>
      <x:c r="AL10" s="64"/>
      <x:c r="AM10" s="64"/>
      <x:c r="AN10" s="48" t="str">
        <x:v>26</x:v>
      </x:c>
      <x:c r="AO10" s="48" t="str">
        <x:v>MAP_无误</x:v>
      </x:c>
      <x:c r="AP10" s="48" t="str">
        <x:v>存在报告证据，但尚未经人工逐项核验；已列依据来源，但未在本阶段逐条核验</x:v>
      </x:c>
      <x:c r="AQ10" s="64"/>
      <x:c r="AR10" s="48" t="str">
        <x:v>water_emission_standard</x:v>
      </x:c>
      <x:c r="AS10" s="48" t="str">
        <x:v>L3_analysis</x:v>
      </x:c>
      <x:c r="AT10" s="48" t="str">
        <x:v>rule_applicability</x:v>
      </x:c>
      <x:c r="AU10" s="48" t="str">
        <x:v>basis_grounding</x:v>
      </x:c>
      <x:c r="AV10" s="48" t="str">
        <x:v>report_grounding；procedural_reasoning</x:v>
      </x:c>
      <x:c r="AW10" s="48" t="str">
        <x:v>high</x:v>
      </x:c>
      <x:c r="AX10" s="48" t="str">
        <x:v>high</x:v>
      </x:c>
      <x:c r="AY10" s="48" t="str">
        <x:v>report_plus_external</x:v>
      </x:c>
      <x:c r="AZ10" s="48" t="str">
        <x:v>True</x:v>
      </x:c>
      <x:c r="BA10" s="48"/>
      <x:c r="BB10" s="48" t="str">
        <x:v>auto_default</x:v>
      </x:c>
      <x:c r="BC10" s="48" t="str">
        <x:v>v1</x:v>
      </x:c>
      <x:c r="BD10" s="68"/>
    </x:row>
    <x:row r="11" ht="36" customHeight="1">
      <x:c r="A11" s="47" t="str">
        <x:v>2026-07-27</x:v>
      </x:c>
      <x:c r="B11" s="48" t="str">
        <x:v>PL005</x:v>
      </x:c>
      <x:c r="C11" s="48" t="str">
        <x:v>V01</x:v>
      </x:c>
      <x:c r="D11" s="48" t="str">
        <x:v>PL005_佛山市润特龙清洁用品有限公司新建项目_01_核查材料.docx</x:v>
      </x:c>
      <x:c r="E11" s="48" t="str">
        <x:v>佛山市润特龙清洁用品有限公司新建项目</x:v>
      </x:c>
      <x:c r="F11" s="48" t="str">
        <x:v>PL005_Emission_水污</x:v>
      </x:c>
      <x:c r="G11" s="48" t="str">
        <x:v>污染物排放标准-水污染物排放标准</x:v>
      </x:c>
      <x:c r="H1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1" s="48" t="str">
        <x:v>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c r="J11" s="48" t="str">
        <x:v>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x:v>
      </x:c>
      <x:c r="K11" s="48" t="str">
        <x:v>emission-standard-kb.jsonl; DB44/26-2001; DB44/2367-2022; GB31572-2015; GB14554-93; GB12348-2008; GB18597-2023; GB18599-2020</x:v>
      </x:c>
      <x:c r="L11" s="48" t="str">
        <x:v>2</x:v>
      </x:c>
      <x:c r="M11" s="48" t="str">
        <x:v>2</x:v>
      </x:c>
      <x:c r="N11" s="48" t="str">
        <x:v>False</x:v>
      </x:c>
      <x:c r="O11" s="48" t="str">
        <x:v>无误</x:v>
      </x:c>
      <x:c r="P11" s="48" t="str">
        <x:v>水:无误；气:存在缺漏；噪声:无误；固废:存在缺漏</x:v>
      </x:c>
      <x:c r="Q11" s="48"/>
      <x:c r="R11" s="48"/>
      <x:c r="S11" s="48" t="str">
        <x:v>否</x:v>
      </x:c>
      <x:c r="T11" s="48" t="str">
        <x:v>原综合排放标准问答对拆分而来</x:v>
      </x:c>
      <x:c r="U11" s="48" t="str">
        <x:v>30份环评_污染物排放控制执行标准复核QA(拆分版)</x:v>
      </x:c>
      <x:c r="V11" s="48" t="str">
        <x:v>水污染物排放标准</x:v>
      </x:c>
      <x:c r="W11" s="48" t="str">
        <x:v>无误</x:v>
      </x:c>
      <x:c r="X11" s="48" t="str">
        <x:v>无误</x:v>
      </x:c>
      <x:c r="Y11" s="64"/>
      <x:c r="Z11" s="64" t="str">
        <x:v>未复核</x:v>
      </x:c>
      <x:c r="AA11" s="64" t="str">
        <x:v>部分充分</x:v>
      </x:c>
      <x:c r="AB11" s="64" t="str">
        <x:v>有效</x:v>
      </x:c>
      <x:c r="AC11" s="64" t="str">
        <x:v>部分核验</x:v>
      </x:c>
      <x:c r="AD11" s="64" t="str">
        <x:v>自动默认</x:v>
      </x:c>
      <x:c r="AE11" s="64" t="str">
        <x:v>趋势实验候选</x:v>
      </x:c>
      <x:c r="AF11" s="64" t="str">
        <x:v>待分流</x:v>
      </x:c>
      <x:c r="AG11" s="64"/>
      <x:c r="AH11" s="64"/>
      <x:c r="AI11" s="64"/>
      <x:c r="AJ11" s="64"/>
      <x:c r="AK11" s="64"/>
      <x:c r="AL11" s="64"/>
      <x:c r="AM11" s="64"/>
      <x:c r="AN11" s="48" t="str">
        <x:v>31</x:v>
      </x:c>
      <x:c r="AO11" s="48" t="str">
        <x:v>MAP_无误</x:v>
      </x:c>
      <x:c r="AP11" s="48" t="str">
        <x:v>存在报告证据，但尚未经人工逐项核验；已列依据来源，但未在本阶段逐条核验</x:v>
      </x:c>
      <x:c r="AQ11" s="64"/>
      <x:c r="AR11" s="48" t="str">
        <x:v>water_emission_standard</x:v>
      </x:c>
      <x:c r="AS11" s="48" t="str">
        <x:v>L3_analysis</x:v>
      </x:c>
      <x:c r="AT11" s="48" t="str">
        <x:v>rule_applicability</x:v>
      </x:c>
      <x:c r="AU11" s="48" t="str">
        <x:v>basis_grounding</x:v>
      </x:c>
      <x:c r="AV11" s="48" t="str">
        <x:v>report_grounding；procedural_reasoning</x:v>
      </x:c>
      <x:c r="AW11" s="48" t="str">
        <x:v>high</x:v>
      </x:c>
      <x:c r="AX11" s="48" t="str">
        <x:v>high</x:v>
      </x:c>
      <x:c r="AY11" s="48" t="str">
        <x:v>report_plus_external</x:v>
      </x:c>
      <x:c r="AZ11" s="48" t="str">
        <x:v>True</x:v>
      </x:c>
      <x:c r="BA11" s="48"/>
      <x:c r="BB11" s="48" t="str">
        <x:v>auto_default</x:v>
      </x:c>
      <x:c r="BC11" s="48" t="str">
        <x:v>v1</x:v>
      </x:c>
      <x:c r="BD11" s="68"/>
    </x:row>
    <x:row r="12" ht="36" customHeight="1">
      <x:c r="A12" s="47" t="str">
        <x:v>2026-07-27</x:v>
      </x:c>
      <x:c r="B12" s="48" t="str">
        <x:v>PL022</x:v>
      </x:c>
      <x:c r="C12" s="48" t="str">
        <x:v>V01</x:v>
      </x:c>
      <x:c r="D12" s="48" t="str">
        <x:v>PL022_佛山市锐拓新材料有限公司新建项目_01_受理公告或公示版.pdf</x:v>
      </x:c>
      <x:c r="E12" s="48" t="str">
        <x:v>佛山市锐拓新材料有限公司新建项目</x:v>
      </x:c>
      <x:c r="F12" s="48" t="str">
        <x:v>PL022_Emission_水污</x:v>
      </x:c>
      <x:c r="G12" s="48" t="str">
        <x:v>污染物排放标准-水污染物排放标准</x:v>
      </x:c>
      <x:c r="H1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2" s="48" t="str">
        <x:v>1、水污染物排放标准中生活污水排放执行标准：存在缺漏；
2、水污染物排放标准结论的过程分析内容：存在缺漏。报告提到杏坛污水处理厂尾水执行DB44/26-2001第二时段一级标准与GB18918-2002一级A标准的较严者，尾水排至顺德支流，与知识库一致。但企业生活污水排口执行的预处理标准（DB44/26-2001第二时段三级标准）未在提取文本中明确引用。
2、</x:v>
      </x:c>
      <x:c r="J12" s="48" t="str">
        <x:v>1、水："标准的A标准和广东省《水污染物排放限值》（DB44/26-2001）第二时段一级标准的较严者。""生活污水经三级化粪池预处理后经市政污水管网排入杏坛污水处理厂处理，处理后尾水排入顺德支流。"</x:v>
      </x:c>
      <x:c r="K12" s="48" t="str">
        <x:v>emission-standard-kb.jsonl; DB44/26-2001; DB44/2367-2022; GB31572-2015; GB14554-93; GB12348-2008; GB18597-2023; GB18599-2020</x:v>
      </x:c>
      <x:c r="L12" s="48" t="str">
        <x:v>2</x:v>
      </x:c>
      <x:c r="M12" s="48" t="str">
        <x:v>2</x:v>
      </x:c>
      <x:c r="N12" s="48" t="str">
        <x:v>False</x:v>
      </x:c>
      <x:c r="O12" s="48" t="str">
        <x:v>存在缺漏</x:v>
      </x:c>
      <x:c r="P12"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12" s="48"/>
      <x:c r="R12" s="48"/>
      <x:c r="S12" s="48" t="str">
        <x:v>是</x:v>
      </x:c>
      <x:c r="T12" s="48" t="str">
        <x:v>原综合排放标准问答对拆分而来</x:v>
      </x:c>
      <x:c r="U12" s="48" t="str">
        <x:v>30份环评_污染物排放控制执行标准复核QA(拆分版)</x:v>
      </x:c>
      <x:c r="V12" s="48" t="str">
        <x:v>水污染物排放标准</x:v>
      </x:c>
      <x:c r="W12" s="48" t="str">
        <x:v>存在缺漏</x:v>
      </x:c>
      <x:c r="X12" s="48" t="str">
        <x:v>存在缺漏</x:v>
      </x:c>
      <x:c r="Y12" s="64"/>
      <x:c r="Z12" s="64" t="str">
        <x:v>未复核</x:v>
      </x:c>
      <x:c r="AA12" s="64" t="str">
        <x:v>部分充分</x:v>
      </x:c>
      <x:c r="AB12" s="64" t="str">
        <x:v>有效</x:v>
      </x:c>
      <x:c r="AC12" s="64" t="str">
        <x:v>部分核验</x:v>
      </x:c>
      <x:c r="AD12" s="64" t="str">
        <x:v>自动默认</x:v>
      </x:c>
      <x:c r="AE12" s="64" t="str">
        <x:v>趋势实验候选</x:v>
      </x:c>
      <x:c r="AF12" s="64" t="str">
        <x:v>A_仅待终审</x:v>
      </x:c>
      <x:c r="AG12" s="64"/>
      <x:c r="AH12" s="64"/>
      <x:c r="AI12" s="64"/>
      <x:c r="AJ12" s="64"/>
      <x:c r="AK12" s="64"/>
      <x:c r="AL12" s="64"/>
      <x:c r="AM12" s="64"/>
      <x:c r="AN12" s="48" t="str">
        <x:v>116</x:v>
      </x:c>
      <x:c r="AO12" s="48" t="str">
        <x:v>MAP_存在缺漏</x:v>
      </x:c>
      <x:c r="AP12" s="48" t="str">
        <x:v>存在报告证据，但尚未经人工逐项核验；已列依据来源，但未在本阶段逐条核验</x:v>
      </x:c>
      <x:c r="AQ12" s="64"/>
      <x:c r="AR12" s="48" t="str">
        <x:v>water_emission_standard</x:v>
      </x:c>
      <x:c r="AS12" s="48" t="str">
        <x:v>L3_analysis</x:v>
      </x:c>
      <x:c r="AT12" s="48" t="str">
        <x:v>rule_applicability</x:v>
      </x:c>
      <x:c r="AU12" s="48" t="str">
        <x:v>basis_grounding</x:v>
      </x:c>
      <x:c r="AV12" s="48" t="str">
        <x:v>report_grounding；procedural_reasoning</x:v>
      </x:c>
      <x:c r="AW12" s="48" t="str">
        <x:v>high</x:v>
      </x:c>
      <x:c r="AX12" s="48" t="str">
        <x:v>high</x:v>
      </x:c>
      <x:c r="AY12" s="48" t="str">
        <x:v>report_plus_external</x:v>
      </x:c>
      <x:c r="AZ12" s="48" t="str">
        <x:v>True</x:v>
      </x:c>
      <x:c r="BA12" s="48"/>
      <x:c r="BB12" s="48" t="str">
        <x:v>auto_default</x:v>
      </x:c>
      <x:c r="BC12" s="48" t="str">
        <x:v>v1</x:v>
      </x:c>
      <x:c r="BD12" s="68"/>
    </x:row>
    <x:row r="13" ht="36" customHeight="1">
      <x:c r="A13" s="47" t="str">
        <x:v>2026-07-27</x:v>
      </x:c>
      <x:c r="B13" s="48" t="str">
        <x:v>PL025</x:v>
      </x:c>
      <x:c r="C13" s="48" t="str">
        <x:v>V01</x:v>
      </x:c>
      <x:c r="D13" s="48" t="str">
        <x:v>PL025_佛山市巨人电器有限公司新建项目_01_受理公告或公示版.pdf</x:v>
      </x:c>
      <x:c r="E13" s="48" t="str">
        <x:v>佛山市巨人电器有限公司新建项目</x:v>
      </x:c>
      <x:c r="F13" s="48" t="str">
        <x:v>PL025_Emission_水污</x:v>
      </x:c>
      <x:c r="G13" s="48" t="str">
        <x:v>污染物排放标准-水污染物排放标准</x:v>
      </x:c>
      <x:c r="H13"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3" s="48" t="str">
        <x:v>1、水污染物排放标准中生活污水排放执行标准：存在缺漏；
2、水污染物排放标准结论的过程分析内容：存在缺漏。报告提到大门污水处理厂尾水执行《城镇污水处理厂污染物排放标准》（GB18918-2002）一级A标准及《广东省水污染物排放限值》（DB44/26-2001）的较严值，与知识库一致。但企业生活污水排口执行的预处理标准（DB44/26-2001第二时段三级标准，COD≤500mg/L、BOD5≤300mg/L、SS≤400mg/L）未在提取文本中明确引用。循环冷却水作为清净下水通过雨水管网排放，亦未引用相关标准。
2、</x:v>
      </x:c>
      <x:c r="J13" s="48" t="str">
        <x:v>1、水："《城镇污水处理厂污染物排放标准》（GB18918-2002）一级A标准及《广东省水污染物排放限值》（DB44/26-2001）的较严值。""生活污水经三级化粪池处理后排入大门污水处理厂；循环冷却水通过市政雨水管网排放。"</x:v>
      </x:c>
      <x:c r="K13" s="48" t="str">
        <x:v>emission-standard-kb.jsonl; DB44/26-2001; DB44/2367-2022; GB31572-2015; GB14554-93; GB12348-2008; GB18597-2023; GB18599-2020</x:v>
      </x:c>
      <x:c r="L13" s="48" t="str">
        <x:v>2</x:v>
      </x:c>
      <x:c r="M13" s="48" t="str">
        <x:v>2</x:v>
      </x:c>
      <x:c r="N13" s="48" t="str">
        <x:v>False</x:v>
      </x:c>
      <x:c r="O13" s="48" t="str">
        <x:v>存在缺漏</x:v>
      </x:c>
      <x:c r="P13"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13" s="48"/>
      <x:c r="R13" s="48"/>
      <x:c r="S13" s="48" t="str">
        <x:v>是</x:v>
      </x:c>
      <x:c r="T13" s="48" t="str">
        <x:v>原综合排放标准问答对拆分而来</x:v>
      </x:c>
      <x:c r="U13" s="48" t="str">
        <x:v>30份环评_污染物排放控制执行标准复核QA(拆分版)</x:v>
      </x:c>
      <x:c r="V13" s="48" t="str">
        <x:v>水污染物排放标准</x:v>
      </x:c>
      <x:c r="W13" s="48" t="str">
        <x:v>存在缺漏</x:v>
      </x:c>
      <x:c r="X13" s="48" t="str">
        <x:v>存在缺漏</x:v>
      </x:c>
      <x:c r="Y13" s="64"/>
      <x:c r="Z13" s="64" t="str">
        <x:v>未复核</x:v>
      </x:c>
      <x:c r="AA13" s="64" t="str">
        <x:v>部分充分</x:v>
      </x:c>
      <x:c r="AB13" s="64" t="str">
        <x:v>有效</x:v>
      </x:c>
      <x:c r="AC13" s="64" t="str">
        <x:v>部分核验</x:v>
      </x:c>
      <x:c r="AD13" s="64" t="str">
        <x:v>自动默认</x:v>
      </x:c>
      <x:c r="AE13" s="64" t="str">
        <x:v>趋势实验候选</x:v>
      </x:c>
      <x:c r="AF13" s="64" t="str">
        <x:v>A_仅待终审</x:v>
      </x:c>
      <x:c r="AG13" s="64"/>
      <x:c r="AH13" s="64"/>
      <x:c r="AI13" s="64"/>
      <x:c r="AJ13" s="64"/>
      <x:c r="AK13" s="64"/>
      <x:c r="AL13" s="64"/>
      <x:c r="AM13" s="64"/>
      <x:c r="AN13" s="48" t="str">
        <x:v>130</x:v>
      </x:c>
      <x:c r="AO13" s="48" t="str">
        <x:v>MAP_存在缺漏</x:v>
      </x:c>
      <x:c r="AP13" s="48" t="str">
        <x:v>存在报告证据，但尚未经人工逐项核验；已列依据来源，但未在本阶段逐条核验</x:v>
      </x:c>
      <x:c r="AQ13" s="64"/>
      <x:c r="AR13" s="48" t="str">
        <x:v>water_emission_standard</x:v>
      </x:c>
      <x:c r="AS13" s="48" t="str">
        <x:v>L3_analysis</x:v>
      </x:c>
      <x:c r="AT13" s="48" t="str">
        <x:v>rule_applicability</x:v>
      </x:c>
      <x:c r="AU13" s="48" t="str">
        <x:v>basis_grounding</x:v>
      </x:c>
      <x:c r="AV13" s="48" t="str">
        <x:v>report_grounding；procedural_reasoning</x:v>
      </x:c>
      <x:c r="AW13" s="48" t="str">
        <x:v>high</x:v>
      </x:c>
      <x:c r="AX13" s="48" t="str">
        <x:v>high</x:v>
      </x:c>
      <x:c r="AY13" s="48" t="str">
        <x:v>report_plus_external</x:v>
      </x:c>
      <x:c r="AZ13" s="48" t="str">
        <x:v>True</x:v>
      </x:c>
      <x:c r="BA13" s="48"/>
      <x:c r="BB13" s="48" t="str">
        <x:v>auto_default</x:v>
      </x:c>
      <x:c r="BC13" s="48" t="str">
        <x:v>v1</x:v>
      </x:c>
      <x:c r="BD13" s="68"/>
    </x:row>
    <x:row r="14" ht="36" customHeight="1">
      <x:c r="A14" s="47" t="str">
        <x:v>2026-07-27</x:v>
      </x:c>
      <x:c r="B14" s="48" t="str">
        <x:v>PL027</x:v>
      </x:c>
      <x:c r="C14" s="48" t="str">
        <x:v>V01</x:v>
      </x:c>
      <x:c r="D14" s="48" t="str">
        <x:v>PL027_佛山市天隆通塑料制品有限公司新建项目_01_受理公告或公示版.pdf</x:v>
      </x:c>
      <x:c r="E14" s="48" t="str">
        <x:v>佛山市天隆通塑料制品有限公司新建项目</x:v>
      </x:c>
      <x:c r="F14" s="48" t="str">
        <x:v>PL027_Emission_水污</x:v>
      </x:c>
      <x:c r="G14" s="48" t="str">
        <x:v>污染物排放标准-水污染物排放标准</x:v>
      </x:c>
      <x:c r="H14"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14" s="48" t="str">
        <x:v>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x:v>
      </x:c>
      <x:c r="J14" s="48" t="str">
        <x:v>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x:v>
      </x:c>
      <x:c r="K14" s="48" t="str">
        <x:v>emission-standard-kb.jsonl; DB44/26-2001; DB44/2367-2022; GB31572-2015; GB14554-93; GB12348-2008; GB18597-2023; GB18599-2020</x:v>
      </x:c>
      <x:c r="L14" s="48" t="str">
        <x:v>2</x:v>
      </x:c>
      <x:c r="M14" s="48" t="str">
        <x:v>2</x:v>
      </x:c>
      <x:c r="N14" s="48" t="str">
        <x:v>False</x:v>
      </x:c>
      <x:c r="O14" s="48" t="str">
        <x:v>存在缺漏</x:v>
      </x:c>
      <x:c r="P14"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14" s="48"/>
      <x:c r="R14" s="48"/>
      <x:c r="S14" s="48" t="str">
        <x:v>是</x:v>
      </x:c>
      <x:c r="T14" s="48" t="str">
        <x:v>原综合排放标准问答对拆分而来</x:v>
      </x:c>
      <x:c r="U14" s="48" t="str">
        <x:v>30份环评_污染物排放控制执行标准复核QA(拆分版)</x:v>
      </x:c>
      <x:c r="V14" s="48" t="str">
        <x:v>水污染物排放标准</x:v>
      </x:c>
      <x:c r="W14" s="48" t="str">
        <x:v>存在缺漏</x:v>
      </x:c>
      <x:c r="X14" s="48" t="str">
        <x:v>存在缺漏</x:v>
      </x:c>
      <x:c r="Y14" s="64"/>
      <x:c r="Z14" s="64" t="str">
        <x:v>未复核</x:v>
      </x:c>
      <x:c r="AA14" s="64" t="str">
        <x:v>部分充分</x:v>
      </x:c>
      <x:c r="AB14" s="64" t="str">
        <x:v>有效</x:v>
      </x:c>
      <x:c r="AC14" s="64" t="str">
        <x:v>部分核验</x:v>
      </x:c>
      <x:c r="AD14" s="64" t="str">
        <x:v>自动默认</x:v>
      </x:c>
      <x:c r="AE14" s="64" t="str">
        <x:v>趋势实验候选</x:v>
      </x:c>
      <x:c r="AF14" s="64" t="str">
        <x:v>A_仅待终审</x:v>
      </x:c>
      <x:c r="AG14" s="64"/>
      <x:c r="AH14" s="64"/>
      <x:c r="AI14" s="64"/>
      <x:c r="AJ14" s="64"/>
      <x:c r="AK14" s="64"/>
      <x:c r="AL14" s="64"/>
      <x:c r="AM14" s="64"/>
      <x:c r="AN14" s="48" t="str">
        <x:v>144</x:v>
      </x:c>
      <x:c r="AO14" s="48" t="str">
        <x:v>MAP_存在缺漏</x:v>
      </x:c>
      <x:c r="AP14" s="48" t="str">
        <x:v>存在报告证据，但尚未经人工逐项核验；已列依据来源，但未在本阶段逐条核验</x:v>
      </x:c>
      <x:c r="AQ14" s="64"/>
      <x:c r="AR14" s="48" t="str">
        <x:v>water_emission_standard</x:v>
      </x:c>
      <x:c r="AS14" s="48" t="str">
        <x:v>L3_analysis</x:v>
      </x:c>
      <x:c r="AT14" s="48" t="str">
        <x:v>rule_applicability</x:v>
      </x:c>
      <x:c r="AU14" s="48" t="str">
        <x:v>basis_grounding</x:v>
      </x:c>
      <x:c r="AV14" s="48" t="str">
        <x:v>report_grounding；procedural_reasoning</x:v>
      </x:c>
      <x:c r="AW14" s="48" t="str">
        <x:v>high</x:v>
      </x:c>
      <x:c r="AX14" s="48" t="str">
        <x:v>high</x:v>
      </x:c>
      <x:c r="AY14" s="48" t="str">
        <x:v>report_plus_external</x:v>
      </x:c>
      <x:c r="AZ14" s="48" t="str">
        <x:v>True</x:v>
      </x:c>
      <x:c r="BA14" s="48"/>
      <x:c r="BB14" s="48" t="str">
        <x:v>auto_default</x:v>
      </x:c>
      <x:c r="BC14" s="48" t="str">
        <x:v>v1</x:v>
      </x:c>
      <x:c r="BD14" s="68"/>
    </x:row>
    <x:row r="15" ht="36" customHeight="1">
      <x:c r="A15" s="47" t="str">
        <x:v>2026-07-27</x:v>
      </x:c>
      <x:c r="B15" s="48" t="str">
        <x:v>PL008</x:v>
      </x:c>
      <x:c r="C15" s="48" t="str">
        <x:v>V01</x:v>
      </x:c>
      <x:c r="D15" s="48" t="str">
        <x:v>PL008_佛山市顺德区亚马逊涂料有限公司迁扩建项目_01_修改评估意见.docx</x:v>
      </x:c>
      <x:c r="E15" s="48" t="str">
        <x:v>佛山市顺德区亚马逊涂料有限公司迁扩建项目</x:v>
      </x:c>
      <x:c r="F15" s="48" t="str">
        <x:v>PL008_Emission_大气</x:v>
      </x:c>
      <x:c r="G15" s="48" t="str">
        <x:v>污染物排放标准-大气污染物排放标准</x:v>
      </x:c>
      <x:c r="H15" s="48" t="str">
        <x:v>请根据项目行业类别、生产工艺和污染因子，判断大气污染物排放标准选取是否合理。要求分析：污染源覆盖是否完整（列出所有大气污染源及对应标准），是否存在缺漏的污染源或标准。</x:v>
      </x:c>
      <x:c r="I15" s="48" t="str">
        <x:v>1、污染排放标准分析污染源内容：完整；
2、大气污染物排放标准分析：无误。项目属涂料制造行业，报告对各类污染源标准选取完整准确。（1）TVOC、NMHC有组织排放执行GB37824-2019表2特别排放限值和DB44/2367-2022表1标准的较严值。知识库记录ESK-DB44-2367-TABLE1-003（NMHC 80mg/m3）和ESK-DB44-2367-TABLE1-004（TVOC 100mg/m3）证实DB44/2367-2022表1限值，报告同时引用行业标准和综合标准取较严值的做法正确；（2）颗粒物有组织排放执行GB37824-2019表2特别排放限值和DB44/27-2001第二时段二级标准的较严值。知识库记录ESK-DB44-27-TABLE2-003证实DB44/27-2001表2颗粒物最高允许排放浓度120mg/m3（30m排气筒），报告引用正确；（3）臭气浓度执行GB14554-93厂界标准值二级标准≤20（无量纲），45m高排气筒有组织排放标准值≤40000（无量纲）。45m介于40m（20000）和50m（40000）之间，按“取较高一档”规则取50m对应40000，与知识库记录ESK-GB14554-TABLE2-005一致；（4）厂区内VOCs无组织排放执行GB37824-2019表B.1特别排放限值，行业适用正确。颗粒物无组织排放执行DB44/27-2001无组织排放监控浓度限值，知识库该部分记录已隔离，无法核验具体限值，属知识库缺口。</x:v>
      </x:c>
      <x:c r="J15" s="48" t="str">
        <x:v>大气】“TVOC、NMHC有组织排放执行《涂料、油墨及胶粘剂工业大气污染物排放标准》（GB37824-2019）中表2特别排放限值要求和《固定污染源挥发性有机物综合排放标准》（DB44/2367-2022）中的表1标准的较严值”“颗粒物于排放筒FQ-03672排放，有组织排放执行《涂料、油墨及胶粘剂工业大气污染物排放标准》（GB37824-2019）中表2特别排放限值要求和《大气污染物排放限值》（DB44/27-2001）第二时段二级标准的较严值”“臭气浓度排放执行《恶臭污染物排放标准》（GB14554-93）中厂界标准值二级标准：臭气浓度≤20（无量纲）；45m高排气筒有组织排放标准值：臭气浓度≤40000（无量纲）”“项目厂区内 VOCs 无组织排放监控点浓度执行《涂料、油墨及胶粘剂工业大气污染物排放标准》（GB37824—2019）表 B.1 中的特别排放限值”</x:v>
      </x:c>
      <x:c r="K15" s="48" t="str">
        <x:v>emission-standard-kb.jsonl; DB44/26-2001; DB44/2367-2022; GB31572-2015; GB14554-93; GB12348-2008; GB18597-2023; GB18599-2020</x:v>
      </x:c>
      <x:c r="L15" s="48" t="str">
        <x:v>2</x:v>
      </x:c>
      <x:c r="M15" s="48" t="str">
        <x:v>2</x:v>
      </x:c>
      <x:c r="N15" s="48" t="str">
        <x:v>False</x:v>
      </x:c>
      <x:c r="O15" s="48" t="str">
        <x:v>无误</x:v>
      </x:c>
      <x:c r="P15"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15" s="48"/>
      <x:c r="R15" s="48"/>
      <x:c r="S15" s="48" t="str">
        <x:v>否</x:v>
      </x:c>
      <x:c r="T15" s="48" t="str">
        <x:v>原综合排放标准问答对拆分而来</x:v>
      </x:c>
      <x:c r="U15" s="48" t="str">
        <x:v>30份环评_污染物排放控制执行标准复核QA(拆分版)</x:v>
      </x:c>
      <x:c r="V15" s="48" t="str">
        <x:v>大气污染物排放标准</x:v>
      </x:c>
      <x:c r="W15" s="48" t="str">
        <x:v>无误</x:v>
      </x:c>
      <x:c r="X15" s="48" t="str">
        <x:v>无误</x:v>
      </x:c>
      <x:c r="Y15" s="64"/>
      <x:c r="Z15" s="64" t="str">
        <x:v>未复核</x:v>
      </x:c>
      <x:c r="AA15" s="64" t="str">
        <x:v>部分充分</x:v>
      </x:c>
      <x:c r="AB15" s="64" t="str">
        <x:v>有效</x:v>
      </x:c>
      <x:c r="AC15" s="64" t="str">
        <x:v>部分核验</x:v>
      </x:c>
      <x:c r="AD15" s="64" t="str">
        <x:v>自动默认</x:v>
      </x:c>
      <x:c r="AE15" s="64" t="str">
        <x:v>趋势实验候选</x:v>
      </x:c>
      <x:c r="AF15" s="64" t="str">
        <x:v>待分流</x:v>
      </x:c>
      <x:c r="AG15" s="64"/>
      <x:c r="AH15" s="64"/>
      <x:c r="AI15" s="64"/>
      <x:c r="AJ15" s="64"/>
      <x:c r="AK15" s="64"/>
      <x:c r="AL15" s="64"/>
      <x:c r="AM15" s="64"/>
      <x:c r="AN15" s="48" t="str">
        <x:v>47</x:v>
      </x:c>
      <x:c r="AO15" s="48" t="str">
        <x:v>MAP_无误</x:v>
      </x:c>
      <x:c r="AP15" s="48" t="str">
        <x:v>存在报告证据，但尚未经人工逐项核验；已列依据来源，但未在本阶段逐条核验</x:v>
      </x:c>
      <x:c r="AQ15" s="64"/>
      <x:c r="AR15" s="48" t="str">
        <x:v>air_emission_standard</x:v>
      </x:c>
      <x:c r="AS15" s="48" t="str">
        <x:v>L3_analysis</x:v>
      </x:c>
      <x:c r="AT15" s="48" t="str">
        <x:v>multi_evidence_synthesis</x:v>
      </x:c>
      <x:c r="AU15" s="48" t="str">
        <x:v>basis_grounding</x:v>
      </x:c>
      <x:c r="AV15" s="48" t="str">
        <x:v>report_grounding；evidence_integration</x:v>
      </x:c>
      <x:c r="AW15" s="48" t="str">
        <x:v>high</x:v>
      </x:c>
      <x:c r="AX15" s="48" t="str">
        <x:v>high</x:v>
      </x:c>
      <x:c r="AY15" s="48" t="str">
        <x:v>report_plus_external</x:v>
      </x:c>
      <x:c r="AZ15" s="48" t="str">
        <x:v>True</x:v>
      </x:c>
      <x:c r="BA15" s="48"/>
      <x:c r="BB15" s="48" t="str">
        <x:v>auto_default</x:v>
      </x:c>
      <x:c r="BC15" s="48" t="str">
        <x:v>v1</x:v>
      </x:c>
      <x:c r="BD15" s="68"/>
    </x:row>
    <x:row r="16" ht="36" customHeight="1">
      <x:c r="A16" s="47" t="str">
        <x:v>2026-07-27</x:v>
      </x:c>
      <x:c r="B16" s="48" t="str">
        <x:v>PL011</x:v>
      </x:c>
      <x:c r="C16" s="48" t="str">
        <x:v>V01</x:v>
      </x:c>
      <x:c r="D16" s="48" t="str">
        <x:v>PL011_广东潜龙化工有限公司新建项目_01_修改评估意见.docx</x:v>
      </x:c>
      <x:c r="E16" s="48" t="str">
        <x:v>广东潜龙化工有限公司新建项目</x:v>
      </x:c>
      <x:c r="F16" s="48" t="str">
        <x:v>PL011_Emission_大气</x:v>
      </x:c>
      <x:c r="G16" s="48" t="str">
        <x:v>污染物排放标准-大气污染物排放标准</x:v>
      </x:c>
      <x:c r="H16" s="48" t="str">
        <x:v>请根据项目行业类别、生产工艺和污染因子，判断大气污染物排放标准选取是否合理。要求分析：污染源覆盖是否完整（列出所有大气污染源及对应标准），是否存在缺漏的污染源或标准。</x:v>
      </x:c>
      <x:c r="I16" s="48" t="str">
        <x:v>1、污染排放标准分析污染源内容：完整；
2、大气污染物排放标准分析：无误。项目属专用化学产品制造（固化剂生产），涉及预处理、投料、加热搅拌、清洗等工序，产生VOCs、臭气浓度和颗粒物。（1）VOCs有组织排放执行DB44/2367-2022表1挥发性有机物排放限值，知识库记录ESK-DB44-2367-TABLE1-004证实TVOC 100mg/m3，标准适用正确；（2）厂区内VOCs无组织排放执行DB44/2367-2022表3厂区内VOCs无组织排放限值，知识库记录ESK-DB44-2367-TABLE3-001/002证实NMHC限值（1h平均6mg/m3、任意一次20mg/m3），适用正确；（3）臭气浓度有组织执行GB14554-93表2排放标准值，排气筒高度40m对应臭气浓度≤20000（无量纲），与知识库记录ESK-GB14554-TABLE2-004一致；（4）臭气浓度无组织执行GB14554-93表1恶臭污染物厂界标准值二级新扩改建标准≤20（无量纲），与知识库记录ESK-GB14554-TABLE1-001一致；（5）投料粉尘无组织排放执行DB44/27-2001第二时段无组织排放监控浓度限值，知识库该部分记录已隔离（db44-27-quarantined），无法核验具体限值，属知识库缺口。项目无特定行业大气排放标准，采用综合排放标准DB44/2367-2022和GB14554-93，标准选取合理。</x:v>
      </x:c>
      <x:c r="J16" s="48" t="str">
        <x:v>大气】“项目产生的VOCs有组织排放执行广东省地方标准《固定污染源挥发性有机物综合排放标准》（DB44/2367-2022）表1挥发性有机物排放限值；厂区内无组织VOCs执行广东省地方标准《固定污染源挥发性有机物综合排放标准》（DB44/2367-2022）中表3厂区内VOCs无组织排放限值”“臭气浓度有组织执行《恶臭污染物排放标准》（GB14554-93）表2标准排放值，无组织执行《恶臭污染物排放标准》（GB14554-93）中表1恶臭污染物厂界标准值的二级新扩改建标准”“投料产生的粉尘无组织排放执行广东省《大气污染物排放限值》（DB44/27-2001）第二时段无组织排放监控浓度限值”“注：根据《恶臭污染物排放标准》（GB14554-93）表2，排气筒高度为40m，臭气浓度执行20000（无量纲）标准值。”</x:v>
      </x:c>
      <x:c r="K16" s="48" t="str">
        <x:v>emission-standard-kb.jsonl; DB44/26-2001; DB44/2367-2022; GB31572-2015; GB14554-93; GB12348-2008; GB18597-2023; GB18599-2020</x:v>
      </x:c>
      <x:c r="L16" s="48" t="str">
        <x:v>2</x:v>
      </x:c>
      <x:c r="M16" s="48" t="str">
        <x:v>2</x:v>
      </x:c>
      <x:c r="N16" s="48" t="str">
        <x:v>False</x:v>
      </x:c>
      <x:c r="O16" s="48" t="str">
        <x:v>无误</x:v>
      </x:c>
      <x:c r="P16"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16" s="48"/>
      <x:c r="R16" s="48"/>
      <x:c r="S16" s="48" t="str">
        <x:v>否</x:v>
      </x:c>
      <x:c r="T16" s="48" t="str">
        <x:v>原综合排放标准问答对拆分而来</x:v>
      </x:c>
      <x:c r="U16" s="48" t="str">
        <x:v>30份环评_污染物排放控制执行标准复核QA(拆分版)</x:v>
      </x:c>
      <x:c r="V16" s="48" t="str">
        <x:v>大气污染物排放标准</x:v>
      </x:c>
      <x:c r="W16" s="48" t="str">
        <x:v>无误</x:v>
      </x:c>
      <x:c r="X16" s="48" t="str">
        <x:v>无误</x:v>
      </x:c>
      <x:c r="Y16" s="64"/>
      <x:c r="Z16" s="64" t="str">
        <x:v>未复核</x:v>
      </x:c>
      <x:c r="AA16" s="64" t="str">
        <x:v>部分充分</x:v>
      </x:c>
      <x:c r="AB16" s="64" t="str">
        <x:v>有效</x:v>
      </x:c>
      <x:c r="AC16" s="64" t="str">
        <x:v>部分核验</x:v>
      </x:c>
      <x:c r="AD16" s="64" t="str">
        <x:v>自动默认</x:v>
      </x:c>
      <x:c r="AE16" s="64" t="str">
        <x:v>趋势实验候选</x:v>
      </x:c>
      <x:c r="AF16" s="64" t="str">
        <x:v>待分流</x:v>
      </x:c>
      <x:c r="AG16" s="64"/>
      <x:c r="AH16" s="64"/>
      <x:c r="AI16" s="64"/>
      <x:c r="AJ16" s="64"/>
      <x:c r="AK16" s="64"/>
      <x:c r="AL16" s="64"/>
      <x:c r="AM16" s="64"/>
      <x:c r="AN16" s="48" t="str">
        <x:v>62</x:v>
      </x:c>
      <x:c r="AO16" s="48" t="str">
        <x:v>MAP_无误</x:v>
      </x:c>
      <x:c r="AP16" s="48" t="str">
        <x:v>存在报告证据，但尚未经人工逐项核验；已列依据来源，但未在本阶段逐条核验</x:v>
      </x:c>
      <x:c r="AQ16" s="64"/>
      <x:c r="AR16" s="48" t="str">
        <x:v>air_emission_standard</x:v>
      </x:c>
      <x:c r="AS16" s="48" t="str">
        <x:v>L3_analysis</x:v>
      </x:c>
      <x:c r="AT16" s="48" t="str">
        <x:v>multi_evidence_synthesis</x:v>
      </x:c>
      <x:c r="AU16" s="48" t="str">
        <x:v>basis_grounding</x:v>
      </x:c>
      <x:c r="AV16" s="48" t="str">
        <x:v>report_grounding；evidence_integration</x:v>
      </x:c>
      <x:c r="AW16" s="48" t="str">
        <x:v>high</x:v>
      </x:c>
      <x:c r="AX16" s="48" t="str">
        <x:v>high</x:v>
      </x:c>
      <x:c r="AY16" s="48" t="str">
        <x:v>report_plus_external</x:v>
      </x:c>
      <x:c r="AZ16" s="48" t="str">
        <x:v>True</x:v>
      </x:c>
      <x:c r="BA16" s="48"/>
      <x:c r="BB16" s="48" t="str">
        <x:v>auto_default</x:v>
      </x:c>
      <x:c r="BC16" s="48" t="str">
        <x:v>v1</x:v>
      </x:c>
      <x:c r="BD16" s="68"/>
    </x:row>
    <x:row r="17" ht="36" customHeight="1">
      <x:c r="A17" s="47" t="str">
        <x:v>2026-07-27</x:v>
      </x:c>
      <x:c r="B17" s="48" t="str">
        <x:v>PL001</x:v>
      </x:c>
      <x:c r="C17" s="48" t="str">
        <x:v>V01</x:v>
      </x:c>
      <x:c r="D17" s="48" t="str">
        <x:v>PL001_佛山市亮正新材料有限公司新建项目_01_核查材料.docx</x:v>
      </x:c>
      <x:c r="E17" s="48" t="str">
        <x:v>佛山市亮正新材料有限公司新建项目</x:v>
      </x:c>
      <x:c r="F17" s="48" t="str">
        <x:v>PL001_Emission_大气</x:v>
      </x:c>
      <x:c r="G17" s="48" t="str">
        <x:v>污染物排放标准-大气污染物排放标准</x:v>
      </x:c>
      <x:c r="H17" s="48" t="str">
        <x:v>请根据项目行业类别、生产工艺和污染因子，判断大气污染物排放标准选取是否合理。要求分析：污染源覆盖是否完整（列出所有大气污染源及对应标准），是否存在缺漏的污染源或标准。</x:v>
      </x:c>
      <x:c r="I17" s="48" t="str">
        <x:v>1、污染排放标准分析污染源内容：不完整；
2、大气污染物排放标准分析：存在缺漏。胶水调配、上胶、复合、熟化工序VOCs执行DB44/2367-2022表1，印刷工序VOCs执行DB44/815-2010，臭气浓度执行GB14554-93，厂区内VOCs无组织执行DB44/2367-2022表3，以上选取合理。但蒸汽发生器燃烧液化石油气产生的SO2、NOx执行《工业炉窑污染综合治理方案》（环大气[2019]56号）中"重点区域排放限值"，该文件为政策性文件而非正式排放标准，不宜作为排放标准依据；最高允许排放速率执行DB44/27-2001第二时段二级标准尚可，但浓度限值应优先引用正式标准（如DB44/27-2001或GB9078-1996）。</x:v>
      </x:c>
      <x:c r="J17" s="48" t="str">
        <x:v>大气标准原文："蒸汽发生器燃烧液化石油气产生的SO2、NOX执行有组织排放执行《工业炉窑污染综合治理方案》（环大气[2019]56号）中'重点区域排放限值'。最高允许排放速率执行广东省地方标准《大气污染物排放限值》（DB44/27-2001）第二时段二级标准要求。"</x:v>
      </x:c>
      <x:c r="K17" s="48" t="str">
        <x:v>emission-standard-kb.jsonl; DB44/26-2001; DB44/2367-2022; GB31572-2015; GB14554-93; GB12348-2008; GB18597-2023; GB18599-2020</x:v>
      </x:c>
      <x:c r="L17" s="48" t="str">
        <x:v>2</x:v>
      </x:c>
      <x:c r="M17" s="48" t="str">
        <x:v>2</x:v>
      </x:c>
      <x:c r="N17" s="48" t="str">
        <x:v>False</x:v>
      </x:c>
      <x:c r="O17" s="48" t="str">
        <x:v>存在缺漏</x:v>
      </x:c>
      <x:c r="P17" s="48" t="str">
        <x:v>水:存在错误；气:存在缺漏；噪声:存在缺漏；固废:存在缺漏</x:v>
      </x:c>
      <x:c r="Q17" s="48"/>
      <x:c r="R17" s="48"/>
      <x:c r="S17" s="48" t="str">
        <x:v>是</x:v>
      </x:c>
      <x:c r="T17" s="48" t="str">
        <x:v>原综合排放标准问答对拆分而来</x:v>
      </x:c>
      <x:c r="U17" s="48" t="str">
        <x:v>30份环评_污染物排放控制执行标准复核QA(拆分版)</x:v>
      </x:c>
      <x:c r="V17" s="48" t="str">
        <x:v>大气污染物排放标准</x:v>
      </x:c>
      <x:c r="W17" s="48" t="str">
        <x:v>存在缺漏</x:v>
      </x:c>
      <x:c r="X17" s="48" t="str">
        <x:v>存在缺漏</x:v>
      </x:c>
      <x:c r="Y17" s="64"/>
      <x:c r="Z17" s="64" t="str">
        <x:v>未复核</x:v>
      </x:c>
      <x:c r="AA17" s="64" t="str">
        <x:v>部分充分</x:v>
      </x:c>
      <x:c r="AB17" s="64" t="str">
        <x:v>有效</x:v>
      </x:c>
      <x:c r="AC17" s="64" t="str">
        <x:v>部分核验</x:v>
      </x:c>
      <x:c r="AD17" s="64" t="str">
        <x:v>自动默认</x:v>
      </x:c>
      <x:c r="AE17" s="64" t="str">
        <x:v>趋势实验候选</x:v>
      </x:c>
      <x:c r="AF17" s="64" t="str">
        <x:v>A_仅待终审</x:v>
      </x:c>
      <x:c r="AG17" s="64"/>
      <x:c r="AH17" s="64"/>
      <x:c r="AI17" s="64"/>
      <x:c r="AJ17" s="64"/>
      <x:c r="AK17" s="64"/>
      <x:c r="AL17" s="64"/>
      <x:c r="AM17" s="64"/>
      <x:c r="AN17" s="48" t="str">
        <x:v>6</x:v>
      </x:c>
      <x:c r="AO17" s="48" t="str">
        <x:v>MAP_存在缺漏</x:v>
      </x:c>
      <x:c r="AP17" s="48" t="str">
        <x:v>存在报告证据，但尚未经人工逐项核验；已列依据来源，但未在本阶段逐条核验</x:v>
      </x:c>
      <x:c r="AQ17" s="64"/>
      <x:c r="AR17" s="48" t="str">
        <x:v>air_emission_standard</x:v>
      </x:c>
      <x:c r="AS17" s="48" t="str">
        <x:v>L3_analysis</x:v>
      </x:c>
      <x:c r="AT17" s="48" t="str">
        <x:v>multi_evidence_synthesis</x:v>
      </x:c>
      <x:c r="AU17" s="48" t="str">
        <x:v>basis_grounding</x:v>
      </x:c>
      <x:c r="AV17" s="48" t="str">
        <x:v>report_grounding；evidence_integration</x:v>
      </x:c>
      <x:c r="AW17" s="48" t="str">
        <x:v>high</x:v>
      </x:c>
      <x:c r="AX17" s="48" t="str">
        <x:v>high</x:v>
      </x:c>
      <x:c r="AY17" s="48" t="str">
        <x:v>report_plus_external</x:v>
      </x:c>
      <x:c r="AZ17" s="48" t="str">
        <x:v>True</x:v>
      </x:c>
      <x:c r="BA17" s="48"/>
      <x:c r="BB17" s="48" t="str">
        <x:v>auto_default</x:v>
      </x:c>
      <x:c r="BC17" s="48" t="str">
        <x:v>v1</x:v>
      </x:c>
      <x:c r="BD17" s="68"/>
    </x:row>
    <x:row r="18" ht="36" customHeight="1">
      <x:c r="A18" s="47" t="str">
        <x:v>2026-07-27</x:v>
      </x:c>
      <x:c r="B18" s="48" t="str">
        <x:v>PL009</x:v>
      </x:c>
      <x:c r="C18" s="48" t="str">
        <x:v>V01</x:v>
      </x:c>
      <x:c r="D18" s="48" t="str">
        <x:v>PL009_广东威诺高科技股份有限公司搬迁项目_01_修改评估意见.docx</x:v>
      </x:c>
      <x:c r="E18" s="48" t="str">
        <x:v>广东威诺高科技股份有限公司搬迁项目</x:v>
      </x:c>
      <x:c r="F18" s="48" t="str">
        <x:v>PL009_Emission_大气</x:v>
      </x:c>
      <x:c r="G18" s="48" t="str">
        <x:v>污染物排放标准-大气污染物排放标准</x:v>
      </x:c>
      <x:c r="H18" s="48" t="str">
        <x:v>请根据项目行业类别、生产工艺和污染因子，判断大气污染物排放标准选取是否合理。要求分析：污染源覆盖是否完整（列出所有大气污染源及对应标准），是否存在缺漏的污染源或标准。</x:v>
      </x:c>
      <x:c r="I18" s="48" t="str">
        <x:v>1、污染排放标准分析污染源内容：不完整；
2、大气污染物排放标准分析：存在错误。项目涉及注塑（ABS、PP塑料）、丝印固化、浸漆烘干、焊锡、破碎、模具维修及转子机加工等多工序，大气污染源复杂。具体问题如下：（1）臭气浓度排放标准值存在错误。报告述“50m高排气筒有组织排放标准值：臭气浓度≤40000（无量纲）”，但项目实际排气筒高度为53m。按GB14554-93表2“若实际排气筒高度介于两列高度之间，取较高一档高度的标准值”的规则，53m介于50m（40000）和≥60m（60000）之间，应取较高一档即≥60m对应标准值≤60000（无量纲），知识库记录ESK-GB14554-TABLE2-006证实≥60m对应60000。报告按50m档取40000，标准值选取错误。该错误虽偏严（40000＜60000），但排气筒高度对应标准档次填写不正确。（2）注塑有机废气（NMHC）执行《合成树脂工业污染物排放标准》（GB31572-2015）表4和表9。GB31572适用于合成树脂工业，项目为塑料制品制造（C292），注塑工序是否适用该标准存在适用范围争议。知识库来源文件标注“含2024年修改单”，历史报告须先确认报告时点条文版本，存在版本不确定性。（3）丝印、固化、清洁有机废气执行《印刷工业大气污染物排放标准》（GB 41616-2022），知识库无该标准记录，无法核验限值。（4）锡及其化合物无组织排放执行DB44/27-2001周界外浓度限值，知识库无该污染物记录，无法核验。（5）颗粒物无组织排放执行DB44/27-2001和GB31572-2015表9，DB44/27无组织记录已隔离，GB31572存在版本不确定性。浸漆、烘干TVOC/NMHC执行DB44/2367-2022表1，知识库记录ESK-DB44-2367-TABLE1-003/004证实NMHC 80mg/m3、TVOC 100mg/m3，适用正确。厂区内VOCs无组织执行DB44/2367-2022表3，知识库记录ESK-DB44-2367-TABLE3-001/002证实限值，适用正确。</x:v>
      </x:c>
      <x:c r="J18" s="48" t="str">
        <x:v>【水】“生活污水经三级化粪池处理后达到广东省地方标准《水污染排放限值》（DB44/26-2001）第二时段三级标准后，排入杏坛污水处理厂处理，污水处理厂出水水质执行《城镇污水处理厂污染物排放标准》（GBl8918—2002）一级A 标准及广东省地方标准《水污染物排放限值》（DB44/26-2001）第二时段一级标准的较严值。”【大气-臭气浓度】“臭气浓度排放执行《恶臭污染物排放标准》（GB14554-93）中厂界标准值二级标准：臭气浓度≤20（无量纲）；50m高排气筒有组织排放标准值：臭气浓度≤40000（无量纲）。”（实际排气筒高度53m，应取≥60m档=60000）【大气-注塑】“项目注塑过程产生的有机废气，其污染物为NMHC，NMHC执行《合成树脂工业污染物排放标准》（GB31572-2015）表4大气污染物特别排放限值和及表9企业边界大气污染物浓度限值”【大气-浸漆烘干】“项目浸漆、烘干过程产生的有机废气，其污染物为TVOC、NMHC，TVOC、NMHC执行《固定污染源挥发性有机物综合排放标准》（DB44/2367-2022）中的表1标准”【大气-厂区内】“项目厂区内 VOCs 无组织排放监控点浓度执行《固定污染源挥发性有机物综合排放标准》（DB44/2367-2022）中表3厂区内 VOCs 无组织排放限值”【噪声】“项目厂界噪声执行《工业企业厂界环境噪声排放标准》（GB12348-2008）中的3类标准：昼间≤65dB（A），夜间≤55dB（A）。”【固废】“危险废物、一般工业固废在厂区内暂存应符合《危险废物贮存污染控制标准》（GB18597-2023）、《一般工业固体废物贮存、处置场污染控制标准》（GB18599-2020）、《广东省固体废物污染环境防治条例》等要求”</x:v>
      </x:c>
      <x:c r="K18" s="48" t="str">
        <x:v>emission-standard-kb.jsonl; DB44/26-2001; DB44/2367-2022; GB31572-2015; GB14554-93; GB12348-2008; GB18597-2023; GB18599-2020</x:v>
      </x:c>
      <x:c r="L18" s="48" t="str">
        <x:v>2</x:v>
      </x:c>
      <x:c r="M18" s="48" t="str">
        <x:v>2</x:v>
      </x:c>
      <x:c r="N18" s="48" t="str">
        <x:v>False</x:v>
      </x:c>
      <x:c r="O18" s="48" t="str">
        <x:v>存在错误</x:v>
      </x:c>
      <x:c r="P18"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18" s="48"/>
      <x:c r="R18" s="48"/>
      <x:c r="S18" s="48" t="str">
        <x:v>是</x:v>
      </x:c>
      <x:c r="T18" s="48" t="str">
        <x:v>原综合排放标准问答对拆分而来</x:v>
      </x:c>
      <x:c r="U18" s="48" t="str">
        <x:v>30份环评_污染物排放控制执行标准复核QA(拆分版)</x:v>
      </x:c>
      <x:c r="V18" s="48" t="str">
        <x:v>大气污染物排放标准</x:v>
      </x:c>
      <x:c r="W18" s="48" t="str">
        <x:v>存在错误</x:v>
      </x:c>
      <x:c r="X18" s="48" t="str">
        <x:v>存在错误</x:v>
      </x:c>
      <x:c r="Y18" s="64"/>
      <x:c r="Z18" s="64" t="str">
        <x:v>未复核</x:v>
      </x:c>
      <x:c r="AA18" s="64" t="str">
        <x:v>部分充分</x:v>
      </x:c>
      <x:c r="AB18" s="64" t="str">
        <x:v>有效</x:v>
      </x:c>
      <x:c r="AC18" s="64" t="str">
        <x:v>部分核验</x:v>
      </x:c>
      <x:c r="AD18" s="64" t="str">
        <x:v>自动默认</x:v>
      </x:c>
      <x:c r="AE18" s="64" t="str">
        <x:v>趋势实验候选</x:v>
      </x:c>
      <x:c r="AF18" s="64" t="str">
        <x:v>A_仅待终审</x:v>
      </x:c>
      <x:c r="AG18" s="64"/>
      <x:c r="AH18" s="64"/>
      <x:c r="AI18" s="64"/>
      <x:c r="AJ18" s="64"/>
      <x:c r="AK18" s="64"/>
      <x:c r="AL18" s="64"/>
      <x:c r="AM18" s="64"/>
      <x:c r="AN18" s="48" t="str">
        <x:v>52</x:v>
      </x:c>
      <x:c r="AO18" s="48" t="str">
        <x:v>MAP_存在错误</x:v>
      </x:c>
      <x:c r="AP18" s="48" t="str">
        <x:v>存在报告证据，但尚未经人工逐项核验；已列依据来源，但未在本阶段逐条核验</x:v>
      </x:c>
      <x:c r="AQ18" s="64"/>
      <x:c r="AR18" s="48" t="str">
        <x:v>air_emission_standard</x:v>
      </x:c>
      <x:c r="AS18" s="48" t="str">
        <x:v>L3_analysis</x:v>
      </x:c>
      <x:c r="AT18" s="48" t="str">
        <x:v>multi_evidence_synthesis</x:v>
      </x:c>
      <x:c r="AU18" s="48" t="str">
        <x:v>basis_grounding</x:v>
      </x:c>
      <x:c r="AV18" s="48" t="str">
        <x:v>report_grounding；evidence_integration</x:v>
      </x:c>
      <x:c r="AW18" s="48" t="str">
        <x:v>high</x:v>
      </x:c>
      <x:c r="AX18" s="48" t="str">
        <x:v>high</x:v>
      </x:c>
      <x:c r="AY18" s="48" t="str">
        <x:v>report_plus_external</x:v>
      </x:c>
      <x:c r="AZ18" s="48" t="str">
        <x:v>True</x:v>
      </x:c>
      <x:c r="BA18" s="48"/>
      <x:c r="BB18" s="48" t="str">
        <x:v>auto_default</x:v>
      </x:c>
      <x:c r="BC18" s="48" t="str">
        <x:v>v1</x:v>
      </x:c>
      <x:c r="BD18" s="68"/>
    </x:row>
    <x:row r="19" ht="36" customHeight="1">
      <x:c r="A19" s="50" t="str">
        <x:v>2026-07-27</x:v>
      </x:c>
      <x:c r="B19" s="51" t="str">
        <x:v>PL012</x:v>
      </x:c>
      <x:c r="C19" s="51" t="str">
        <x:v>V01</x:v>
      </x:c>
      <x:c r="D19" s="51" t="str">
        <x:v>PL012_佛山市瀚铭新材料有限公司新建项目_01_修改评估意见.docx</x:v>
      </x:c>
      <x:c r="E19" s="51" t="str">
        <x:v>佛山市瀚铭新材料有限公司新建项目</x:v>
      </x:c>
      <x:c r="F19" s="51" t="str">
        <x:v>PL012_Emission_大气</x:v>
      </x:c>
      <x:c r="G19" s="51" t="str">
        <x:v>污染物排放标准-大气污染物排放标准</x:v>
      </x:c>
      <x:c r="H19" s="51" t="str">
        <x:v>请根据项目行业类别、生产工艺和污染因子，判断大气污染物排放标准选取是否合理。要求分析：污染源覆盖是否完整（列出所有大气污染源及对应标准），是否存在缺漏的污染源或标准。</x:v>
      </x:c>
      <x:c r="I19" s="51" t="str">
        <x:v>1、污染排放标准分析污染源内容：不完整；
2、大气污染物排放标准分析：项目投料粉尘（颗粒物）执行DB44/27-2001表2第二时段二级标准及无组织排放监控浓度限值；有机废气TVOC有组织排放执行DB44/2367-2022表1，厂区内VOCs执行DB44/2367-2022表3；恶臭臭气浓度执行GB14554-1993表1及表2。上述标准选取基本合理。但项目参照《排污许可证申请与核发技术规范 涂料、油墨、颜料及类似产品制造业》（HJ1116-2020），产品含电子胶等胶黏剂类制品，其大气污染物有组织排放是否应执行行业专属标准《涂料、油墨及胶黏剂工业大气污染物排放标准》（GB37824-2019）需进一步核实。报告仅引用了DB44/2367-2022和DB44/27-2001等综合标准，未对行业标准GB37824-2019的适用性进行说明，存在缺漏。</x:v>
      </x:c>
      <x:c r="J19" s="51" t="str">
        <x:v>大气标准：'项目运营期投料产生的物料粉尘，其污染因子为颗粒物，执行广东省地方标准《大气污染物排放限值》（DB44/27-2001）中表2第二时段二级标准以及第二时段无组织排放监测点浓度限值。'；'TVOC有组织排放执行广东省《固定污染源挥发性有机物综合排放标准》（DB44/2367-2022）表1挥发性有机物排放限值；厂区内VOCs执行广东省《固定污染源挥发性有机物综合排放标准》（DB44/2367-2022）表3厂区内VOCs无组织排放限值。'；'恶臭臭气浓度排放执行《恶臭污染物排放标准》（GB14554-1993）表1恶臭污染物厂界二级新扩改建标准值以及表2恶臭污染物排放标准值。'
3.</x:v>
      </x:c>
      <x:c r="K19" s="51" t="str">
        <x:v>emission-standard-kb.jsonl; DB44/26-2001; DB44/2367-2022; GB31572-2015; GB14554-93; GB12348-2008; GB18597-2023; GB18599-2020</x:v>
      </x:c>
      <x:c r="L19" s="51" t="str">
        <x:v>2</x:v>
      </x:c>
      <x:c r="M19" s="51" t="str">
        <x:v>2</x:v>
      </x:c>
      <x:c r="N19" s="51" t="str">
        <x:v>False</x:v>
      </x:c>
      <x:c r="O19" s="51" t="str">
        <x:v>存在缺漏</x:v>
      </x:c>
      <x:c r="P19" s="51"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19" s="51"/>
      <x:c r="R19" s="51"/>
      <x:c r="S19" s="51" t="str">
        <x:v>是</x:v>
      </x:c>
      <x:c r="T19" s="51" t="str">
        <x:v>原综合排放标准问答对拆分而来</x:v>
      </x:c>
      <x:c r="U19" s="51" t="str">
        <x:v>30份环评_污染物排放控制执行标准复核QA(拆分版)</x:v>
      </x:c>
      <x:c r="V19" s="51" t="str">
        <x:v>大气污染物排放标准</x:v>
      </x:c>
      <x:c r="W19" s="51" t="str">
        <x:v>存在缺漏</x:v>
      </x:c>
      <x:c r="X19" s="51" t="str">
        <x:v>存在缺漏</x:v>
      </x:c>
      <x:c r="Y19" s="65"/>
      <x:c r="Z19" s="65" t="str">
        <x:v>未复核</x:v>
      </x:c>
      <x:c r="AA19" s="65" t="str">
        <x:v>部分充分</x:v>
      </x:c>
      <x:c r="AB19" s="65" t="str">
        <x:v>有效</x:v>
      </x:c>
      <x:c r="AC19" s="65" t="str">
        <x:v>部分核验</x:v>
      </x:c>
      <x:c r="AD19" s="65" t="str">
        <x:v>自动默认</x:v>
      </x:c>
      <x:c r="AE19" s="65" t="str">
        <x:v>趋势实验候选</x:v>
      </x:c>
      <x:c r="AF19" s="65" t="str">
        <x:v>A_仅待终审</x:v>
      </x:c>
      <x:c r="AG19" s="65"/>
      <x:c r="AH19" s="65"/>
      <x:c r="AI19" s="65"/>
      <x:c r="AJ19" s="65"/>
      <x:c r="AK19" s="65"/>
      <x:c r="AL19" s="65"/>
      <x:c r="AM19" s="65"/>
      <x:c r="AN19" s="51" t="str">
        <x:v>67</x:v>
      </x:c>
      <x:c r="AO19" s="51" t="str">
        <x:v>MAP_存在缺漏</x:v>
      </x:c>
      <x:c r="AP19" s="51" t="str">
        <x:v>存在报告证据，但尚未经人工逐项核验；已列依据来源，但未在本阶段逐条核验</x:v>
      </x:c>
      <x:c r="AQ19" s="65"/>
      <x:c r="AR19" s="51" t="str">
        <x:v>air_emission_standard</x:v>
      </x:c>
      <x:c r="AS19" s="51" t="str">
        <x:v>L3_analysis</x:v>
      </x:c>
      <x:c r="AT19" s="51" t="str">
        <x:v>multi_evidence_synthesis</x:v>
      </x:c>
      <x:c r="AU19" s="51" t="str">
        <x:v>basis_grounding</x:v>
      </x:c>
      <x:c r="AV19" s="51" t="str">
        <x:v>report_grounding；evidence_integration</x:v>
      </x:c>
      <x:c r="AW19" s="51" t="str">
        <x:v>high</x:v>
      </x:c>
      <x:c r="AX19" s="51" t="str">
        <x:v>high</x:v>
      </x:c>
      <x:c r="AY19" s="51" t="str">
        <x:v>report_plus_external</x:v>
      </x:c>
      <x:c r="AZ19" s="51" t="str">
        <x:v>True</x:v>
      </x:c>
      <x:c r="BA19" s="51"/>
      <x:c r="BB19" s="51" t="str">
        <x:v>auto_default</x:v>
      </x:c>
      <x:c r="BC19" s="51" t="str">
        <x:v>v1</x:v>
      </x:c>
      <x:c r="BD19" s="69"/>
    </x:row>
  </x:sheetData>
  <x:conditionalFormatting sqref="AP2:AP19">
    <x:cfRule type="expression" dxfId="15" priority="1">
      <x:formula>LEN(AP2)&gt;0</x:formula>
    </x:cfRule>
  </x:conditionalFormatting>
  <x:conditionalFormatting sqref="AA2:AA19">
    <x:cfRule type="cellIs" dxfId="16" priority="2" operator="equal">
      <x:formula>"不足"</x:formula>
    </x:cfRule>
  </x:conditionalFormatting>
  <x:conditionalFormatting sqref="Z2:Z19">
    <x:cfRule type="cellIs" dxfId="17" priority="3" operator="equal">
      <x:formula>"已冻结"</x:formula>
    </x:cfRule>
  </x:conditionalFormatting>
  <x:dataValidations count="8">
    <x:dataValidation type="list" sqref="Y2:Y19">
      <x:formula1>"无误,存在错误,存在缺漏,证据不足,需人工复核,待判断"</x:formula1>
    </x:dataValidation>
    <x:dataValidation type="list" sqref="Z2:Z19">
      <x:formula1>"未复核,一审完成,二审完成,已裁决,已冻结,排除"</x:formula1>
    </x:dataValidation>
    <x:dataValidation type="list" sqref="AA2:AA19">
      <x:formula1>"充分,部分充分,不足,原始材料缺失,待判断"</x:formula1>
    </x:dataValidation>
    <x:dataValidation type="list" sqref="AB2:AB19">
      <x:formula1>"有效,表述歧义,字段错位,题答不匹配,重复,原始材料缺失,排除,待判断"</x:formula1>
    </x:dataValidation>
    <x:dataValidation type="list" sqref="AC2:AC19">
      <x:formula1>"已核验,部分核验,未核验,不需要外部依据,待判断"</x:formula1>
    </x:dataValidation>
    <x:dataValidation type="list" sqref="AD2:AD19">
      <x:formula1>"自动默认,人工确认,人工覆盖"</x:formula1>
    </x:dataValidation>
    <x:dataValidation type="list" sqref="AE2:AE19">
      <x:formula1>"候选池,趋势实验候选,趋势实验冻结,正式实验候选,正式实验冻结,排除"</x:formula1>
    </x:dataValidation>
    <x:dataValidation type="list" sqref="AF2:AF19">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1a4c06af6bc2497e"/>
  </x:tableParts>
</x:worksheet>
</file>

<file path=xl/worksheets/sheet9.xml><?xml version="1.0" encoding="utf-8"?>
<x:worksheet xmlns:x="http://schemas.openxmlformats.org/spreadsheetml/2006/main">
  <x:sheetViews>
    <x:sheetView showGridLines="0" workbookViewId="0"/>
  </x:sheetViews>
  <x:sheetFormatPr defaultRowHeight="15"/>
  <x:cols>
    <x:col min="1" max="1" width="13" hidden="0" customWidth="1"/>
    <x:col min="2" max="2" width="13" hidden="0" customWidth="1"/>
    <x:col min="3" max="3" width="13" hidden="0" customWidth="1"/>
    <x:col min="4" max="4" width="23" hidden="0" customWidth="1"/>
    <x:col min="5" max="5" width="23" hidden="0" customWidth="1"/>
    <x:col min="6" max="6" width="23" hidden="0" customWidth="1"/>
    <x:col min="7" max="7" width="23" hidden="0" customWidth="1"/>
    <x:col min="8" max="8" width="42" hidden="0" customWidth="1"/>
    <x:col min="9" max="9" width="42" hidden="0" customWidth="1"/>
    <x:col min="10" max="10" width="42" hidden="0" customWidth="1"/>
    <x:col min="11" max="11" width="42" hidden="0" customWidth="1"/>
    <x:col min="12" max="12" width="20" hidden="0" customWidth="1"/>
    <x:col min="13" max="13" width="20" hidden="0" customWidth="1"/>
    <x:col min="14" max="14" width="20" hidden="0" customWidth="1"/>
    <x:col min="15" max="15" width="20" hidden="0" customWidth="1"/>
    <x:col min="16" max="16" width="20" hidden="0" customWidth="1"/>
    <x:col min="17" max="17" width="20" hidden="0" customWidth="1"/>
    <x:col min="18" max="18" width="20" hidden="0" customWidth="1"/>
    <x:col min="19" max="19" width="20" hidden="0" customWidth="1"/>
    <x:col min="20" max="20" width="20" hidden="0" customWidth="1"/>
    <x:col min="21" max="21" width="20" hidden="0" customWidth="1"/>
    <x:col min="22" max="22" width="20" hidden="0" customWidth="1"/>
    <x:col min="23" max="23" width="22" hidden="0" customWidth="1"/>
    <x:col min="24" max="24" width="22" hidden="0" customWidth="1"/>
    <x:col min="25" max="25" width="22" hidden="0" customWidth="1"/>
    <x:col min="26" max="26" width="22" hidden="0" customWidth="1"/>
    <x:col min="27" max="27" width="22" hidden="0" customWidth="1"/>
    <x:col min="28" max="28" width="22" hidden="0" customWidth="1"/>
    <x:col min="29" max="29" width="22" hidden="0" customWidth="1"/>
    <x:col min="30" max="30" width="22" hidden="0" customWidth="1"/>
    <x:col min="31" max="31" width="22" hidden="0" customWidth="1"/>
    <x:col min="32" max="32" width="22" hidden="0" customWidth="1"/>
    <x:col min="33" max="33" width="22" hidden="0" customWidth="1"/>
    <x:col min="34" max="34" width="22" hidden="0" customWidth="1"/>
    <x:col min="35" max="35" width="22" hidden="0" customWidth="1"/>
    <x:col min="36" max="36" width="22" hidden="0" customWidth="1"/>
    <x:col min="37" max="37" width="22" hidden="0" customWidth="1"/>
    <x:col min="38" max="38" width="22" hidden="0" customWidth="1"/>
    <x:col min="39" max="39" width="22" hidden="0" customWidth="1"/>
    <x:col min="40" max="40" width="22" hidden="0" customWidth="1"/>
    <x:col min="41" max="41" width="22" hidden="0" customWidth="1"/>
    <x:col min="42" max="42" width="22" hidden="0" customWidth="1"/>
    <x:col min="43" max="43" width="22" hidden="0" customWidth="1"/>
    <x:col min="44" max="44" width="22" hidden="0" customWidth="1"/>
    <x:col min="45" max="45" width="22" hidden="0" customWidth="1"/>
    <x:col min="46" max="46" width="22" hidden="0" customWidth="1"/>
    <x:col min="47" max="47" width="22" hidden="0" customWidth="1"/>
    <x:col min="48" max="48" width="22" hidden="0" customWidth="1"/>
    <x:col min="49" max="49" width="22" hidden="0" customWidth="1"/>
    <x:col min="50" max="50" width="22" hidden="0" customWidth="1"/>
    <x:col min="51" max="51" width="22" hidden="0" customWidth="1"/>
    <x:col min="52" max="52" width="22" hidden="0" customWidth="1"/>
    <x:col min="53" max="53" width="22" hidden="0" customWidth="1"/>
    <x:col min="54" max="54" width="22" hidden="0" customWidth="1"/>
    <x:col min="55" max="55" width="22" hidden="0" customWidth="1"/>
    <x:col min="56" max="56" width="22" hidden="0" customWidth="1"/>
  </x:cols>
  <x:sheetData>
    <x:row r="1">
      <x:c r="A1" s="42" t="str">
        <x:v>date</x:v>
      </x:c>
      <x:c r="B1" s="43" t="str">
        <x:v>canonical_project_id</x:v>
      </x:c>
      <x:c r="C1" s="43" t="str">
        <x:v>version_round</x:v>
      </x:c>
      <x:c r="D1" s="43" t="str">
        <x:v>report_name</x:v>
      </x:c>
      <x:c r="E1" s="43" t="str">
        <x:v>project_name</x:v>
      </x:c>
      <x:c r="F1" s="43" t="str">
        <x:v>question_id</x:v>
      </x:c>
      <x:c r="G1" s="43" t="str">
        <x:v>audit_module</x:v>
      </x:c>
      <x:c r="H1" s="43" t="str">
        <x:v>question</x:v>
      </x:c>
      <x:c r="I1" s="43" t="str">
        <x:v>answer</x:v>
      </x:c>
      <x:c r="J1" s="43" t="str">
        <x:v>evidence</x:v>
      </x:c>
      <x:c r="K1" s="43" t="str">
        <x:v>source_basis</x:v>
      </x:c>
      <x:c r="L1" s="43" t="str">
        <x:v>scarcity_check</x:v>
      </x:c>
      <x:c r="M1" s="43" t="str">
        <x:v>verifiability_check</x:v>
      </x:c>
      <x:c r="N1" s="43" t="str">
        <x:v>manual_check</x:v>
      </x:c>
      <x:c r="O1" s="43" t="str">
        <x:v>人工判断</x:v>
      </x:c>
      <x:c r="P1" s="43" t="str">
        <x:v>人工备注</x:v>
      </x:c>
      <x:c r="Q1" s="43" t="str">
        <x:v>润色后答案</x:v>
      </x:c>
      <x:c r="R1" s="43" t="str">
        <x:v>修改类型</x:v>
      </x:c>
      <x:c r="S1" s="43" t="str">
        <x:v>是否需要人工复核</x:v>
      </x:c>
      <x:c r="T1" s="43" t="str">
        <x:v>AI标注备注</x:v>
      </x:c>
      <x:c r="U1" s="43" t="str">
        <x:v>来源文件</x:v>
      </x:c>
      <x:c r="V1" s="43" t="str">
        <x:v>审核类别</x:v>
      </x:c>
      <x:c r="W1" s="44" t="str">
        <x:v>raw_manual_judgement</x:v>
      </x:c>
      <x:c r="X1" s="44" t="str">
        <x:v>normalized_judgement_candidate</x:v>
      </x:c>
      <x:c r="Y1" s="44" t="str">
        <x:v>normalized_judgement_final</x:v>
      </x:c>
      <x:c r="Z1" s="44" t="str">
        <x:v>gold_review_status</x:v>
      </x:c>
      <x:c r="AA1" s="44" t="str">
        <x:v>evidence_sufficiency</x:v>
      </x:c>
      <x:c r="AB1" s="44" t="str">
        <x:v>item_quality_status</x:v>
      </x:c>
      <x:c r="AC1" s="44" t="str">
        <x:v>basis_verification_status</x:v>
      </x:c>
      <x:c r="AD1" s="44" t="str">
        <x:v>taxonomy_review_status</x:v>
      </x:c>
      <x:c r="AE1" s="44" t="str">
        <x:v>experiment_inclusion</x:v>
      </x:c>
      <x:c r="AF1" s="44" t="str">
        <x:v>review_queue_type</x:v>
      </x:c>
      <x:c r="AG1" s="44" t="str">
        <x:v>reviewer_1</x:v>
      </x:c>
      <x:c r="AH1" s="44" t="str">
        <x:v>reviewer_1_date</x:v>
      </x:c>
      <x:c r="AI1" s="44" t="str">
        <x:v>reviewer_2</x:v>
      </x:c>
      <x:c r="AJ1" s="44" t="str">
        <x:v>reviewer_2_date</x:v>
      </x:c>
      <x:c r="AK1" s="44" t="str">
        <x:v>adjudicator</x:v>
      </x:c>
      <x:c r="AL1" s="44" t="str">
        <x:v>adjudication_note</x:v>
      </x:c>
      <x:c r="AM1" s="44" t="str">
        <x:v>gold_version</x:v>
      </x:c>
      <x:c r="AN1" s="44" t="str">
        <x:v>source_row_number</x:v>
      </x:c>
      <x:c r="AO1" s="44" t="str">
        <x:v>auto_mapping_rule</x:v>
      </x:c>
      <x:c r="AP1" s="44" t="str">
        <x:v>auto_flag_reason</x:v>
      </x:c>
      <x:c r="AQ1" s="44" t="str">
        <x:v>human_review_note</x:v>
      </x:c>
      <x:c r="AR1" s="45" t="str">
        <x:v>audit_domain</x:v>
      </x:c>
      <x:c r="AS1" s="45" t="str">
        <x:v>cognitive_level</x:v>
      </x:c>
      <x:c r="AT1" s="45" t="str">
        <x:v>reasoning_type</x:v>
      </x:c>
      <x:c r="AU1" s="45" t="str">
        <x:v>primary_functional_capability</x:v>
      </x:c>
      <x:c r="AV1" s="45" t="str">
        <x:v>secondary_capabilities</x:v>
      </x:c>
      <x:c r="AW1" s="45" t="str">
        <x:v>knowledge_dependency</x:v>
      </x:c>
      <x:c r="AX1" s="45" t="str">
        <x:v>workflow_dependency</x:v>
      </x:c>
      <x:c r="AY1" s="45" t="str">
        <x:v>evidence_span</x:v>
      </x:c>
      <x:c r="AZ1" s="45" t="str">
        <x:v>template_default_used</x:v>
      </x:c>
      <x:c r="BA1" s="45" t="str">
        <x:v>taxonomy_source_override_reason</x:v>
      </x:c>
      <x:c r="BB1" s="45" t="str">
        <x:v>classification_status</x:v>
      </x:c>
      <x:c r="BC1" s="45" t="str">
        <x:v>taxonomy_version</x:v>
      </x:c>
      <x:c r="BD1" s="46" t="str">
        <x:v>taxonomy_override_reason</x:v>
      </x:c>
    </x:row>
    <x:row r="2" ht="36" customHeight="1">
      <x:c r="A2" s="47" t="str">
        <x:v>2026-07-27</x:v>
      </x:c>
      <x:c r="B2" s="48" t="str">
        <x:v>PL002</x:v>
      </x:c>
      <x:c r="C2" s="48" t="str">
        <x:v>V01</x:v>
      </x:c>
      <x:c r="D2" s="48" t="str">
        <x:v>PL002_佛山市顺德区启卓工程塑料实业有限公司搬迁项目_01_核查材料.docx</x:v>
      </x:c>
      <x:c r="E2" s="48" t="str">
        <x:v>佛山市顺德区启卓工程塑料实业有限公司搬迁项目</x:v>
      </x:c>
      <x:c r="F2" s="48" t="str">
        <x:v>PL002_Emission_噪声</x:v>
      </x:c>
      <x:c r="G2" s="48" t="str">
        <x:v>污染物排放标准-噪声排放标准</x:v>
      </x:c>
      <x:c r="H2" s="48" t="str">
        <x:v>请根据项目所属声环境功能区类别，判断噪声排放标准选取是否合理。要求总结声功能区类型、厂界执行标准（GB12348-2008）及昼夜限值，并与环评编制内容进行一致性分析。</x:v>
      </x:c>
      <x:c r="I2" s="48" t="str">
        <x:v>1、噪声排放标准中执行标准与排放限值内容：无误；
2、无误。项目厂界执行GB12348-2008中3类标准（昼间≤65dB(A)、夜间≤55dB(A)），与项目所在的工业区声功能区划相符。</x:v>
      </x:c>
      <x:c r="J2" s="48" t="str">
        <x:v>噪声标准原文："项目厂界外1m执行《工业企业厂界环境噪声排放标准》（GB12348-2008）中的3类标准：昼间≤65dB(A)、夜间≤55dB(A)。"</x:v>
      </x:c>
      <x:c r="K2" s="48" t="str">
        <x:v>emission-standard-kb.jsonl; DB44/26-2001; DB44/2367-2022; GB31572-2015; GB14554-93; GB12348-2008; GB18597-2023; GB18599-2020</x:v>
      </x:c>
      <x:c r="L2" s="48" t="str">
        <x:v>2</x:v>
      </x:c>
      <x:c r="M2" s="48" t="str">
        <x:v>2</x:v>
      </x:c>
      <x:c r="N2" s="48" t="str">
        <x:v>False</x:v>
      </x:c>
      <x:c r="O2" s="48" t="str">
        <x:v>无误</x:v>
      </x:c>
      <x:c r="P2" s="48" t="str">
        <x:v>水:无误；气:无误；噪声:无误；固废:存在缺漏</x:v>
      </x:c>
      <x:c r="Q2" s="48"/>
      <x:c r="R2" s="48"/>
      <x:c r="S2" s="48" t="str">
        <x:v>否</x:v>
      </x:c>
      <x:c r="T2" s="48" t="str">
        <x:v>原综合排放标准问答对拆分而来</x:v>
      </x:c>
      <x:c r="U2" s="48" t="str">
        <x:v>30份环评_污染物排放控制执行标准复核QA(拆分版)</x:v>
      </x:c>
      <x:c r="V2" s="48" t="str">
        <x:v>噪声排放标准</x:v>
      </x:c>
      <x:c r="W2" s="48" t="str">
        <x:v>无误</x:v>
      </x:c>
      <x:c r="X2" s="48" t="str">
        <x:v>无误</x:v>
      </x:c>
      <x:c r="Y2" s="64"/>
      <x:c r="Z2" s="64" t="str">
        <x:v>未复核</x:v>
      </x:c>
      <x:c r="AA2" s="64" t="str">
        <x:v>部分充分</x:v>
      </x:c>
      <x:c r="AB2" s="64" t="str">
        <x:v>有效</x:v>
      </x:c>
      <x:c r="AC2" s="64" t="str">
        <x:v>部分核验</x:v>
      </x:c>
      <x:c r="AD2" s="64" t="str">
        <x:v>自动默认</x:v>
      </x:c>
      <x:c r="AE2" s="64" t="str">
        <x:v>正式实验候选</x:v>
      </x:c>
      <x:c r="AF2" s="64" t="str">
        <x:v>待分流</x:v>
      </x:c>
      <x:c r="AG2" s="64"/>
      <x:c r="AH2" s="64"/>
      <x:c r="AI2" s="64"/>
      <x:c r="AJ2" s="64"/>
      <x:c r="AK2" s="64"/>
      <x:c r="AL2" s="64"/>
      <x:c r="AM2" s="64"/>
      <x:c r="AN2" s="48" t="str">
        <x:v>14</x:v>
      </x:c>
      <x:c r="AO2" s="48" t="str">
        <x:v>MAP_无误</x:v>
      </x:c>
      <x:c r="AP2" s="48" t="str">
        <x:v>存在报告证据，但尚未经人工逐项核验；已列依据来源，但未在本阶段逐条核验</x:v>
      </x:c>
      <x:c r="AQ2" s="64"/>
      <x:c r="AR2" s="48" t="str">
        <x:v>noise_emission_standard</x:v>
      </x:c>
      <x:c r="AS2" s="48" t="str">
        <x:v>L2_application</x:v>
      </x:c>
      <x:c r="AT2" s="48" t="str">
        <x:v>rule_applicability</x:v>
      </x:c>
      <x:c r="AU2" s="48" t="str">
        <x:v>basis_grounding</x:v>
      </x:c>
      <x:c r="AV2" s="48" t="str">
        <x:v>report_grounding</x:v>
      </x:c>
      <x:c r="AW2" s="48" t="str">
        <x:v>high</x:v>
      </x:c>
      <x:c r="AX2" s="48" t="str">
        <x:v>medium</x:v>
      </x:c>
      <x:c r="AY2" s="48" t="str">
        <x:v>report_plus_external</x:v>
      </x:c>
      <x:c r="AZ2" s="48" t="str">
        <x:v>True</x:v>
      </x:c>
      <x:c r="BA2" s="48"/>
      <x:c r="BB2" s="48" t="str">
        <x:v>auto_default</x:v>
      </x:c>
      <x:c r="BC2" s="48" t="str">
        <x:v>v1</x:v>
      </x:c>
      <x:c r="BD2" s="68"/>
    </x:row>
    <x:row r="3" ht="36" customHeight="1">
      <x:c r="A3" s="47" t="str">
        <x:v>2026-07-27</x:v>
      </x:c>
      <x:c r="B3" s="48" t="str">
        <x:v>PL001</x:v>
      </x:c>
      <x:c r="C3" s="48" t="str">
        <x:v>V01</x:v>
      </x:c>
      <x:c r="D3" s="48" t="str">
        <x:v>PL001_佛山市亮正新材料有限公司新建项目_01_核查材料.docx</x:v>
      </x:c>
      <x:c r="E3" s="48" t="str">
        <x:v>佛山市亮正新材料有限公司新建项目</x:v>
      </x:c>
      <x:c r="F3" s="48" t="str">
        <x:v>PL001_Emission_噪声</x:v>
      </x:c>
      <x:c r="G3" s="48" t="str">
        <x:v>污染物排放标准-噪声排放标准</x:v>
      </x:c>
      <x:c r="H3" s="48" t="str">
        <x:v>请根据项目所属声环境功能区类别，判断噪声排放标准选取是否合理。要求总结声功能区类型、厂界执行标准（GB12348-2008）及昼夜限值，并与环评编制内容进行一致性分析。</x:v>
      </x:c>
      <x:c r="I3" s="48" t="str">
        <x:v>1、噪声排放标准中执行标准与排放限值内容：存在缺漏；
2、存在缺漏。项目厂界执行GB12348-2008中2类标准（昼间≤60dB(A)、夜间≤50dB(A)），但报告未引用声环境功能区划文件作为依据，无法判断2类标准选取是否准确。同区域其他项目（PL002-PL005）均执行3类标准，本项目执行2类标准缺乏依据说明。</x:v>
      </x:c>
      <x:c r="J3" s="48" t="str">
        <x:v>噪声标准原文："项目厂界外1m执行《工业企业厂界环境噪声排放标准》（GB12348-2008）中的2类标准：昼间≤60dB(A)、夜间≤50dB(A)。"</x:v>
      </x:c>
      <x:c r="K3" s="48" t="str">
        <x:v>emission-standard-kb.jsonl; DB44/26-2001; DB44/2367-2022; GB31572-2015; GB14554-93; GB12348-2008; GB18597-2023; GB18599-2020</x:v>
      </x:c>
      <x:c r="L3" s="48" t="str">
        <x:v>2</x:v>
      </x:c>
      <x:c r="M3" s="48" t="str">
        <x:v>2</x:v>
      </x:c>
      <x:c r="N3" s="48" t="str">
        <x:v>False</x:v>
      </x:c>
      <x:c r="O3" s="48" t="str">
        <x:v>存在缺漏</x:v>
      </x:c>
      <x:c r="P3" s="48" t="str">
        <x:v>水:存在错误；气:存在缺漏；噪声:存在缺漏；固废:存在缺漏</x:v>
      </x:c>
      <x:c r="Q3" s="48"/>
      <x:c r="R3" s="48"/>
      <x:c r="S3" s="48" t="str">
        <x:v>是</x:v>
      </x:c>
      <x:c r="T3" s="48" t="str">
        <x:v>原综合排放标准问答对拆分而来</x:v>
      </x:c>
      <x:c r="U3" s="48" t="str">
        <x:v>30份环评_污染物排放控制执行标准复核QA(拆分版)</x:v>
      </x:c>
      <x:c r="V3" s="48" t="str">
        <x:v>噪声排放标准</x:v>
      </x:c>
      <x:c r="W3" s="48" t="str">
        <x:v>存在缺漏</x:v>
      </x:c>
      <x:c r="X3" s="48" t="str">
        <x:v>存在缺漏</x:v>
      </x:c>
      <x:c r="Y3" s="64"/>
      <x:c r="Z3" s="64" t="str">
        <x:v>未复核</x:v>
      </x:c>
      <x:c r="AA3" s="64" t="str">
        <x:v>不足</x:v>
      </x:c>
      <x:c r="AB3" s="64" t="str">
        <x:v>有效</x:v>
      </x:c>
      <x:c r="AC3" s="64" t="str">
        <x:v>部分核验</x:v>
      </x:c>
      <x:c r="AD3" s="64" t="str">
        <x:v>自动默认</x:v>
      </x:c>
      <x:c r="AE3" s="64" t="str">
        <x:v>正式实验候选</x:v>
      </x:c>
      <x:c r="AF3" s="64" t="str">
        <x:v>B_证据不足</x:v>
      </x:c>
      <x:c r="AG3" s="64"/>
      <x:c r="AH3" s="64"/>
      <x:c r="AI3" s="64"/>
      <x:c r="AJ3" s="64"/>
      <x:c r="AK3" s="64"/>
      <x:c r="AL3" s="64"/>
      <x:c r="AM3" s="64"/>
      <x:c r="AN3" s="48" t="str">
        <x:v>7</x:v>
      </x:c>
      <x:c r="AO3" s="48" t="str">
        <x:v>MAP_存在缺漏</x:v>
      </x:c>
      <x:c r="AP3" s="48" t="str">
        <x:v>命中证据不足候选词：无法判断；已列依据来源，但未在本阶段逐条核验</x:v>
      </x:c>
      <x:c r="AQ3" s="64"/>
      <x:c r="AR3" s="48" t="str">
        <x:v>noise_emission_standard</x:v>
      </x:c>
      <x:c r="AS3" s="48" t="str">
        <x:v>L2_application</x:v>
      </x:c>
      <x:c r="AT3" s="48" t="str">
        <x:v>rule_applicability</x:v>
      </x:c>
      <x:c r="AU3" s="48" t="str">
        <x:v>basis_grounding</x:v>
      </x:c>
      <x:c r="AV3" s="48" t="str">
        <x:v>report_grounding</x:v>
      </x:c>
      <x:c r="AW3" s="48" t="str">
        <x:v>high</x:v>
      </x:c>
      <x:c r="AX3" s="48" t="str">
        <x:v>medium</x:v>
      </x:c>
      <x:c r="AY3" s="48" t="str">
        <x:v>report_plus_external</x:v>
      </x:c>
      <x:c r="AZ3" s="48" t="str">
        <x:v>True</x:v>
      </x:c>
      <x:c r="BA3" s="48"/>
      <x:c r="BB3" s="48" t="str">
        <x:v>auto_default</x:v>
      </x:c>
      <x:c r="BC3" s="48" t="str">
        <x:v>v1</x:v>
      </x:c>
      <x:c r="BD3" s="68"/>
    </x:row>
    <x:row r="4" ht="36" customHeight="1">
      <x:c r="A4" s="47" t="str">
        <x:v>2026-07-27</x:v>
      </x:c>
      <x:c r="B4" s="48" t="str">
        <x:v>PL003</x:v>
      </x:c>
      <x:c r="C4" s="48" t="str">
        <x:v>V01</x:v>
      </x:c>
      <x:c r="D4" s="48" t="str">
        <x:v>PL003_佛山市顺德区康明新材料厂新建项目_01_核查材料.docx</x:v>
      </x:c>
      <x:c r="E4" s="48" t="str">
        <x:v>佛山市顺德区康明新材料厂新建项目</x:v>
      </x:c>
      <x:c r="F4" s="48" t="str">
        <x:v>PL003_Emission_噪声</x:v>
      </x:c>
      <x:c r="G4" s="48" t="str">
        <x:v>污染物排放标准-噪声排放标准</x:v>
      </x:c>
      <x:c r="H4" s="48" t="str">
        <x:v>请根据项目所属声环境功能区类别，判断噪声排放标准选取是否合理。要求总结声功能区类型、厂界执行标准（GB12348-2008）及昼夜限值，并与环评编制内容进行一致性分析。</x:v>
      </x:c>
      <x:c r="I4" s="48" t="str">
        <x:v>1、噪声排放标准中执行标准与排放限值内容：无误；
2、无误。项目边界噪声执行GB12348-2008中3类区标准，与工业区声功能区划相符。</x:v>
      </x:c>
      <x:c r="J4" s="48" t="str">
        <x:v>噪声标准原文："本项目营运期边界噪声执行《工业企业厂界环境噪声排放标准》（GB12348-2008）3类区标准。"</x:v>
      </x:c>
      <x:c r="K4" s="48" t="str">
        <x:v>emission-standard-kb.jsonl; DB44/26-2001; DB44/2367-2022; GB31572-2015; GB14554-93; GB12348-2008; GB18597-2023; GB18599-2020</x:v>
      </x:c>
      <x:c r="L4" s="48" t="str">
        <x:v>2</x:v>
      </x:c>
      <x:c r="M4" s="48" t="str">
        <x:v>2</x:v>
      </x:c>
      <x:c r="N4" s="48" t="str">
        <x:v>False</x:v>
      </x:c>
      <x:c r="O4" s="48" t="str">
        <x:v>无误</x:v>
      </x:c>
      <x:c r="P4" s="48" t="str">
        <x:v>水:无误；气:存在错误；噪声:无误；固废:存在缺漏</x:v>
      </x:c>
      <x:c r="Q4" s="48"/>
      <x:c r="R4" s="48"/>
      <x:c r="S4" s="48" t="str">
        <x:v>否</x:v>
      </x:c>
      <x:c r="T4" s="48" t="str">
        <x:v>原综合排放标准问答对拆分而来</x:v>
      </x:c>
      <x:c r="U4" s="48" t="str">
        <x:v>30份环评_污染物排放控制执行标准复核QA(拆分版)</x:v>
      </x:c>
      <x:c r="V4" s="48" t="str">
        <x:v>噪声排放标准</x:v>
      </x:c>
      <x:c r="W4" s="48" t="str">
        <x:v>无误</x:v>
      </x:c>
      <x:c r="X4" s="48" t="str">
        <x:v>无误</x:v>
      </x:c>
      <x:c r="Y4" s="64"/>
      <x:c r="Z4" s="64" t="str">
        <x:v>未复核</x:v>
      </x:c>
      <x:c r="AA4" s="64" t="str">
        <x:v>部分充分</x:v>
      </x:c>
      <x:c r="AB4" s="64" t="str">
        <x:v>有效</x:v>
      </x:c>
      <x:c r="AC4" s="64" t="str">
        <x:v>部分核验</x:v>
      </x:c>
      <x:c r="AD4" s="64" t="str">
        <x:v>自动默认</x:v>
      </x:c>
      <x:c r="AE4" s="64" t="str">
        <x:v>正式实验候选</x:v>
      </x:c>
      <x:c r="AF4" s="64" t="str">
        <x:v>待分流</x:v>
      </x:c>
      <x:c r="AG4" s="64"/>
      <x:c r="AH4" s="64"/>
      <x:c r="AI4" s="64"/>
      <x:c r="AJ4" s="64"/>
      <x:c r="AK4" s="64"/>
      <x:c r="AL4" s="64"/>
      <x:c r="AM4" s="64"/>
      <x:c r="AN4" s="48" t="str">
        <x:v>21</x:v>
      </x:c>
      <x:c r="AO4" s="48" t="str">
        <x:v>MAP_无误</x:v>
      </x:c>
      <x:c r="AP4" s="48" t="str">
        <x:v>存在报告证据，但尚未经人工逐项核验；已列依据来源，但未在本阶段逐条核验</x:v>
      </x:c>
      <x:c r="AQ4" s="64"/>
      <x:c r="AR4" s="48" t="str">
        <x:v>noise_emission_standard</x:v>
      </x:c>
      <x:c r="AS4" s="48" t="str">
        <x:v>L2_application</x:v>
      </x:c>
      <x:c r="AT4" s="48" t="str">
        <x:v>rule_applicability</x:v>
      </x:c>
      <x:c r="AU4" s="48" t="str">
        <x:v>basis_grounding</x:v>
      </x:c>
      <x:c r="AV4" s="48" t="str">
        <x:v>report_grounding</x:v>
      </x:c>
      <x:c r="AW4" s="48" t="str">
        <x:v>high</x:v>
      </x:c>
      <x:c r="AX4" s="48" t="str">
        <x:v>medium</x:v>
      </x:c>
      <x:c r="AY4" s="48" t="str">
        <x:v>report_plus_external</x:v>
      </x:c>
      <x:c r="AZ4" s="48" t="str">
        <x:v>True</x:v>
      </x:c>
      <x:c r="BA4" s="48"/>
      <x:c r="BB4" s="48" t="str">
        <x:v>auto_default</x:v>
      </x:c>
      <x:c r="BC4" s="48" t="str">
        <x:v>v1</x:v>
      </x:c>
      <x:c r="BD4" s="68"/>
    </x:row>
    <x:row r="5" ht="36" customHeight="1">
      <x:c r="A5" s="47" t="str">
        <x:v>2026-07-27</x:v>
      </x:c>
      <x:c r="B5" s="48" t="str">
        <x:v>PL006</x:v>
      </x:c>
      <x:c r="C5" s="48" t="str">
        <x:v>V01</x:v>
      </x:c>
      <x:c r="D5" s="48" t="str">
        <x:v>PL006_佛山市顺德区乐鲸科技有限公司年产五金拉手300万个新建项目_01_修改评估意见.docx</x:v>
      </x:c>
      <x:c r="E5" s="48" t="str">
        <x:v>佛山市顺德区乐鲸科技有限公司年产五金拉手300万个新建项目</x:v>
      </x:c>
      <x:c r="F5" s="48" t="str">
        <x:v>PL006_Emission_噪声</x:v>
      </x:c>
      <x:c r="G5" s="48" t="str">
        <x:v>污染物排放标准-噪声排放标准</x:v>
      </x:c>
      <x:c r="H5" s="48" t="str">
        <x:v>请根据项目所属声环境功能区类别，判断噪声排放标准选取是否合理。要求总结声功能区类型、厂界执行标准（GB12348-2008）及昼夜限值，并与环评编制内容进行一致性分析。</x:v>
      </x:c>
      <x:c r="I5" s="48" t="str">
        <x:v>1、噪声排放标准中执行标准与排放限值内容：存在缺漏；
2、存在缺漏。报告未列出厂界噪声排放执行标准的名称、编号、声功能区类别及昼夜限值。项目位于工业用地，应执行《工业企业厂界环境噪声排放标准》（GB12348-2008）相应类别标准，但报告未编制。</x:v>
      </x:c>
      <x:c r="J5" s="48" t="str">
        <x:v>【水】“本项目不产生生产废水，生活污水经三级化粪池预处理后，由市政管网引至杏坛污水处理厂进行后续处理，杏坛污水处理厂出水达到《城镇污水处理污染物排放标准》（GB 18918-2002）一级A标准和广东省地方标准《水污染物排放限值》（DB44/26-2001）第二时段一级标准中的较严者的要求。”【大气】“本项目喷纳米油、烘干产生的有机废气、颗粒物收集后通过‘水帘柜+喷淋塔+干式过滤器+二级活性炭吸附’进行处理，处理达标后通过28米排气筒DA001排放”（但未列出具体执行标准）。【噪声/固废】排放标准章节文本中未检出噪声和固体废物控制标准的编制内容。</x:v>
      </x:c>
      <x:c r="K5" s="48" t="str">
        <x:v>emission-standard-kb.jsonl; DB44/26-2001; DB44/2367-2022; GB31572-2015; GB14554-93; GB12348-2008; GB18597-2023; GB18599-2020</x:v>
      </x:c>
      <x:c r="L5" s="48" t="str">
        <x:v>2</x:v>
      </x:c>
      <x:c r="M5" s="48" t="str">
        <x:v>2</x:v>
      </x:c>
      <x:c r="N5" s="48" t="str">
        <x:v>False</x:v>
      </x:c>
      <x:c r="O5" s="48" t="str">
        <x:v>存在缺漏</x:v>
      </x:c>
      <x:c r="P5" s="48" t="str">
        <x:v>水：存在缺漏——企业排口标准未填报，标准名称遗漏“厂”字；大气：存在缺漏——喷涂/烘干工序VOCs和颗粒物排放标准全部缺失；噪声：存在缺漏——厂界噪声排放标准未编制；固废：存在缺漏——一般固废和危废控制标准均未编制。</x:v>
      </x:c>
      <x:c r="Q5" s="48"/>
      <x:c r="R5" s="48"/>
      <x:c r="S5" s="48" t="str">
        <x:v>是</x:v>
      </x:c>
      <x:c r="T5" s="48" t="str">
        <x:v>原综合排放标准问答对拆分而来</x:v>
      </x:c>
      <x:c r="U5" s="48" t="str">
        <x:v>30份环评_污染物排放控制执行标准复核QA(拆分版)</x:v>
      </x:c>
      <x:c r="V5" s="48" t="str">
        <x:v>噪声排放标准</x:v>
      </x:c>
      <x:c r="W5" s="48" t="str">
        <x:v>存在缺漏</x:v>
      </x:c>
      <x:c r="X5" s="48" t="str">
        <x:v>存在缺漏</x:v>
      </x:c>
      <x:c r="Y5" s="64"/>
      <x:c r="Z5" s="64" t="str">
        <x:v>未复核</x:v>
      </x:c>
      <x:c r="AA5" s="64" t="str">
        <x:v>部分充分</x:v>
      </x:c>
      <x:c r="AB5" s="64" t="str">
        <x:v>有效</x:v>
      </x:c>
      <x:c r="AC5" s="64" t="str">
        <x:v>部分核验</x:v>
      </x:c>
      <x:c r="AD5" s="64" t="str">
        <x:v>自动默认</x:v>
      </x:c>
      <x:c r="AE5" s="64" t="str">
        <x:v>正式实验候选</x:v>
      </x:c>
      <x:c r="AF5" s="64" t="str">
        <x:v>A_仅待终审</x:v>
      </x:c>
      <x:c r="AG5" s="64"/>
      <x:c r="AH5" s="64"/>
      <x:c r="AI5" s="64"/>
      <x:c r="AJ5" s="64"/>
      <x:c r="AK5" s="64"/>
      <x:c r="AL5" s="64"/>
      <x:c r="AM5" s="64"/>
      <x:c r="AN5" s="48" t="str">
        <x:v>38</x:v>
      </x:c>
      <x:c r="AO5" s="48" t="str">
        <x:v>MAP_存在缺漏</x:v>
      </x:c>
      <x:c r="AP5" s="48" t="str">
        <x:v>存在报告证据，但尚未经人工逐项核验；已列依据来源，但未在本阶段逐条核验</x:v>
      </x:c>
      <x:c r="AQ5" s="64"/>
      <x:c r="AR5" s="48" t="str">
        <x:v>noise_emission_standard</x:v>
      </x:c>
      <x:c r="AS5" s="48" t="str">
        <x:v>L2_application</x:v>
      </x:c>
      <x:c r="AT5" s="48" t="str">
        <x:v>rule_applicability</x:v>
      </x:c>
      <x:c r="AU5" s="48" t="str">
        <x:v>basis_grounding</x:v>
      </x:c>
      <x:c r="AV5" s="48" t="str">
        <x:v>report_grounding</x:v>
      </x:c>
      <x:c r="AW5" s="48" t="str">
        <x:v>high</x:v>
      </x:c>
      <x:c r="AX5" s="48" t="str">
        <x:v>medium</x:v>
      </x:c>
      <x:c r="AY5" s="48" t="str">
        <x:v>report_plus_external</x:v>
      </x:c>
      <x:c r="AZ5" s="48" t="str">
        <x:v>True</x:v>
      </x:c>
      <x:c r="BA5" s="48"/>
      <x:c r="BB5" s="48" t="str">
        <x:v>auto_default</x:v>
      </x:c>
      <x:c r="BC5" s="48" t="str">
        <x:v>v1</x:v>
      </x:c>
      <x:c r="BD5" s="68"/>
    </x:row>
    <x:row r="6" ht="36" customHeight="1">
      <x:c r="A6" s="47" t="str">
        <x:v>2026-07-27</x:v>
      </x:c>
      <x:c r="B6" s="48" t="str">
        <x:v>PL004</x:v>
      </x:c>
      <x:c r="C6" s="48" t="str">
        <x:v>V01</x:v>
      </x:c>
      <x:c r="D6" s="48" t="str">
        <x:v>PL004_恒励新材料科技(佛山)有限公司新建项目_01_核查材料.docx</x:v>
      </x:c>
      <x:c r="E6" s="48" t="str">
        <x:v>恒励新材料科技(佛山)有限公司新建项目</x:v>
      </x:c>
      <x:c r="F6" s="48" t="str">
        <x:v>PL004_Emission_噪声</x:v>
      </x:c>
      <x:c r="G6" s="48" t="str">
        <x:v>污染物排放标准-噪声排放标准</x:v>
      </x:c>
      <x:c r="H6" s="48" t="str">
        <x:v>请根据项目所属声环境功能区类别，判断噪声排放标准选取是否合理。要求总结声功能区类型、厂界执行标准（GB12348-2008）及昼夜限值，并与环评编制内容进行一致性分析。</x:v>
      </x:c>
      <x:c r="I6" s="48" t="str">
        <x:v>1、噪声排放标准中执行标准与排放限值内容：无误；
2、无误。报告引用了《佛山市声环境功能区划》（佛环[2024]1号），明确项目位置属于3321杏坛东部工业区片区，厂界执行GB12348-2008中3类标准（昼间≤65dB(A)、夜间≤55dB(A)），声功能区划依据充分，标准选取准确。</x:v>
      </x:c>
      <x:c r="J6" s="48" t="str">
        <x:v>噪声标准原文："根据佛山市生态环境局关于印发《佛山市声环境功能区划》的通知（佛环[2024]1号），项目位置属于3321杏坛东部工业区片区，厂界外1m执行《工业企业厂界环境噪声排放标准》（GB12348-2008）中的3类标准：昼间≤65dB(A)、夜间≤55dB(A)。"</x:v>
      </x:c>
      <x:c r="K6" s="48" t="str">
        <x:v>emission-standard-kb.jsonl; DB44/26-2001; DB44/2367-2022; GB31572-2015; GB14554-93; GB12348-2008; GB18597-2023; GB18599-2020</x:v>
      </x:c>
      <x:c r="L6" s="48" t="str">
        <x:v>2</x:v>
      </x:c>
      <x:c r="M6" s="48" t="str">
        <x:v>2</x:v>
      </x:c>
      <x:c r="N6" s="48" t="str">
        <x:v>False</x:v>
      </x:c>
      <x:c r="O6" s="48" t="str">
        <x:v>无误</x:v>
      </x:c>
      <x:c r="P6" s="48" t="str">
        <x:v>水:无误；气:存在缺漏；噪声:无误；固废:存在缺漏</x:v>
      </x:c>
      <x:c r="Q6" s="48"/>
      <x:c r="R6" s="48"/>
      <x:c r="S6" s="48" t="str">
        <x:v>否</x:v>
      </x:c>
      <x:c r="T6" s="48" t="str">
        <x:v>原综合排放标准问答对拆分而来</x:v>
      </x:c>
      <x:c r="U6" s="48" t="str">
        <x:v>30份环评_污染物排放控制执行标准复核QA(拆分版)</x:v>
      </x:c>
      <x:c r="V6" s="48" t="str">
        <x:v>噪声排放标准</x:v>
      </x:c>
      <x:c r="W6" s="48" t="str">
        <x:v>无误</x:v>
      </x:c>
      <x:c r="X6" s="48" t="str">
        <x:v>无误</x:v>
      </x:c>
      <x:c r="Y6" s="64"/>
      <x:c r="Z6" s="64" t="str">
        <x:v>未复核</x:v>
      </x:c>
      <x:c r="AA6" s="64" t="str">
        <x:v>部分充分</x:v>
      </x:c>
      <x:c r="AB6" s="64" t="str">
        <x:v>有效</x:v>
      </x:c>
      <x:c r="AC6" s="64" t="str">
        <x:v>部分核验</x:v>
      </x:c>
      <x:c r="AD6" s="64" t="str">
        <x:v>自动默认</x:v>
      </x:c>
      <x:c r="AE6" s="64" t="str">
        <x:v>正式实验候选</x:v>
      </x:c>
      <x:c r="AF6" s="64" t="str">
        <x:v>待分流</x:v>
      </x:c>
      <x:c r="AG6" s="64"/>
      <x:c r="AH6" s="64"/>
      <x:c r="AI6" s="64"/>
      <x:c r="AJ6" s="64"/>
      <x:c r="AK6" s="64"/>
      <x:c r="AL6" s="64"/>
      <x:c r="AM6" s="64"/>
      <x:c r="AN6" s="48" t="str">
        <x:v>28</x:v>
      </x:c>
      <x:c r="AO6" s="48" t="str">
        <x:v>MAP_无误</x:v>
      </x:c>
      <x:c r="AP6" s="48" t="str">
        <x:v>存在报告证据，但尚未经人工逐项核验；已列依据来源，但未在本阶段逐条核验</x:v>
      </x:c>
      <x:c r="AQ6" s="64"/>
      <x:c r="AR6" s="48" t="str">
        <x:v>noise_emission_standard</x:v>
      </x:c>
      <x:c r="AS6" s="48" t="str">
        <x:v>L2_application</x:v>
      </x:c>
      <x:c r="AT6" s="48" t="str">
        <x:v>rule_applicability</x:v>
      </x:c>
      <x:c r="AU6" s="48" t="str">
        <x:v>basis_grounding</x:v>
      </x:c>
      <x:c r="AV6" s="48" t="str">
        <x:v>report_grounding</x:v>
      </x:c>
      <x:c r="AW6" s="48" t="str">
        <x:v>high</x:v>
      </x:c>
      <x:c r="AX6" s="48" t="str">
        <x:v>medium</x:v>
      </x:c>
      <x:c r="AY6" s="48" t="str">
        <x:v>report_plus_external</x:v>
      </x:c>
      <x:c r="AZ6" s="48" t="str">
        <x:v>True</x:v>
      </x:c>
      <x:c r="BA6" s="48"/>
      <x:c r="BB6" s="48" t="str">
        <x:v>auto_default</x:v>
      </x:c>
      <x:c r="BC6" s="48" t="str">
        <x:v>v1</x:v>
      </x:c>
      <x:c r="BD6" s="68"/>
    </x:row>
    <x:row r="7" ht="36" customHeight="1">
      <x:c r="A7" s="47" t="str">
        <x:v>2026-07-27</x:v>
      </x:c>
      <x:c r="B7" s="48" t="str">
        <x:v>PL010</x:v>
      </x:c>
      <x:c r="C7" s="48" t="str">
        <x:v>V01</x:v>
      </x:c>
      <x:c r="D7" s="48" t="str">
        <x:v>PL010_悍高集团股份有限公司功能拉篮车间搬迁扩建项目_01_修改评估意见.docx</x:v>
      </x:c>
      <x:c r="E7" s="48" t="str">
        <x:v>悍高集团股份有限公司功能拉篮车间搬迁扩建项目</x:v>
      </x:c>
      <x:c r="F7" s="48" t="str">
        <x:v>PL010_Emission_噪声</x:v>
      </x:c>
      <x:c r="G7" s="48" t="str">
        <x:v>污染物排放标准-噪声排放标准</x:v>
      </x:c>
      <x:c r="H7" s="48" t="str">
        <x:v>请根据项目所属声环境功能区类别，判断噪声排放标准选取是否合理。要求总结声功能区类型、厂界执行标准（GB12348-2008）及昼夜限值，并与环评编制内容进行一致性分析。</x:v>
      </x:c>
      <x:c r="I7" s="48" t="str">
        <x:v>1、噪声排放标准中执行标准与排放限值内容：存在缺漏；
2、存在缺漏。排放标准章节文本中未列出厂界噪声排放执行标准的名称、编号、声功能区类别及昼夜限值。项目位于工业区域，应执行GB12348-2008相应类别标准，但报告未编制。</x:v>
      </x:c>
      <x:c r="J7" s="48" t="str">
        <x:v>噪声】排放标准章节文本中未检出噪声排放标准的编制内容。</x:v>
      </x:c>
      <x:c r="K7" s="48" t="str">
        <x:v>emission-standard-kb.jsonl; DB44/26-2001; DB44/2367-2022; GB31572-2015; GB14554-93; GB12348-2008; GB18597-2023; GB18599-2020</x:v>
      </x:c>
      <x:c r="L7" s="48" t="str">
        <x:v>2</x:v>
      </x:c>
      <x:c r="M7" s="48" t="str">
        <x:v>2</x:v>
      </x:c>
      <x:c r="N7" s="48" t="str">
        <x:v>False</x:v>
      </x:c>
      <x:c r="O7" s="48" t="str">
        <x:v>存在缺漏</x:v>
      </x:c>
      <x:c r="P7" s="48" t="str">
        <x:v>水：存在缺漏——企业排口标准未填报，生产废水排放标准缺失，DB44/26-2001未注明时段级别；大气：存在缺漏——排放标准全部缺失；噪声：存在缺漏——厂界噪声排放标准未编制；固废：存在缺漏——一般固废和危废控制标准均未编制。</x:v>
      </x:c>
      <x:c r="Q7" s="48"/>
      <x:c r="R7" s="48"/>
      <x:c r="S7" s="48" t="str">
        <x:v>是</x:v>
      </x:c>
      <x:c r="T7" s="48" t="str">
        <x:v>原综合排放标准问答对拆分而来</x:v>
      </x:c>
      <x:c r="U7" s="48" t="str">
        <x:v>30份环评_污染物排放控制执行标准复核QA(拆分版)</x:v>
      </x:c>
      <x:c r="V7" s="48" t="str">
        <x:v>噪声排放标准</x:v>
      </x:c>
      <x:c r="W7" s="48" t="str">
        <x:v>存在缺漏</x:v>
      </x:c>
      <x:c r="X7" s="48" t="str">
        <x:v>存在缺漏</x:v>
      </x:c>
      <x:c r="Y7" s="64"/>
      <x:c r="Z7" s="64" t="str">
        <x:v>未复核</x:v>
      </x:c>
      <x:c r="AA7" s="64" t="str">
        <x:v>部分充分</x:v>
      </x:c>
      <x:c r="AB7" s="64" t="str">
        <x:v>有效</x:v>
      </x:c>
      <x:c r="AC7" s="64" t="str">
        <x:v>部分核验</x:v>
      </x:c>
      <x:c r="AD7" s="64" t="str">
        <x:v>自动默认</x:v>
      </x:c>
      <x:c r="AE7" s="64" t="str">
        <x:v>正式实验候选</x:v>
      </x:c>
      <x:c r="AF7" s="64" t="str">
        <x:v>A_仅待终审</x:v>
      </x:c>
      <x:c r="AG7" s="64"/>
      <x:c r="AH7" s="64"/>
      <x:c r="AI7" s="64"/>
      <x:c r="AJ7" s="64"/>
      <x:c r="AK7" s="64"/>
      <x:c r="AL7" s="64"/>
      <x:c r="AM7" s="64"/>
      <x:c r="AN7" s="48" t="str">
        <x:v>58</x:v>
      </x:c>
      <x:c r="AO7" s="48" t="str">
        <x:v>MAP_存在缺漏</x:v>
      </x:c>
      <x:c r="AP7" s="48" t="str">
        <x:v>存在报告证据，但尚未经人工逐项核验；已列依据来源，但未在本阶段逐条核验</x:v>
      </x:c>
      <x:c r="AQ7" s="64"/>
      <x:c r="AR7" s="48" t="str">
        <x:v>noise_emission_standard</x:v>
      </x:c>
      <x:c r="AS7" s="48" t="str">
        <x:v>L2_application</x:v>
      </x:c>
      <x:c r="AT7" s="48" t="str">
        <x:v>rule_applicability</x:v>
      </x:c>
      <x:c r="AU7" s="48" t="str">
        <x:v>basis_grounding</x:v>
      </x:c>
      <x:c r="AV7" s="48" t="str">
        <x:v>report_grounding</x:v>
      </x:c>
      <x:c r="AW7" s="48" t="str">
        <x:v>high</x:v>
      </x:c>
      <x:c r="AX7" s="48" t="str">
        <x:v>medium</x:v>
      </x:c>
      <x:c r="AY7" s="48" t="str">
        <x:v>report_plus_external</x:v>
      </x:c>
      <x:c r="AZ7" s="48" t="str">
        <x:v>True</x:v>
      </x:c>
      <x:c r="BA7" s="48"/>
      <x:c r="BB7" s="48" t="str">
        <x:v>auto_default</x:v>
      </x:c>
      <x:c r="BC7" s="48" t="str">
        <x:v>v1</x:v>
      </x:c>
      <x:c r="BD7" s="68"/>
    </x:row>
    <x:row r="8" ht="36" customHeight="1">
      <x:c r="A8" s="47" t="str">
        <x:v>2026-07-27</x:v>
      </x:c>
      <x:c r="B8" s="48" t="str">
        <x:v>PL005</x:v>
      </x:c>
      <x:c r="C8" s="48" t="str">
        <x:v>V01</x:v>
      </x:c>
      <x:c r="D8" s="48" t="str">
        <x:v>PL005_佛山市润特龙清洁用品有限公司新建项目_01_核查材料.docx</x:v>
      </x:c>
      <x:c r="E8" s="48" t="str">
        <x:v>佛山市润特龙清洁用品有限公司新建项目</x:v>
      </x:c>
      <x:c r="F8" s="48" t="str">
        <x:v>PL005_Emission_噪声</x:v>
      </x:c>
      <x:c r="G8" s="48" t="str">
        <x:v>污染物排放标准-噪声排放标准</x:v>
      </x:c>
      <x:c r="H8" s="48" t="str">
        <x:v>请根据项目所属声环境功能区类别，判断噪声排放标准选取是否合理。要求总结声功能区类型、厂界执行标准（GB12348-2008）及昼夜限值，并与环评编制内容进行一致性分析。</x:v>
      </x:c>
      <x:c r="I8" s="48" t="str">
        <x:v>1、噪声排放标准中执行标准与排放限值内容：无误；
2、无误。项目厂界执行GB12348-2008中3类标准（昼间≤65dB(A)、夜间≤55dB(A)），与项目所在的工业区声功能区划相符。</x:v>
      </x:c>
      <x:c r="J8" s="48" t="str">
        <x:v>噪声标准原文："项目厂界执行《工业企业厂界环境噪声排放标准》（GB12348-2008）中的3类标准，即昼间≤65dB（A），夜间≤55dB（A）。"</x:v>
      </x:c>
      <x:c r="K8" s="48" t="str">
        <x:v>emission-standard-kb.jsonl; DB44/26-2001; DB44/2367-2022; GB31572-2015; GB14554-93; GB12348-2008; GB18597-2023; GB18599-2020</x:v>
      </x:c>
      <x:c r="L8" s="48" t="str">
        <x:v>2</x:v>
      </x:c>
      <x:c r="M8" s="48" t="str">
        <x:v>2</x:v>
      </x:c>
      <x:c r="N8" s="48" t="str">
        <x:v>False</x:v>
      </x:c>
      <x:c r="O8" s="48" t="str">
        <x:v>无误</x:v>
      </x:c>
      <x:c r="P8" s="48" t="str">
        <x:v>水:无误；气:存在缺漏；噪声:无误；固废:存在缺漏</x:v>
      </x:c>
      <x:c r="Q8" s="48"/>
      <x:c r="R8" s="48"/>
      <x:c r="S8" s="48" t="str">
        <x:v>否</x:v>
      </x:c>
      <x:c r="T8" s="48" t="str">
        <x:v>原综合排放标准问答对拆分而来</x:v>
      </x:c>
      <x:c r="U8" s="48" t="str">
        <x:v>30份环评_污染物排放控制执行标准复核QA(拆分版)</x:v>
      </x:c>
      <x:c r="V8" s="48" t="str">
        <x:v>噪声排放标准</x:v>
      </x:c>
      <x:c r="W8" s="48" t="str">
        <x:v>无误</x:v>
      </x:c>
      <x:c r="X8" s="48" t="str">
        <x:v>无误</x:v>
      </x:c>
      <x:c r="Y8" s="64"/>
      <x:c r="Z8" s="64" t="str">
        <x:v>未复核</x:v>
      </x:c>
      <x:c r="AA8" s="64" t="str">
        <x:v>部分充分</x:v>
      </x:c>
      <x:c r="AB8" s="64" t="str">
        <x:v>有效</x:v>
      </x:c>
      <x:c r="AC8" s="64" t="str">
        <x:v>部分核验</x:v>
      </x:c>
      <x:c r="AD8" s="64" t="str">
        <x:v>自动默认</x:v>
      </x:c>
      <x:c r="AE8" s="64" t="str">
        <x:v>正式实验候选</x:v>
      </x:c>
      <x:c r="AF8" s="64" t="str">
        <x:v>待分流</x:v>
      </x:c>
      <x:c r="AG8" s="64"/>
      <x:c r="AH8" s="64"/>
      <x:c r="AI8" s="64"/>
      <x:c r="AJ8" s="64"/>
      <x:c r="AK8" s="64"/>
      <x:c r="AL8" s="64"/>
      <x:c r="AM8" s="64"/>
      <x:c r="AN8" s="48" t="str">
        <x:v>33</x:v>
      </x:c>
      <x:c r="AO8" s="48" t="str">
        <x:v>MAP_无误</x:v>
      </x:c>
      <x:c r="AP8" s="48" t="str">
        <x:v>存在报告证据，但尚未经人工逐项核验；已列依据来源，但未在本阶段逐条核验</x:v>
      </x:c>
      <x:c r="AQ8" s="64"/>
      <x:c r="AR8" s="48" t="str">
        <x:v>noise_emission_standard</x:v>
      </x:c>
      <x:c r="AS8" s="48" t="str">
        <x:v>L2_application</x:v>
      </x:c>
      <x:c r="AT8" s="48" t="str">
        <x:v>rule_applicability</x:v>
      </x:c>
      <x:c r="AU8" s="48" t="str">
        <x:v>basis_grounding</x:v>
      </x:c>
      <x:c r="AV8" s="48" t="str">
        <x:v>report_grounding</x:v>
      </x:c>
      <x:c r="AW8" s="48" t="str">
        <x:v>high</x:v>
      </x:c>
      <x:c r="AX8" s="48" t="str">
        <x:v>medium</x:v>
      </x:c>
      <x:c r="AY8" s="48" t="str">
        <x:v>report_plus_external</x:v>
      </x:c>
      <x:c r="AZ8" s="48" t="str">
        <x:v>True</x:v>
      </x:c>
      <x:c r="BA8" s="48"/>
      <x:c r="BB8" s="48" t="str">
        <x:v>auto_default</x:v>
      </x:c>
      <x:c r="BC8" s="48" t="str">
        <x:v>v1</x:v>
      </x:c>
      <x:c r="BD8" s="68"/>
    </x:row>
    <x:row r="9" ht="36" customHeight="1">
      <x:c r="A9" s="47" t="str">
        <x:v>2026-07-27</x:v>
      </x:c>
      <x:c r="B9" s="48" t="str">
        <x:v>PL020</x:v>
      </x:c>
      <x:c r="C9" s="48" t="str">
        <x:v>V01</x:v>
      </x:c>
      <x:c r="D9" s="48" t="str">
        <x:v>PL020_佛山市朗信塑料制品有限公司新建项目_01_受理公告或公示版.pdf</x:v>
      </x:c>
      <x:c r="E9" s="48" t="str">
        <x:v>佛山市朗信塑料制品有限公司新建项目</x:v>
      </x:c>
      <x:c r="F9" s="48" t="str">
        <x:v>PL020_Emission_噪声</x:v>
      </x:c>
      <x:c r="G9" s="48" t="str">
        <x:v>污染物排放标准-噪声排放标准</x:v>
      </x:c>
      <x:c r="H9" s="48" t="str">
        <x:v>请根据项目所属声环境功能区类别，判断噪声排放标准选取是否合理。要求总结声功能区类型、厂界执行标准（GB12348-2008）及昼夜限值，并与环评编制内容进行一致性分析。</x:v>
      </x:c>
      <x:c r="I9" s="48" t="str">
        <x:v>1、噪声排放标准中执行标准与排放限值内容：存在缺漏；
2、存在缺漏。提取文本中未发现噪声排放标准章节，未引用《工业企业厂界环境噪声排放标准》（GB12348-2008），未给出声功能区类别及昼夜限值。
4、</x:v>
      </x:c>
      <x:c r="J9" s="48" t="str">
        <x:v>3、噪声：提取文本中未发现噪声排放标准相关内容。
4、固体废物："一般固体废物收集后交由资源回收公司回收，危险废物交由有危险废物处理资质的单位收集处置。"未引用具体标准编号。</x:v>
      </x:c>
      <x:c r="K9" s="48" t="str">
        <x:v>emission-standard-kb.jsonl; DB44/26-2001; DB44/2367-2022; GB31572-2015; GB14554-93; GB12348-2008; GB18597-2023; GB18599-2020</x:v>
      </x:c>
      <x:c r="L9" s="48" t="str">
        <x:v>2</x:v>
      </x:c>
      <x:c r="M9" s="48" t="str">
        <x:v>2</x:v>
      </x:c>
      <x:c r="N9" s="48" t="str">
        <x:v>False</x:v>
      </x:c>
      <x:c r="O9" s="48" t="str">
        <x:v>存在缺漏</x:v>
      </x:c>
      <x:c r="P9" s="48" t="str">
        <x:v>水:存在缺漏——污水处理厂尾水标准已引用，但企业生活污水排口预处理标准（DB44/26-2001第二时段三级标准）缺失，清净下水排放标准未引用。;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噪声:存在缺漏——提取文本中未发现噪声排放标准，未引用GB12348-2008，未给出声功能区类别和昼夜限值。; 固体废物:存在缺漏——仅描述处置去向，未引用固废法、GB34330-2017、GB18597-2023、GB18599-2020、国家危险废物名录等控制标准。</x:v>
      </x:c>
      <x:c r="Q9" s="48"/>
      <x:c r="R9" s="48"/>
      <x:c r="S9" s="48" t="str">
        <x:v>是</x:v>
      </x:c>
      <x:c r="T9" s="48" t="str">
        <x:v>原综合排放标准问答对拆分而来</x:v>
      </x:c>
      <x:c r="U9" s="48" t="str">
        <x:v>30份环评_污染物排放控制执行标准复核QA(拆分版)</x:v>
      </x:c>
      <x:c r="V9" s="48" t="str">
        <x:v>噪声排放标准</x:v>
      </x:c>
      <x:c r="W9" s="48" t="str">
        <x:v>存在缺漏</x:v>
      </x:c>
      <x:c r="X9" s="48" t="str">
        <x:v>存在缺漏</x:v>
      </x:c>
      <x:c r="Y9" s="64"/>
      <x:c r="Z9" s="64" t="str">
        <x:v>未复核</x:v>
      </x:c>
      <x:c r="AA9" s="64" t="str">
        <x:v>部分充分</x:v>
      </x:c>
      <x:c r="AB9" s="64" t="str">
        <x:v>有效</x:v>
      </x:c>
      <x:c r="AC9" s="64" t="str">
        <x:v>部分核验</x:v>
      </x:c>
      <x:c r="AD9" s="64" t="str">
        <x:v>自动默认</x:v>
      </x:c>
      <x:c r="AE9" s="64" t="str">
        <x:v>正式实验候选</x:v>
      </x:c>
      <x:c r="AF9" s="64" t="str">
        <x:v>A_仅待终审</x:v>
      </x:c>
      <x:c r="AG9" s="64"/>
      <x:c r="AH9" s="64"/>
      <x:c r="AI9" s="64"/>
      <x:c r="AJ9" s="64"/>
      <x:c r="AK9" s="64"/>
      <x:c r="AL9" s="64"/>
      <x:c r="AM9" s="64"/>
      <x:c r="AN9" s="48" t="str">
        <x:v>104</x:v>
      </x:c>
      <x:c r="AO9" s="48" t="str">
        <x:v>MAP_存在缺漏</x:v>
      </x:c>
      <x:c r="AP9" s="48" t="str">
        <x:v>存在报告证据，但尚未经人工逐项核验；已列依据来源，但未在本阶段逐条核验</x:v>
      </x:c>
      <x:c r="AQ9" s="64"/>
      <x:c r="AR9" s="48" t="str">
        <x:v>noise_emission_standard</x:v>
      </x:c>
      <x:c r="AS9" s="48" t="str">
        <x:v>L2_application</x:v>
      </x:c>
      <x:c r="AT9" s="48" t="str">
        <x:v>rule_applicability</x:v>
      </x:c>
      <x:c r="AU9" s="48" t="str">
        <x:v>basis_grounding</x:v>
      </x:c>
      <x:c r="AV9" s="48" t="str">
        <x:v>report_grounding</x:v>
      </x:c>
      <x:c r="AW9" s="48" t="str">
        <x:v>high</x:v>
      </x:c>
      <x:c r="AX9" s="48" t="str">
        <x:v>medium</x:v>
      </x:c>
      <x:c r="AY9" s="48" t="str">
        <x:v>report_plus_external</x:v>
      </x:c>
      <x:c r="AZ9" s="48" t="str">
        <x:v>True</x:v>
      </x:c>
      <x:c r="BA9" s="48"/>
      <x:c r="BB9" s="48" t="str">
        <x:v>auto_default</x:v>
      </x:c>
      <x:c r="BC9" s="48" t="str">
        <x:v>v1</x:v>
      </x:c>
      <x:c r="BD9" s="68"/>
    </x:row>
    <x:row r="10" ht="36" customHeight="1">
      <x:c r="A10" s="47" t="str">
        <x:v>2026-07-27</x:v>
      </x:c>
      <x:c r="B10" s="48" t="str">
        <x:v>PL007</x:v>
      </x:c>
      <x:c r="C10" s="48" t="str">
        <x:v>V01</x:v>
      </x:c>
      <x:c r="D10" s="48" t="str">
        <x:v>PL007_广东云晟新材料有限公司年产水性涂料2400吨新建项目_01_修改评估意见.docx</x:v>
      </x:c>
      <x:c r="E10" s="48" t="str">
        <x:v>广东云晟新材料有限公司年产水性涂料2400吨新建项目</x:v>
      </x:c>
      <x:c r="F10" s="48" t="str">
        <x:v>PL007_Emission_固体</x:v>
      </x:c>
      <x:c r="G10" s="48" t="str">
        <x:v>污染物排放标准-固体废物控制标准</x:v>
      </x:c>
      <x:c r="H10" s="48" t="str">
        <x:v>请根据项目产生的固体废物和危险废物类型，判断固体废物控制标准选取是否合理。要求总结一般工业固体废物和危险废物执行标准的标准名称及编号，分析是否缺少必要标准条目。</x:v>
      </x:c>
      <x:c r="I10"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0" s="48" t="str">
        <x:v>固废】“一般工业固体废物储存周转场地需要满足防渗漏、防雨淋、防扬尘等环境保护要求。危险废物执行《国家危险废物名录》、《危险废物贮存污染控制标准》（GB18597-2001）以及2013年修改单和《危险废物收集贮存运输技术规范》（HJ 2025-2012）相关要求。”</x:v>
      </x:c>
      <x:c r="K10" s="48" t="str">
        <x:v>emission-standard-kb.jsonl; DB44/26-2001; DB44/2367-2022; GB31572-2015; GB14554-93; GB12348-2008; GB18597-2023; GB18599-2020</x:v>
      </x:c>
      <x:c r="L10" s="48" t="str">
        <x:v>2</x:v>
      </x:c>
      <x:c r="M10" s="48" t="str">
        <x:v>2</x:v>
      </x:c>
      <x:c r="N10" s="48" t="str">
        <x:v>False</x:v>
      </x:c>
      <x:c r="O10" s="48" t="str">
        <x:v>无误</x:v>
      </x:c>
      <x:c r="P10"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10" s="48"/>
      <x:c r="R10" s="48"/>
      <x:c r="S10" s="48" t="str">
        <x:v>否</x:v>
      </x:c>
      <x:c r="T10" s="48" t="str">
        <x:v>修正：GB18599-2020不在知识库必须满足的标准清单中，原判定依据已更正。原综合排放标准问答对拆分而来</x:v>
      </x:c>
      <x:c r="U10" s="48" t="str">
        <x:v>30份环评_污染物排放控制执行标准复核QA(拆分版)</x:v>
      </x:c>
      <x:c r="V10" s="48" t="str">
        <x:v>固体废物控制标准</x:v>
      </x:c>
      <x:c r="W10" s="48" t="str">
        <x:v>无误</x:v>
      </x:c>
      <x:c r="X10" s="48" t="str">
        <x:v>无误</x:v>
      </x:c>
      <x:c r="Y10" s="64"/>
      <x:c r="Z10" s="64" t="str">
        <x:v>未复核</x:v>
      </x:c>
      <x:c r="AA10" s="64" t="str">
        <x:v>部分充分</x:v>
      </x:c>
      <x:c r="AB10" s="64" t="str">
        <x:v>有效</x:v>
      </x:c>
      <x:c r="AC10" s="64" t="str">
        <x:v>部分核验</x:v>
      </x:c>
      <x:c r="AD10" s="64" t="str">
        <x:v>自动默认</x:v>
      </x:c>
      <x:c r="AE10" s="64" t="str">
        <x:v>正式实验候选</x:v>
      </x:c>
      <x:c r="AF10" s="64" t="str">
        <x:v>待分流</x:v>
      </x:c>
      <x:c r="AG10" s="64"/>
      <x:c r="AH10" s="64"/>
      <x:c r="AI10" s="64"/>
      <x:c r="AJ10" s="64"/>
      <x:c r="AK10" s="64"/>
      <x:c r="AL10" s="64"/>
      <x:c r="AM10" s="64"/>
      <x:c r="AN10" s="48" t="str">
        <x:v>44</x:v>
      </x:c>
      <x:c r="AO10" s="48" t="str">
        <x:v>MAP_无误</x:v>
      </x:c>
      <x:c r="AP10" s="48" t="str">
        <x:v>存在报告证据，但尚未经人工逐项核验；已列依据来源，但未在本阶段逐条核验</x:v>
      </x:c>
      <x:c r="AQ10" s="64"/>
      <x:c r="AR10" s="48" t="str">
        <x:v>solid_waste_standard</x:v>
      </x:c>
      <x:c r="AS10" s="48" t="str">
        <x:v>L2_application</x:v>
      </x:c>
      <x:c r="AT10" s="48" t="str">
        <x:v>rule_applicability</x:v>
      </x:c>
      <x:c r="AU10" s="48" t="str">
        <x:v>basis_grounding</x:v>
      </x:c>
      <x:c r="AV10" s="48" t="str">
        <x:v>report_grounding</x:v>
      </x:c>
      <x:c r="AW10" s="48" t="str">
        <x:v>high</x:v>
      </x:c>
      <x:c r="AX10" s="48" t="str">
        <x:v>medium</x:v>
      </x:c>
      <x:c r="AY10" s="48" t="str">
        <x:v>report_plus_external</x:v>
      </x:c>
      <x:c r="AZ10" s="48" t="str">
        <x:v>True</x:v>
      </x:c>
      <x:c r="BA10" s="48"/>
      <x:c r="BB10" s="48" t="str">
        <x:v>auto_default</x:v>
      </x:c>
      <x:c r="BC10" s="48" t="str">
        <x:v>v1</x:v>
      </x:c>
      <x:c r="BD10" s="68"/>
    </x:row>
    <x:row r="11" ht="36" customHeight="1">
      <x:c r="A11" s="47" t="str">
        <x:v>2026-07-27</x:v>
      </x:c>
      <x:c r="B11" s="48" t="str">
        <x:v>PL008</x:v>
      </x:c>
      <x:c r="C11" s="48" t="str">
        <x:v>V01</x:v>
      </x:c>
      <x:c r="D11" s="48" t="str">
        <x:v>PL008_佛山市顺德区亚马逊涂料有限公司迁扩建项目_01_修改评估意见.docx</x:v>
      </x:c>
      <x:c r="E11" s="48" t="str">
        <x:v>佛山市顺德区亚马逊涂料有限公司迁扩建项目</x:v>
      </x:c>
      <x:c r="F11" s="48" t="str">
        <x:v>PL008_Emission_固体</x:v>
      </x:c>
      <x:c r="G11" s="48" t="str">
        <x:v>污染物排放标准-固体废物控制标准</x:v>
      </x:c>
      <x:c r="H11" s="48" t="str">
        <x:v>请根据项目产生的固体废物和危险废物类型，判断固体废物控制标准选取是否合理。要求总结一般工业固体废物和危险废物执行标准的标准名称及编号，分析是否缺少必要标准条目。</x:v>
      </x:c>
      <x:c r="I11"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1" s="48" t="str">
        <x:v>固废】“危险废物、一般工业固废在厂区内暂存应符合《危险废物贮存污染控制标准》（GB18597-2023）、《一般工业固体废物贮存、处置场污染控制标准》（GB18599-2020）、《广东省固体废物污染环境防治条例》等要求”</x:v>
      </x:c>
      <x:c r="K11" s="48" t="str">
        <x:v>emission-standard-kb.jsonl; DB44/26-2001; DB44/2367-2022; GB31572-2015; GB14554-93; GB12348-2008; GB18597-2023; GB18599-2020</x:v>
      </x:c>
      <x:c r="L11" s="48" t="str">
        <x:v>2</x:v>
      </x:c>
      <x:c r="M11" s="48" t="str">
        <x:v>2</x:v>
      </x:c>
      <x:c r="N11" s="48" t="str">
        <x:v>False</x:v>
      </x:c>
      <x:c r="O11" s="48" t="str">
        <x:v>无误</x:v>
      </x:c>
      <x:c r="P11" s="48" t="str">
        <x:v>水：无误——企业排口DB44/26-2001三级标准和污水厂尾水标准均正确，存在“水污染排放限值”和“GBl8918”书写瑕疵；大气：无误——行业标准GB37824-2019与综合标准DB44/2367-2022取较严值做法正确，臭气浓度值与知识库一致，DB44/27无组织限值属知识库缺口；噪声：无误——GB12348-2008 3类标准正确，声功能区3类已确认；固废：无误——GB18597-2023和GB18599-2020均引用，版本正确。</x:v>
      </x:c>
      <x:c r="Q11" s="48"/>
      <x:c r="R11" s="48"/>
      <x:c r="S11" s="48" t="str">
        <x:v>否</x:v>
      </x:c>
      <x:c r="T11" s="48" t="str">
        <x:v>修正：GB18599-2020不在知识库必须满足的标准清单中，原判定依据已更正。原综合排放标准问答对拆分而来</x:v>
      </x:c>
      <x:c r="U11" s="48" t="str">
        <x:v>30份环评_污染物排放控制执行标准复核QA(拆分版)</x:v>
      </x:c>
      <x:c r="V11" s="48" t="str">
        <x:v>固体废物控制标准</x:v>
      </x:c>
      <x:c r="W11" s="48" t="str">
        <x:v>无误</x:v>
      </x:c>
      <x:c r="X11" s="48" t="str">
        <x:v>无误</x:v>
      </x:c>
      <x:c r="Y11" s="64"/>
      <x:c r="Z11" s="64" t="str">
        <x:v>未复核</x:v>
      </x:c>
      <x:c r="AA11" s="64" t="str">
        <x:v>部分充分</x:v>
      </x:c>
      <x:c r="AB11" s="64" t="str">
        <x:v>有效</x:v>
      </x:c>
      <x:c r="AC11" s="64" t="str">
        <x:v>部分核验</x:v>
      </x:c>
      <x:c r="AD11" s="64" t="str">
        <x:v>自动默认</x:v>
      </x:c>
      <x:c r="AE11" s="64" t="str">
        <x:v>正式实验候选</x:v>
      </x:c>
      <x:c r="AF11" s="64" t="str">
        <x:v>待分流</x:v>
      </x:c>
      <x:c r="AG11" s="64"/>
      <x:c r="AH11" s="64"/>
      <x:c r="AI11" s="64"/>
      <x:c r="AJ11" s="64"/>
      <x:c r="AK11" s="64"/>
      <x:c r="AL11" s="64"/>
      <x:c r="AM11" s="64"/>
      <x:c r="AN11" s="48" t="str">
        <x:v>49</x:v>
      </x:c>
      <x:c r="AO11" s="48" t="str">
        <x:v>MAP_无误</x:v>
      </x:c>
      <x:c r="AP11" s="48" t="str">
        <x:v>存在报告证据，但尚未经人工逐项核验；已列依据来源，但未在本阶段逐条核验</x:v>
      </x:c>
      <x:c r="AQ11" s="64"/>
      <x:c r="AR11" s="48" t="str">
        <x:v>solid_waste_standard</x:v>
      </x:c>
      <x:c r="AS11" s="48" t="str">
        <x:v>L2_application</x:v>
      </x:c>
      <x:c r="AT11" s="48" t="str">
        <x:v>rule_applicability</x:v>
      </x:c>
      <x:c r="AU11" s="48" t="str">
        <x:v>basis_grounding</x:v>
      </x:c>
      <x:c r="AV11" s="48" t="str">
        <x:v>report_grounding</x:v>
      </x:c>
      <x:c r="AW11" s="48" t="str">
        <x:v>high</x:v>
      </x:c>
      <x:c r="AX11" s="48" t="str">
        <x:v>medium</x:v>
      </x:c>
      <x:c r="AY11" s="48" t="str">
        <x:v>report_plus_external</x:v>
      </x:c>
      <x:c r="AZ11" s="48" t="str">
        <x:v>True</x:v>
      </x:c>
      <x:c r="BA11" s="48"/>
      <x:c r="BB11" s="48" t="str">
        <x:v>auto_default</x:v>
      </x:c>
      <x:c r="BC11" s="48" t="str">
        <x:v>v1</x:v>
      </x:c>
      <x:c r="BD11" s="68"/>
    </x:row>
    <x:row r="12" ht="36" customHeight="1">
      <x:c r="A12" s="47" t="str">
        <x:v>2026-07-27</x:v>
      </x:c>
      <x:c r="B12" s="48" t="str">
        <x:v>PL009</x:v>
      </x:c>
      <x:c r="C12" s="48" t="str">
        <x:v>V01</x:v>
      </x:c>
      <x:c r="D12" s="48" t="str">
        <x:v>PL009_广东威诺高科技股份有限公司搬迁项目_01_修改评估意见.docx</x:v>
      </x:c>
      <x:c r="E12" s="48" t="str">
        <x:v>广东威诺高科技股份有限公司搬迁项目</x:v>
      </x:c>
      <x:c r="F12" s="48" t="str">
        <x:v>PL009_Emission_固体</x:v>
      </x:c>
      <x:c r="G12" s="48" t="str">
        <x:v>污染物排放标准-固体废物控制标准</x:v>
      </x:c>
      <x:c r="H12" s="48" t="str">
        <x:v>请根据项目产生的固体废物和危险废物类型，判断固体废物控制标准选取是否合理。要求总结一般工业固体废物和危险废物执行标准的标准名称及编号，分析是否缺少必要标准条目。</x:v>
      </x:c>
      <x:c r="I12"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2" s="48" t="str">
        <x:v>固废】“危险废物、一般工业固废在厂区内暂存应符合《危险废物贮存污染控制标准》（GB18597-2023）、《一般工业固体废物贮存、处置场污染控制标准》（GB18599-2020）、《广东省固体废物污染环境防治条例》等要求”</x:v>
      </x:c>
      <x:c r="K12" s="48" t="str">
        <x:v>emission-standard-kb.jsonl; DB44/26-2001; DB44/2367-2022; GB31572-2015; GB14554-93; GB12348-2008; GB18597-2023; GB18599-2020</x:v>
      </x:c>
      <x:c r="L12" s="48" t="str">
        <x:v>2</x:v>
      </x:c>
      <x:c r="M12" s="48" t="str">
        <x:v>2</x:v>
      </x:c>
      <x:c r="N12" s="48" t="str">
        <x:v>False</x:v>
      </x:c>
      <x:c r="O12" s="48" t="str">
        <x:v>无误</x:v>
      </x:c>
      <x:c r="P12" s="48" t="str">
        <x:v>水：无误——企业排口和污水厂尾水标准均正确，存在书写瑕疵；大气：存在错误——53m排气筒臭气浓度应取≥60m档（60000），报告误取50m档（40000）；GB31572-2015适用塑料制品业存争议且版本不确定；GB41616-2022和锡及其化合物知识库无记录；噪声：无误——GB12348-2008 3类标准正确；固废：无误——GB18597-2023和GB18599-2020版本正确。</x:v>
      </x:c>
      <x:c r="Q12" s="48"/>
      <x:c r="R12" s="48"/>
      <x:c r="S12" s="48" t="str">
        <x:v>否</x:v>
      </x:c>
      <x:c r="T12" s="48" t="str">
        <x:v>修正：GB18599-2020不在知识库必须满足的标准清单中，原判定依据已更正。原综合排放标准问答对拆分而来</x:v>
      </x:c>
      <x:c r="U12" s="48" t="str">
        <x:v>30份环评_污染物排放控制执行标准复核QA(拆分版)</x:v>
      </x:c>
      <x:c r="V12" s="48" t="str">
        <x:v>固体废物控制标准</x:v>
      </x:c>
      <x:c r="W12" s="48" t="str">
        <x:v>无误</x:v>
      </x:c>
      <x:c r="X12" s="48" t="str">
        <x:v>无误</x:v>
      </x:c>
      <x:c r="Y12" s="64"/>
      <x:c r="Z12" s="64" t="str">
        <x:v>未复核</x:v>
      </x:c>
      <x:c r="AA12" s="64" t="str">
        <x:v>部分充分</x:v>
      </x:c>
      <x:c r="AB12" s="64" t="str">
        <x:v>有效</x:v>
      </x:c>
      <x:c r="AC12" s="64" t="str">
        <x:v>部分核验</x:v>
      </x:c>
      <x:c r="AD12" s="64" t="str">
        <x:v>自动默认</x:v>
      </x:c>
      <x:c r="AE12" s="64" t="str">
        <x:v>正式实验候选</x:v>
      </x:c>
      <x:c r="AF12" s="64" t="str">
        <x:v>待分流</x:v>
      </x:c>
      <x:c r="AG12" s="64"/>
      <x:c r="AH12" s="64"/>
      <x:c r="AI12" s="64"/>
      <x:c r="AJ12" s="64"/>
      <x:c r="AK12" s="64"/>
      <x:c r="AL12" s="64"/>
      <x:c r="AM12" s="64"/>
      <x:c r="AN12" s="48" t="str">
        <x:v>54</x:v>
      </x:c>
      <x:c r="AO12" s="48" t="str">
        <x:v>MAP_无误</x:v>
      </x:c>
      <x:c r="AP12" s="48" t="str">
        <x:v>存在报告证据，但尚未经人工逐项核验；已列依据来源，但未在本阶段逐条核验</x:v>
      </x:c>
      <x:c r="AQ12" s="64"/>
      <x:c r="AR12" s="48" t="str">
        <x:v>solid_waste_standard</x:v>
      </x:c>
      <x:c r="AS12" s="48" t="str">
        <x:v>L2_application</x:v>
      </x:c>
      <x:c r="AT12" s="48" t="str">
        <x:v>rule_applicability</x:v>
      </x:c>
      <x:c r="AU12" s="48" t="str">
        <x:v>basis_grounding</x:v>
      </x:c>
      <x:c r="AV12" s="48" t="str">
        <x:v>report_grounding</x:v>
      </x:c>
      <x:c r="AW12" s="48" t="str">
        <x:v>high</x:v>
      </x:c>
      <x:c r="AX12" s="48" t="str">
        <x:v>medium</x:v>
      </x:c>
      <x:c r="AY12" s="48" t="str">
        <x:v>report_plus_external</x:v>
      </x:c>
      <x:c r="AZ12" s="48" t="str">
        <x:v>True</x:v>
      </x:c>
      <x:c r="BA12" s="48"/>
      <x:c r="BB12" s="48" t="str">
        <x:v>auto_default</x:v>
      </x:c>
      <x:c r="BC12" s="48" t="str">
        <x:v>v1</x:v>
      </x:c>
      <x:c r="BD12" s="68"/>
    </x:row>
    <x:row r="13" ht="36" customHeight="1">
      <x:c r="A13" s="47" t="str">
        <x:v>2026-07-27</x:v>
      </x:c>
      <x:c r="B13" s="48" t="str">
        <x:v>PL011</x:v>
      </x:c>
      <x:c r="C13" s="48" t="str">
        <x:v>V01</x:v>
      </x:c>
      <x:c r="D13" s="48" t="str">
        <x:v>PL011_广东潜龙化工有限公司新建项目_01_修改评估意见.docx</x:v>
      </x:c>
      <x:c r="E13" s="48" t="str">
        <x:v>广东潜龙化工有限公司新建项目</x:v>
      </x:c>
      <x:c r="F13" s="48" t="str">
        <x:v>PL011_Emission_固体</x:v>
      </x:c>
      <x:c r="G13" s="48" t="str">
        <x:v>污染物排放标准-固体废物控制标准</x:v>
      </x:c>
      <x:c r="H13" s="48" t="str">
        <x:v>请根据项目产生的固体废物和危险废物类型，判断固体废物控制标准选取是否合理。要求总结一般工业固体废物和危险废物执行标准的标准名称及编号，分析是否缺少必要标准条目。</x:v>
      </x:c>
      <x:c r="I13" s="48" t="str">
        <x:v>1、固体废物控制排放中执行标准内容：无误；
2、固体废物控制排放内容总结：报告已引用固体废物污染环境防治法、广东省固体废物污染环境防治条例、危险废物贮存污染控制标准（GB18597-2023）等法律法规和标准，固体废物控制标准编制完整。（注：报告还额外引用了GB18599-2020《一般工业固体废物贮存和填埋污染控制标准》，但该标准不在当前审核知识库必须满足的标准清单中，不影响判定结论。）</x:v>
      </x:c>
      <x:c r="J13" s="48" t="str">
        <x:v>固废】“一般固体废物暂存于一般固体废物仓库，仓库应满足防渗漏、防雨淋、防扬尘等要求。危险废物执行《国家危险废物名录》（2021版）、《危险废物收集贮存运输技术规范》（HJ 2025-2012）；危险废物执行《危险废物贮存污染控制标准》（GB 18597-2023）。”</x:v>
      </x:c>
      <x:c r="K13" s="48" t="str">
        <x:v>emission-standard-kb.jsonl; DB44/26-2001; DB44/2367-2022; GB31572-2015; GB14554-93; GB12348-2008; GB18597-2023; GB18599-2020</x:v>
      </x:c>
      <x:c r="L13" s="48" t="str">
        <x:v>2</x:v>
      </x:c>
      <x:c r="M13" s="48" t="str">
        <x:v>2</x:v>
      </x:c>
      <x:c r="N13" s="48" t="str">
        <x:v>False</x:v>
      </x:c>
      <x:c r="O13" s="48" t="str">
        <x:v>无误</x:v>
      </x:c>
      <x:c r="P13" s="48" t="str">
        <x:v>水：无误——企业排口DB44/26-2001三级标准和污水厂尾水标准均正确，冷却水作清净下水处理合理；大气：无误——VOCs执行DB44/2367-2022适用正确，臭气浓度40m=20000和厂界≤20与知识库一致，DB44/27无组织限值属知识库缺口；噪声：无误——GB12348-2008 3类标准正确，声功能区3类已确认；固废：存在缺漏——一般固废未引用GB18599-2020，危废标准GB18597-2023版本正确。</x:v>
      </x:c>
      <x:c r="Q13" s="48"/>
      <x:c r="R13" s="48"/>
      <x:c r="S13" s="48" t="str">
        <x:v>否</x:v>
      </x:c>
      <x:c r="T13" s="48" t="str">
        <x:v>修正：GB18599-2020不在知识库必须满足的标准清单中，原判定依据已更正。原综合排放标准问答对拆分而来</x:v>
      </x:c>
      <x:c r="U13" s="48" t="str">
        <x:v>30份环评_污染物排放控制执行标准复核QA(拆分版)</x:v>
      </x:c>
      <x:c r="V13" s="48" t="str">
        <x:v>固体废物控制标准</x:v>
      </x:c>
      <x:c r="W13" s="48" t="str">
        <x:v>无误</x:v>
      </x:c>
      <x:c r="X13" s="48" t="str">
        <x:v>无误</x:v>
      </x:c>
      <x:c r="Y13" s="64"/>
      <x:c r="Z13" s="64" t="str">
        <x:v>未复核</x:v>
      </x:c>
      <x:c r="AA13" s="64" t="str">
        <x:v>部分充分</x:v>
      </x:c>
      <x:c r="AB13" s="64" t="str">
        <x:v>有效</x:v>
      </x:c>
      <x:c r="AC13" s="64" t="str">
        <x:v>部分核验</x:v>
      </x:c>
      <x:c r="AD13" s="64" t="str">
        <x:v>自动默认</x:v>
      </x:c>
      <x:c r="AE13" s="64" t="str">
        <x:v>正式实验候选</x:v>
      </x:c>
      <x:c r="AF13" s="64" t="str">
        <x:v>待分流</x:v>
      </x:c>
      <x:c r="AG13" s="64"/>
      <x:c r="AH13" s="64"/>
      <x:c r="AI13" s="64"/>
      <x:c r="AJ13" s="64"/>
      <x:c r="AK13" s="64"/>
      <x:c r="AL13" s="64"/>
      <x:c r="AM13" s="64"/>
      <x:c r="AN13" s="48" t="str">
        <x:v>64</x:v>
      </x:c>
      <x:c r="AO13" s="48" t="str">
        <x:v>MAP_无误</x:v>
      </x:c>
      <x:c r="AP13" s="48" t="str">
        <x:v>存在报告证据，但尚未经人工逐项核验；已列依据来源，但未在本阶段逐条核验</x:v>
      </x:c>
      <x:c r="AQ13" s="64"/>
      <x:c r="AR13" s="48" t="str">
        <x:v>solid_waste_standard</x:v>
      </x:c>
      <x:c r="AS13" s="48" t="str">
        <x:v>L2_application</x:v>
      </x:c>
      <x:c r="AT13" s="48" t="str">
        <x:v>rule_applicability</x:v>
      </x:c>
      <x:c r="AU13" s="48" t="str">
        <x:v>basis_grounding</x:v>
      </x:c>
      <x:c r="AV13" s="48" t="str">
        <x:v>report_grounding</x:v>
      </x:c>
      <x:c r="AW13" s="48" t="str">
        <x:v>high</x:v>
      </x:c>
      <x:c r="AX13" s="48" t="str">
        <x:v>medium</x:v>
      </x:c>
      <x:c r="AY13" s="48" t="str">
        <x:v>report_plus_external</x:v>
      </x:c>
      <x:c r="AZ13" s="48" t="str">
        <x:v>True</x:v>
      </x:c>
      <x:c r="BA13" s="48"/>
      <x:c r="BB13" s="48" t="str">
        <x:v>auto_default</x:v>
      </x:c>
      <x:c r="BC13" s="48" t="str">
        <x:v>v1</x:v>
      </x:c>
      <x:c r="BD13" s="68"/>
    </x:row>
    <x:row r="14" ht="36" customHeight="1">
      <x:c r="A14" s="47" t="str">
        <x:v>2026-07-27</x:v>
      </x:c>
      <x:c r="B14" s="48" t="str">
        <x:v>PL012</x:v>
      </x:c>
      <x:c r="C14" s="48" t="str">
        <x:v>V01</x:v>
      </x:c>
      <x:c r="D14" s="48" t="str">
        <x:v>PL012_佛山市瀚铭新材料有限公司新建项目_01_修改评估意见.docx</x:v>
      </x:c>
      <x:c r="E14" s="48" t="str">
        <x:v>佛山市瀚铭新材料有限公司新建项目</x:v>
      </x:c>
      <x:c r="F14" s="48" t="str">
        <x:v>PL012_Emission_固体</x:v>
      </x:c>
      <x:c r="G14" s="48" t="str">
        <x:v>污染物排放标准-固体废物控制标准</x:v>
      </x:c>
      <x:c r="H14" s="48" t="str">
        <x:v>请根据项目产生的固体废物和危险废物类型，判断固体废物控制标准选取是否合理。要求总结一般工业固体废物和危险废物执行标准的标准名称及编号，分析是否缺少必要标准条目。</x:v>
      </x:c>
      <x:c r="I14"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14" s="48" t="str">
        <x:v>固废标准：'固体废物管理遵照《中华人民共和国固体废物污染环境防治法》、《广东省固体废物污染环境防治条例》执行……危险废物执行《危险废物贮存污染控制标准》（GB 18597-2023）、《国家危险废物名录》（2021年）有关规定。'</x:v>
      </x:c>
      <x:c r="K14" s="48" t="str">
        <x:v>emission-standard-kb.jsonl; DB44/26-2001; DB44/2367-2022; GB31572-2015; GB14554-93; GB12348-2008; GB18597-2023; GB18599-2020</x:v>
      </x:c>
      <x:c r="L14" s="48" t="str">
        <x:v>2</x:v>
      </x:c>
      <x:c r="M14" s="48" t="str">
        <x:v>2</x:v>
      </x:c>
      <x:c r="N14" s="48" t="str">
        <x:v>False</x:v>
      </x:c>
      <x:c r="O14" s="48" t="str">
        <x:v>无误</x:v>
      </x:c>
      <x:c r="P14" s="48" t="str">
        <x:v>水:无误——生活污水预处理标准DB44/26-2001第二时段三级、污水厂尾水GB18918-2002一级A及DB44/26-2001较严值引用正确；清洗废水委外处理。; 大气:存在缺漏——颗粒物、TVOC、恶臭标准选取基本合理，但未说明行业专属标准GB37824-2019（涂料、油墨及胶黏剂工业）的适用性。; 噪声:无误——GB12348-2008 3类标准选取正确。; 固体废物:存在缺漏——危险废物标准引用完整，但一般工业固体废物未引用GB18599-2020贮存标准及GB34330-2017鉴别标准。</x:v>
      </x:c>
      <x:c r="Q14" s="48"/>
      <x:c r="R14" s="48"/>
      <x:c r="S14" s="48" t="str">
        <x:v>否</x:v>
      </x:c>
      <x:c r="T14" s="48" t="str">
        <x:v>修正：GB18599-2020不在知识库必须满足的标准清单中，原判定依据已更正。原综合排放标准问答对拆分而来</x:v>
      </x:c>
      <x:c r="U14" s="48" t="str">
        <x:v>30份环评_污染物排放控制执行标准复核QA(拆分版)</x:v>
      </x:c>
      <x:c r="V14" s="48" t="str">
        <x:v>固体废物控制标准</x:v>
      </x:c>
      <x:c r="W14" s="48" t="str">
        <x:v>无误</x:v>
      </x:c>
      <x:c r="X14" s="48" t="str">
        <x:v>无误</x:v>
      </x:c>
      <x:c r="Y14" s="64"/>
      <x:c r="Z14" s="64" t="str">
        <x:v>未复核</x:v>
      </x:c>
      <x:c r="AA14" s="64" t="str">
        <x:v>部分充分</x:v>
      </x:c>
      <x:c r="AB14" s="64" t="str">
        <x:v>有效</x:v>
      </x:c>
      <x:c r="AC14" s="64" t="str">
        <x:v>部分核验</x:v>
      </x:c>
      <x:c r="AD14" s="64" t="str">
        <x:v>自动默认</x:v>
      </x:c>
      <x:c r="AE14" s="64" t="str">
        <x:v>正式实验候选</x:v>
      </x:c>
      <x:c r="AF14" s="64" t="str">
        <x:v>待分流</x:v>
      </x:c>
      <x:c r="AG14" s="64"/>
      <x:c r="AH14" s="64"/>
      <x:c r="AI14" s="64"/>
      <x:c r="AJ14" s="64"/>
      <x:c r="AK14" s="64"/>
      <x:c r="AL14" s="64"/>
      <x:c r="AM14" s="64"/>
      <x:c r="AN14" s="48" t="str">
        <x:v>69</x:v>
      </x:c>
      <x:c r="AO14" s="48" t="str">
        <x:v>MAP_无误</x:v>
      </x:c>
      <x:c r="AP14" s="48" t="str">
        <x:v>存在报告证据，但尚未经人工逐项核验；已列依据来源，但未在本阶段逐条核验</x:v>
      </x:c>
      <x:c r="AQ14" s="64"/>
      <x:c r="AR14" s="48" t="str">
        <x:v>solid_waste_standard</x:v>
      </x:c>
      <x:c r="AS14" s="48" t="str">
        <x:v>L2_application</x:v>
      </x:c>
      <x:c r="AT14" s="48" t="str">
        <x:v>rule_applicability</x:v>
      </x:c>
      <x:c r="AU14" s="48" t="str">
        <x:v>basis_grounding</x:v>
      </x:c>
      <x:c r="AV14" s="48" t="str">
        <x:v>report_grounding</x:v>
      </x:c>
      <x:c r="AW14" s="48" t="str">
        <x:v>high</x:v>
      </x:c>
      <x:c r="AX14" s="48" t="str">
        <x:v>medium</x:v>
      </x:c>
      <x:c r="AY14" s="48" t="str">
        <x:v>report_plus_external</x:v>
      </x:c>
      <x:c r="AZ14" s="48" t="str">
        <x:v>True</x:v>
      </x:c>
      <x:c r="BA14" s="48"/>
      <x:c r="BB14" s="48" t="str">
        <x:v>auto_default</x:v>
      </x:c>
      <x:c r="BC14" s="48" t="str">
        <x:v>v1</x:v>
      </x:c>
      <x:c r="BD14" s="68"/>
    </x:row>
    <x:row r="15" ht="36" customHeight="1">
      <x:c r="A15" s="47" t="str">
        <x:v>2026-07-27</x:v>
      </x:c>
      <x:c r="B15" s="48" t="str">
        <x:v>PL013</x:v>
      </x:c>
      <x:c r="C15" s="48" t="str">
        <x:v>V01</x:v>
      </x:c>
      <x:c r="D15" s="48" t="str">
        <x:v>PL013_佛山市顺德区百洛电器有限公司迁扩建项目_01_修改评估意见.docx</x:v>
      </x:c>
      <x:c r="E15" s="48" t="str">
        <x:v>佛山市顺德区百洛电器有限公司迁扩建项目</x:v>
      </x:c>
      <x:c r="F15" s="48" t="str">
        <x:v>PL013_Emission_固体</x:v>
      </x:c>
      <x:c r="G15" s="48" t="str">
        <x:v>污染物排放标准-固体废物控制标准</x:v>
      </x:c>
      <x:c r="H15" s="48" t="str">
        <x:v>请根据项目产生的固体废物和危险废物类型，判断固体废物控制标准选取是否合理。要求总结一般工业固体废物和危险废物执行标准的标准名称及编号，分析是否缺少必要标准条目。</x:v>
      </x:c>
      <x:c r="I15" s="4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15" s="48" t="str">
        <x:v>固废标准：'危险废物执行《国家危险废物名录》（2021版）以及《危险废物贮存污染控制标准》（GB18597-2023）。'</x:v>
      </x:c>
      <x:c r="K15" s="48" t="str">
        <x:v>emission-standard-kb.jsonl; DB44/26-2001; DB44/2367-2022; GB31572-2015; GB14554-93; GB12348-2008; GB18597-2023; GB18599-2020</x:v>
      </x:c>
      <x:c r="L15" s="48" t="str">
        <x:v>2</x:v>
      </x:c>
      <x:c r="M15" s="48" t="str">
        <x:v>2</x:v>
      </x:c>
      <x:c r="N15" s="48" t="str">
        <x:v>False</x:v>
      </x:c>
      <x:c r="O15" s="48" t="str">
        <x:v>无误</x:v>
      </x:c>
      <x:c r="P15" s="48" t="str">
        <x:v>水:无误——DB44/26-2001第二时段三级预处理标准及GB18918-2002一级A与DB44/26-2001较严值尾水标准引用正确。; 大气:无误——VOCs执行DB44/2367-2022表1及表3，锡及其化合物执行DB44/27-2001第二时段二级，臭气执行GB14554-93，标准选取完整准确。; 噪声:无误——GB12348-2008 3类标准选取正确。; 固体废物:存在缺漏——危险废物标准引用完整，但一般工业固体废物未引用GB18599-2020贮存标准及GB34330-2017鉴别标准。</x:v>
      </x:c>
      <x:c r="Q15" s="48"/>
      <x:c r="R15" s="48"/>
      <x:c r="S15" s="48" t="str">
        <x:v>否</x:v>
      </x:c>
      <x:c r="T15" s="48" t="str">
        <x:v>修正：GB18599-2020不在知识库必须满足的标准清单中，原判定依据已更正。原综合排放标准问答对拆分而来</x:v>
      </x:c>
      <x:c r="U15" s="48" t="str">
        <x:v>30份环评_污染物排放控制执行标准复核QA(拆分版)</x:v>
      </x:c>
      <x:c r="V15" s="48" t="str">
        <x:v>固体废物控制标准</x:v>
      </x:c>
      <x:c r="W15" s="48" t="str">
        <x:v>无误</x:v>
      </x:c>
      <x:c r="X15" s="48" t="str">
        <x:v>无误</x:v>
      </x:c>
      <x:c r="Y15" s="64"/>
      <x:c r="Z15" s="64" t="str">
        <x:v>未复核</x:v>
      </x:c>
      <x:c r="AA15" s="64" t="str">
        <x:v>部分充分</x:v>
      </x:c>
      <x:c r="AB15" s="64" t="str">
        <x:v>有效</x:v>
      </x:c>
      <x:c r="AC15" s="64" t="str">
        <x:v>部分核验</x:v>
      </x:c>
      <x:c r="AD15" s="64" t="str">
        <x:v>自动默认</x:v>
      </x:c>
      <x:c r="AE15" s="64" t="str">
        <x:v>正式实验候选</x:v>
      </x:c>
      <x:c r="AF15" s="64" t="str">
        <x:v>待分流</x:v>
      </x:c>
      <x:c r="AG15" s="64"/>
      <x:c r="AH15" s="64"/>
      <x:c r="AI15" s="64"/>
      <x:c r="AJ15" s="64"/>
      <x:c r="AK15" s="64"/>
      <x:c r="AL15" s="64"/>
      <x:c r="AM15" s="64"/>
      <x:c r="AN15" s="48" t="str">
        <x:v>74</x:v>
      </x:c>
      <x:c r="AO15" s="48" t="str">
        <x:v>MAP_无误</x:v>
      </x:c>
      <x:c r="AP15" s="48" t="str">
        <x:v>存在报告证据，但尚未经人工逐项核验；已列依据来源，但未在本阶段逐条核验</x:v>
      </x:c>
      <x:c r="AQ15" s="64"/>
      <x:c r="AR15" s="48" t="str">
        <x:v>solid_waste_standard</x:v>
      </x:c>
      <x:c r="AS15" s="48" t="str">
        <x:v>L2_application</x:v>
      </x:c>
      <x:c r="AT15" s="48" t="str">
        <x:v>rule_applicability</x:v>
      </x:c>
      <x:c r="AU15" s="48" t="str">
        <x:v>basis_grounding</x:v>
      </x:c>
      <x:c r="AV15" s="48" t="str">
        <x:v>report_grounding</x:v>
      </x:c>
      <x:c r="AW15" s="48" t="str">
        <x:v>high</x:v>
      </x:c>
      <x:c r="AX15" s="48" t="str">
        <x:v>medium</x:v>
      </x:c>
      <x:c r="AY15" s="48" t="str">
        <x:v>report_plus_external</x:v>
      </x:c>
      <x:c r="AZ15" s="48" t="str">
        <x:v>True</x:v>
      </x:c>
      <x:c r="BA15" s="48"/>
      <x:c r="BB15" s="48" t="str">
        <x:v>auto_default</x:v>
      </x:c>
      <x:c r="BC15" s="48" t="str">
        <x:v>v1</x:v>
      </x:c>
      <x:c r="BD15" s="68"/>
    </x:row>
    <x:row r="16" ht="36" customHeight="1">
      <x:c r="A16" s="47" t="str">
        <x:v>2026-07-27</x:v>
      </x:c>
      <x:c r="B16" s="48" t="str">
        <x:v>PL014</x:v>
      </x:c>
      <x:c r="C16" s="48" t="str">
        <x:v>V01</x:v>
      </x:c>
      <x:c r="D16" s="48" t="str">
        <x:v>PL014_佛山市顺德区蓝顿涂料有限公司迁建项目_01_修改评估意见.docx</x:v>
      </x:c>
      <x:c r="E16" s="48" t="str">
        <x:v>佛山市顺德区蓝顿涂料有限公司迁建项目</x:v>
      </x:c>
      <x:c r="F16" s="48" t="str">
        <x:v>PL014_Emission_固体</x:v>
      </x:c>
      <x:c r="G16" s="48" t="str">
        <x:v>污染物排放标准-固体废物控制标准</x:v>
      </x:c>
      <x:c r="H16" s="48" t="str">
        <x:v>请根据项目产生的固体废物和危险废物类型，判断固体废物控制标准选取是否合理。要求总结一般工业固体废物和危险废物执行标准的标准名称及编号，分析是否缺少必要标准条目。</x:v>
      </x:c>
      <x:c r="I16" s="48" t="str">
        <x:v>1、固体废物控制排放中执行标准内容：无误；
2、固体废物控制排放内容总结：报告已引用相关法律法规和标准，固体废物控制标准编制完整，符合知识库要求的标准清单。（注：GB18599-2020《一般工业固体废物贮存和填埋污染控制标准》不在当前审核知识库必须满足的标准清单中，不作为判定缺漏的依据。）</x:v>
      </x:c>
      <x:c r="J16" s="48" t="str">
        <x:v>1. 大气标准（有组织）：'迁建前项目有组织颗粒物、VOCs可达到《涂料、油墨及胶黏剂工业大气污染物排放标准》（GB37824-2019）表2大气污染物特别排放限值要求；臭气浓度可达到《恶臭污染物排放标准》（GB14554-1993）表2恶臭污染物排放标准值要求。'
2. 大气标准（无组织）：'迁建前项目无组织颗粒物可达到广东省地方标准《大气污染物排放限值》（GB44/27-2001）第二时段无组织排放监控浓度限值要求'；'迁建前项目无组织NMHC可达到《挥发性有机物无组织排放控制标准》（GB37822-2019）表A.1厂区内VOCs无组织特别排放限值要求。'
3. 噪声标准：'根据监测结果可知，厂界噪声可达到《工业企业厂界环境噪声排放标准》（GB12348-2008）中3类标准。'
4. 水标准：'迁建前项目外排废水主要为员工生活污水……经独立的生活污水处理设施处理达标后排至附近竹筒窖涌。'（未明确执行标准名称）</x:v>
      </x:c>
      <x:c r="K16" s="48" t="str">
        <x:v>emission-standard-kb.jsonl; DB44/26-2001; DB44/2367-2022; GB31572-2015; GB14554-93; GB12348-2008; GB18597-2023; GB18599-2020</x:v>
      </x:c>
      <x:c r="L16" s="48" t="str">
        <x:v>2</x:v>
      </x:c>
      <x:c r="M16" s="48" t="str">
        <x:v>2</x:v>
      </x:c>
      <x:c r="N16" s="48" t="str">
        <x:v>False</x:v>
      </x:c>
      <x:c r="O16" s="48" t="str">
        <x:v>无误</x:v>
      </x:c>
      <x:c r="P16" s="48" t="str">
        <x:v>水:无法判断——迁建前生活污水未明确排放标准，迁建后水标准未在本段文本呈现。; 大气:存在错误——标准编号'GB44/27-2001'书写有误（应为DB44/27-2001）；颗粒物无组织标准选取与行业标准GB37824-2019不一致；迁建后标准未完整呈现。; 噪声:无误——迁建前GB12348-2008 3类标准选取正确；迁建后标准未明确。; 固体废物:无法判断——文本未明确引用固体废物污染控制标准。</x:v>
      </x:c>
      <x:c r="Q16" s="48"/>
      <x:c r="R16" s="48"/>
      <x:c r="S16" s="48" t="str">
        <x:v>否</x:v>
      </x:c>
      <x:c r="T16" s="48" t="str">
        <x:v>修正：GB18599-2020不在知识库必须满足的标准清单中，原判定依据已更正。原综合排放标准问答对拆分而来</x:v>
      </x:c>
      <x:c r="U16" s="48" t="str">
        <x:v>30份环评_污染物排放控制执行标准复核QA(拆分版)</x:v>
      </x:c>
      <x:c r="V16" s="48" t="str">
        <x:v>固体废物控制标准</x:v>
      </x:c>
      <x:c r="W16" s="48" t="str">
        <x:v>无误</x:v>
      </x:c>
      <x:c r="X16" s="48" t="str">
        <x:v>无误</x:v>
      </x:c>
      <x:c r="Y16" s="64"/>
      <x:c r="Z16" s="64" t="str">
        <x:v>未复核</x:v>
      </x:c>
      <x:c r="AA16" s="64" t="str">
        <x:v>部分充分</x:v>
      </x:c>
      <x:c r="AB16" s="64" t="str">
        <x:v>有效</x:v>
      </x:c>
      <x:c r="AC16" s="64" t="str">
        <x:v>部分核验</x:v>
      </x:c>
      <x:c r="AD16" s="64" t="str">
        <x:v>自动默认</x:v>
      </x:c>
      <x:c r="AE16" s="64" t="str">
        <x:v>正式实验候选</x:v>
      </x:c>
      <x:c r="AF16" s="64" t="str">
        <x:v>待分流</x:v>
      </x:c>
      <x:c r="AG16" s="64"/>
      <x:c r="AH16" s="64"/>
      <x:c r="AI16" s="64"/>
      <x:c r="AJ16" s="64"/>
      <x:c r="AK16" s="64"/>
      <x:c r="AL16" s="64"/>
      <x:c r="AM16" s="64"/>
      <x:c r="AN16" s="48" t="str">
        <x:v>79</x:v>
      </x:c>
      <x:c r="AO16" s="48" t="str">
        <x:v>MAP_无误</x:v>
      </x:c>
      <x:c r="AP16" s="48" t="str">
        <x:v>存在报告证据，但尚未经人工逐项核验；已列依据来源，但未在本阶段逐条核验</x:v>
      </x:c>
      <x:c r="AQ16" s="64"/>
      <x:c r="AR16" s="48" t="str">
        <x:v>solid_waste_standard</x:v>
      </x:c>
      <x:c r="AS16" s="48" t="str">
        <x:v>L2_application</x:v>
      </x:c>
      <x:c r="AT16" s="48" t="str">
        <x:v>rule_applicability</x:v>
      </x:c>
      <x:c r="AU16" s="48" t="str">
        <x:v>basis_grounding</x:v>
      </x:c>
      <x:c r="AV16" s="48" t="str">
        <x:v>report_grounding</x:v>
      </x:c>
      <x:c r="AW16" s="48" t="str">
        <x:v>high</x:v>
      </x:c>
      <x:c r="AX16" s="48" t="str">
        <x:v>medium</x:v>
      </x:c>
      <x:c r="AY16" s="48" t="str">
        <x:v>report_plus_external</x:v>
      </x:c>
      <x:c r="AZ16" s="48" t="str">
        <x:v>True</x:v>
      </x:c>
      <x:c r="BA16" s="48"/>
      <x:c r="BB16" s="48" t="str">
        <x:v>auto_default</x:v>
      </x:c>
      <x:c r="BC16" s="48" t="str">
        <x:v>v1</x:v>
      </x:c>
      <x:c r="BD16" s="68"/>
    </x:row>
    <x:row r="17" ht="36" customHeight="1">
      <x:c r="A17" s="47" t="str">
        <x:v>2026-07-27</x:v>
      </x:c>
      <x:c r="B17" s="48" t="str">
        <x:v>PL015</x:v>
      </x:c>
      <x:c r="C17" s="48" t="str">
        <x:v>V01</x:v>
      </x:c>
      <x:c r="D17" s="48" t="str">
        <x:v>PL015_佛山市镪优金属制品有限公司迁扩建项目_01_修改评估意见.docx</x:v>
      </x:c>
      <x:c r="E17" s="48" t="str">
        <x:v>佛山市镪优金属制品有限公司迁扩建项目</x:v>
      </x:c>
      <x:c r="F17" s="48" t="str">
        <x:v>PL015_Emission_固体</x:v>
      </x:c>
      <x:c r="G17" s="48" t="str">
        <x:v>污染物排放标准-固体废物控制标准</x:v>
      </x:c>
      <x:c r="H17" s="48" t="str">
        <x:v>请根据项目产生的固体废物和危险废物类型，判断固体废物控制标准选取是否合理。要求总结一般工业固体废物和危险废物执行标准的标准名称及编号，分析是否缺少必要标准条目。</x:v>
      </x:c>
      <x:c r="I17" s="48" t="str">
        <x:v>1、固体废物控制排放中执行标准内容：无误；
2、固体废物控制排放内容总结：报告已引用《危险废物贮存污染控制标准》（GB18597-2023），固体废物控制标准编制完整，符合知识库要求的标准清单。（注：GB18599-2020《一般工业固体废物贮存和填埋污染控制标准》不在当前审核知识库必须满足的标准清单中，不作为判定缺漏的依据。）</x:v>
      </x:c>
      <x:c r="J17" s="48" t="str">
        <x:v>固废标准：'危险废物执行《国家危险废物名录》、《危险废物贮存污染控制标准》（GB18597-2023）和《危险废物收集贮存运输技术规范》（HJ 2025-2012）相关要求。'</x:v>
      </x:c>
      <x:c r="K17" s="48" t="str">
        <x:v>emission-standard-kb.jsonl; DB44/26-2001; DB44/2367-2022; GB31572-2015; GB14554-93; GB12348-2008; GB18597-2023; GB18599-2020</x:v>
      </x:c>
      <x:c r="L17" s="48" t="str">
        <x:v>2</x:v>
      </x:c>
      <x:c r="M17" s="48" t="str">
        <x:v>2</x:v>
      </x:c>
      <x:c r="N17" s="48" t="str">
        <x:v>False</x:v>
      </x:c>
      <x:c r="O17" s="48" t="str">
        <x:v>无误</x:v>
      </x:c>
      <x:c r="P17" s="48" t="str">
        <x:v>水:需复核——尾水执行GB18918-2002一级B标准，可能低于顺德区城镇污水处理厂一级A要求；生产废水执行DB44/26-2001第二时段二级标准。; 大气:存在缺漏——颗粒物、VOCs、臭气标准选取基本合理，但燃烧废气依据政策文件（粤环函[2019]1112号）而非正式排放标准GB9078-1996。; 噪声:无误——GB12348-2008 2类标准选取正确（项目位于声环境2类区）。; 固体废物:存在缺漏——危险废物标准引用较完整（含HJ2025-2012），但一般工业固体废物未引用GB18599-2020及GB34330-2017。</x:v>
      </x:c>
      <x:c r="Q17" s="48"/>
      <x:c r="R17" s="48"/>
      <x:c r="S17" s="48" t="str">
        <x:v>否</x:v>
      </x:c>
      <x:c r="T17" s="48" t="str">
        <x:v>修正：GB18599-2020不在知识库必须满足的标准清单中，原判定依据已更正。原综合排放标准问答对拆分而来</x:v>
      </x:c>
      <x:c r="U17" s="48" t="str">
        <x:v>30份环评_污染物排放控制执行标准复核QA(拆分版)</x:v>
      </x:c>
      <x:c r="V17" s="48" t="str">
        <x:v>固体废物控制标准</x:v>
      </x:c>
      <x:c r="W17" s="48" t="str">
        <x:v>无误</x:v>
      </x:c>
      <x:c r="X17" s="48" t="str">
        <x:v>无误</x:v>
      </x:c>
      <x:c r="Y17" s="64"/>
      <x:c r="Z17" s="64" t="str">
        <x:v>未复核</x:v>
      </x:c>
      <x:c r="AA17" s="64" t="str">
        <x:v>部分充分</x:v>
      </x:c>
      <x:c r="AB17" s="64" t="str">
        <x:v>有效</x:v>
      </x:c>
      <x:c r="AC17" s="64" t="str">
        <x:v>部分核验</x:v>
      </x:c>
      <x:c r="AD17" s="64" t="str">
        <x:v>自动默认</x:v>
      </x:c>
      <x:c r="AE17" s="64" t="str">
        <x:v>正式实验候选</x:v>
      </x:c>
      <x:c r="AF17" s="64" t="str">
        <x:v>待分流</x:v>
      </x:c>
      <x:c r="AG17" s="64"/>
      <x:c r="AH17" s="64"/>
      <x:c r="AI17" s="64"/>
      <x:c r="AJ17" s="64"/>
      <x:c r="AK17" s="64"/>
      <x:c r="AL17" s="64"/>
      <x:c r="AM17" s="64"/>
      <x:c r="AN17" s="48" t="str">
        <x:v>84</x:v>
      </x:c>
      <x:c r="AO17" s="48" t="str">
        <x:v>MAP_无误</x:v>
      </x:c>
      <x:c r="AP17" s="48" t="str">
        <x:v>存在报告证据，但尚未经人工逐项核验；已列依据来源，但未在本阶段逐条核验</x:v>
      </x:c>
      <x:c r="AQ17" s="64"/>
      <x:c r="AR17" s="48" t="str">
        <x:v>solid_waste_standard</x:v>
      </x:c>
      <x:c r="AS17" s="48" t="str">
        <x:v>L2_application</x:v>
      </x:c>
      <x:c r="AT17" s="48" t="str">
        <x:v>rule_applicability</x:v>
      </x:c>
      <x:c r="AU17" s="48" t="str">
        <x:v>basis_grounding</x:v>
      </x:c>
      <x:c r="AV17" s="48" t="str">
        <x:v>report_grounding</x:v>
      </x:c>
      <x:c r="AW17" s="48" t="str">
        <x:v>high</x:v>
      </x:c>
      <x:c r="AX17" s="48" t="str">
        <x:v>medium</x:v>
      </x:c>
      <x:c r="AY17" s="48" t="str">
        <x:v>report_plus_external</x:v>
      </x:c>
      <x:c r="AZ17" s="48" t="str">
        <x:v>True</x:v>
      </x:c>
      <x:c r="BA17" s="48"/>
      <x:c r="BB17" s="48" t="str">
        <x:v>auto_default</x:v>
      </x:c>
      <x:c r="BC17" s="48" t="str">
        <x:v>v1</x:v>
      </x:c>
      <x:c r="BD17" s="68"/>
    </x:row>
    <x:row r="18" ht="36" customHeight="1">
      <x:c r="A18" s="47" t="str">
        <x:v>2026-07-27</x:v>
      </x:c>
      <x:c r="B18" s="48" t="str">
        <x:v>PL026</x:v>
      </x:c>
      <x:c r="C18" s="48" t="str">
        <x:v>V01</x:v>
      </x:c>
      <x:c r="D18" s="48" t="str">
        <x:v>PL026_佛山市黑曜电器科技有限公司新建项目_01_报批稿或报告表.pdf</x:v>
      </x:c>
      <x:c r="E18" s="48" t="str">
        <x:v>佛山市黑曜电器科技有限公司新建项目</x:v>
      </x:c>
      <x:c r="F18" s="48" t="str">
        <x:v>PL026_Emission_大气</x:v>
      </x:c>
      <x:c r="G18" s="48" t="str">
        <x:v>污染物排放标准-大气污染物排放标准</x:v>
      </x:c>
      <x:c r="H18" s="48" t="str">
        <x:v>请根据项目行业类别、生产工艺和污染因子，判断大气污染物排放标准选取是否合理。要求分析：污染源覆盖是否完整（列出所有大气污染源及对应标准），是否存在缺漏的污染源或标准。</x:v>
      </x:c>
      <x:c r="I18" s="48" t="str">
        <x:v>1、污染排放标准分析污染源内容：完整；
2、大气污染物排放标准分析：无误。报告对四类大气污染源均编制了执行标准，覆盖完整：（1）有组织非甲烷总烃执行GB31572-2015（含2024年修改单）表4大气污染物排放限值（100mg/m³，52m排气筒），与知识库ESK-GB31572-TABLE4-001一致；（2）臭气浓度执行GB14554-93表2恶臭污染物排放标准值（臭气浓度≤40000无量纲，排气筒高度52m）及表1新扩改建项目厂界二级标准值（≤20无量纲），52m排气筒高于50m，取50m对应限值40000，选取正确；（3）厂区内VOCs无组织排放执行DB44/2367-2022表3厂区内VOCs无组织排放限值，与知识库ESK-DB44-2367-TABLE3-001/002一致；（4）破碎颗粒物无组织排放执行DB44/27-2001第二时段无组织排放监控浓度限值，标准选取正确。大气标准编制完整准确。
3、</x:v>
      </x:c>
      <x:c r="J18" s="48" t="str">
        <x:v>2、大气："项目注塑工艺会产生有机废气，有组织排放执行《合成树脂工业污染物排放标准》（GB31572-2015（含2024年修改单））中表4规定的大气污染物排放限值。""项目注塑过程中臭气浓度执行《恶臭污染物排放标准》（GB14554-93）中表2恶臭污染物排放标准值（臭气浓度≤40000（无量纲），排气筒高度52m）及表1新扩改建项目厂界二级标准值（二级标准中新扩改建：≤20（无量纲））。""项目厂区内VOCs无组织排放监控点浓度应满足广东省地方标准《固定污染源挥发性有机物综合排放标准》（DB44/2367-2022）表3厂区内VOCs无组织排放限值要求。""颗粒物无组织排放执行广东省《大气污染物排放限值》（DB44/27-2001）第二时段无组织排放监控浓度限值。"</x:v>
      </x:c>
      <x:c r="K18" s="48" t="str">
        <x:v>emission-standard-kb.jsonl; DB44/26-2001; DB44/2367-2022; GB31572-2015; GB14554-93; GB12348-2008; GB18597-2023; GB18599-2020</x:v>
      </x:c>
      <x:c r="L18" s="48" t="str">
        <x:v>2</x:v>
      </x:c>
      <x:c r="M18" s="48" t="str">
        <x:v>2</x:v>
      </x:c>
      <x:c r="N18" s="48" t="str">
        <x:v>False</x:v>
      </x:c>
      <x:c r="O18" s="48" t="str">
        <x:v>无误</x:v>
      </x:c>
      <x:c r="P18" s="48" t="str">
        <x:v>水:无误——企业排口标准（DB44/26-2001第二时段三级标准）和污水处理厂尾水标准（GB18918-2002一级A及DB44/26-2001第二时段一级标准较严值）均明确引用，限值表完整，与知识库一致。; 大气:无误——有组织非甲烷总烃（GB31572-2015表4，100mg/m³）、臭气浓度（GB14554-93表2≤40000无量纲/表1厂界≤20无量纲）、厂区内无组织VOCs（DB44/2367-2022表3）、颗粒物无组织（DB44/27-2001第二时段）四类污染源标准均完整引用，与知识库一致。; 噪声:存在缺漏——声环境2类功能区已有依据，但排放标准章节未明确引用GB12348-2008及昼夜限值（昼60/夜50dB(A)）。; 固体废物:存在缺漏——提取文本中未发现固体废物控制标准，未引用固废法、GB34330-2017、GB18597-2023、GB18599-2020、国家危险废物名录等。</x:v>
      </x:c>
      <x:c r="Q18" s="48"/>
      <x:c r="R18" s="48"/>
      <x:c r="S18" s="48" t="str">
        <x:v>否</x:v>
      </x:c>
      <x:c r="T18" s="48" t="str">
        <x:v>原综合排放标准问答对拆分而来</x:v>
      </x:c>
      <x:c r="U18" s="48" t="str">
        <x:v>30份环评_污染物排放控制执行标准复核QA(拆分版)</x:v>
      </x:c>
      <x:c r="V18" s="48" t="str">
        <x:v>大气污染物排放标准</x:v>
      </x:c>
      <x:c r="W18" s="48" t="str">
        <x:v>无误</x:v>
      </x:c>
      <x:c r="X18" s="48" t="str">
        <x:v>无误</x:v>
      </x:c>
      <x:c r="Y18" s="64"/>
      <x:c r="Z18" s="64" t="str">
        <x:v>未复核</x:v>
      </x:c>
      <x:c r="AA18" s="64" t="str">
        <x:v>部分充分</x:v>
      </x:c>
      <x:c r="AB18" s="64" t="str">
        <x:v>有效</x:v>
      </x:c>
      <x:c r="AC18" s="64" t="str">
        <x:v>部分核验</x:v>
      </x:c>
      <x:c r="AD18" s="64" t="str">
        <x:v>自动默认</x:v>
      </x:c>
      <x:c r="AE18" s="64" t="str">
        <x:v>正式实验候选</x:v>
      </x:c>
      <x:c r="AF18" s="64" t="str">
        <x:v>待分流</x:v>
      </x:c>
      <x:c r="AG18" s="64"/>
      <x:c r="AH18" s="64"/>
      <x:c r="AI18" s="64"/>
      <x:c r="AJ18" s="64"/>
      <x:c r="AK18" s="64"/>
      <x:c r="AL18" s="64"/>
      <x:c r="AM18" s="64"/>
      <x:c r="AN18" s="48" t="str">
        <x:v>138</x:v>
      </x:c>
      <x:c r="AO18" s="48" t="str">
        <x:v>MAP_无误</x:v>
      </x:c>
      <x:c r="AP18" s="48" t="str">
        <x:v>存在报告证据，但尚未经人工逐项核验；已列依据来源，但未在本阶段逐条核验</x:v>
      </x:c>
      <x:c r="AQ18" s="64"/>
      <x:c r="AR18" s="48" t="str">
        <x:v>air_emission_standard</x:v>
      </x:c>
      <x:c r="AS18" s="48" t="str">
        <x:v>L3_analysis</x:v>
      </x:c>
      <x:c r="AT18" s="48" t="str">
        <x:v>multi_evidence_synthesis</x:v>
      </x:c>
      <x:c r="AU18" s="48" t="str">
        <x:v>basis_grounding</x:v>
      </x:c>
      <x:c r="AV18" s="48" t="str">
        <x:v>report_grounding；evidence_integration</x:v>
      </x:c>
      <x:c r="AW18" s="48" t="str">
        <x:v>high</x:v>
      </x:c>
      <x:c r="AX18" s="48" t="str">
        <x:v>high</x:v>
      </x:c>
      <x:c r="AY18" s="48" t="str">
        <x:v>report_plus_external</x:v>
      </x:c>
      <x:c r="AZ18" s="48" t="str">
        <x:v>True</x:v>
      </x:c>
      <x:c r="BA18" s="48"/>
      <x:c r="BB18" s="48" t="str">
        <x:v>auto_default</x:v>
      </x:c>
      <x:c r="BC18" s="48" t="str">
        <x:v>v1</x:v>
      </x:c>
      <x:c r="BD18" s="68"/>
    </x:row>
    <x:row r="19" ht="36" customHeight="1">
      <x:c r="A19" s="47" t="str">
        <x:v>2026-07-27</x:v>
      </x:c>
      <x:c r="B19" s="48" t="str">
        <x:v>PL021</x:v>
      </x:c>
      <x:c r="C19" s="48" t="str">
        <x:v>V01</x:v>
      </x:c>
      <x:c r="D19" s="48" t="str">
        <x:v>PL021_佛山市顺德区共诺电子元件厂搬迁项目_01_受理公告或公示版.pdf</x:v>
      </x:c>
      <x:c r="E19" s="48" t="str">
        <x:v>佛山市顺德区共诺电子元件厂搬迁项目</x:v>
      </x:c>
      <x:c r="F19" s="48" t="str">
        <x:v>PL021_Emission_大气</x:v>
      </x:c>
      <x:c r="G19" s="48" t="str">
        <x:v>污染物排放标准-大气污染物排放标准</x:v>
      </x:c>
      <x:c r="H19" s="48" t="str">
        <x:v>请根据项目行业类别、生产工艺和污染因子，判断大气污染物排放标准选取是否合理。要求分析：污染源覆盖是否完整（列出所有大气污染源及对应标准），是否存在缺漏的污染源或标准。</x:v>
      </x:c>
      <x:c r="I19" s="48" t="str">
        <x:v>1、污染排放标准分析污染源内容：不完整；
2、大气污染物排放标准分析：存在缺漏。从现有工程污染物排放情况表可提取标准引用：非甲烷总烃有组织排放执行GB31572-2015表4（100mg/m³），非甲烷总烃无组织执行DB44/2367-2022表3厂区内VOCs无组织排放限值，塑料粉尘（颗粒物）无组织执行DB44/27-2001第二时段（1.0mg/m³），以上标准选取正确。但存在以下缺漏：（1）产污环节表列出臭气浓度为注塑废气污染因子，但报告未引用《恶臭污染物排放标准》（GB14554-93）表2排气筒排放标准值（15m排气筒≤2000无量纲）和表1厂界二级标准值（新扩改建≤20无量纲）；（2）搬迁后项目排放标准章节未在提取文本中完整呈现，无法确认是否已更新标准引用。
3、</x:v>
      </x:c>
      <x:c r="J19" s="48" t="str">
        <x:v>2、大气（现有工程表）："达到《合成树脂工业污染物排放标准》（GB31572-2015）表4规定的大气污染物排放限值"；"执行广东省《固定污染源挥发性有机物综合排放标准》（DB44/2367-2022）表3厂区内VOCs无组织排放限值"；"达到广东省《大气污染物排放限值》（DB44/27-2001）第二时段"（颗粒物无组织1.0mg/m³）。
3、产污环节表：注塑废气污染因子含"非甲烷总烃"和"臭气浓度"。
4、噪声：提取文本中未发现噪声排放标准。
5、固体废物："设立固废间1个，面积10m²，用于一般固体废物暂存""设有危废间1个，面积5m²，危险废物收集暂存于危废间并委托有资质的单位定期处理"，未引用具体标准。</x:v>
      </x:c>
      <x:c r="K19" s="48" t="str">
        <x:v>emission-standard-kb.jsonl; DB44/26-2001; DB44/2367-2022; GB31572-2015; GB14554-93; GB12348-2008; GB18597-2023; GB18599-2020</x:v>
      </x:c>
      <x:c r="L19" s="48" t="str">
        <x:v>2</x:v>
      </x:c>
      <x:c r="M19" s="48" t="str">
        <x:v>2</x:v>
      </x:c>
      <x:c r="N19" s="48" t="str">
        <x:v>False</x:v>
      </x:c>
      <x:c r="O19" s="48" t="str">
        <x:v>存在缺漏</x:v>
      </x:c>
      <x:c r="P19" s="48" t="str">
        <x:v>水:存在缺漏——污水处理厂尾水标准已引用，但搬迁后企业生活污水排口预处理标准（DB44/26-2001第二时段三级标准）未明确。; 大气:存在缺漏——非甲烷总烃有组织（GB31572-2015表4）、无组织（DB44/2367-2022表3）和颗粒物无组织（DB44/27-2001第二时段）标准正确，但臭气浓度标准（GB14554-93）缺失。; 噪声:存在缺漏——提取文本中未发现噪声排放标准，未引用GB12348-2008。; 固体废物:存在缺漏——仅描述处置方式，未引用固废法、GB34330-2017、GB18597-2023、GB18599-2020、国家危险废物名录等控制标准。</x:v>
      </x:c>
      <x:c r="Q19" s="48"/>
      <x:c r="R19" s="48"/>
      <x:c r="S19" s="48" t="str">
        <x:v>是</x:v>
      </x:c>
      <x:c r="T19" s="48" t="str">
        <x:v>原综合排放标准问答对拆分而来</x:v>
      </x:c>
      <x:c r="U19" s="48" t="str">
        <x:v>30份环评_污染物排放控制执行标准复核QA(拆分版)</x:v>
      </x:c>
      <x:c r="V19" s="48" t="str">
        <x:v>大气污染物排放标准</x:v>
      </x:c>
      <x:c r="W19" s="48" t="str">
        <x:v>存在缺漏</x:v>
      </x:c>
      <x:c r="X19" s="48" t="str">
        <x:v>存在缺漏</x:v>
      </x:c>
      <x:c r="Y19" s="64"/>
      <x:c r="Z19" s="64" t="str">
        <x:v>未复核</x:v>
      </x:c>
      <x:c r="AA19" s="64" t="str">
        <x:v>不足</x:v>
      </x:c>
      <x:c r="AB19" s="64" t="str">
        <x:v>有效</x:v>
      </x:c>
      <x:c r="AC19" s="64" t="str">
        <x:v>部分核验</x:v>
      </x:c>
      <x:c r="AD19" s="64" t="str">
        <x:v>自动默认</x:v>
      </x:c>
      <x:c r="AE19" s="64" t="str">
        <x:v>正式实验候选</x:v>
      </x:c>
      <x:c r="AF19" s="64" t="str">
        <x:v>B_证据不足</x:v>
      </x:c>
      <x:c r="AG19" s="64"/>
      <x:c r="AH19" s="64"/>
      <x:c r="AI19" s="64"/>
      <x:c r="AJ19" s="64"/>
      <x:c r="AK19" s="64"/>
      <x:c r="AL19" s="64"/>
      <x:c r="AM19" s="64"/>
      <x:c r="AN19" s="48" t="str">
        <x:v>110</x:v>
      </x:c>
      <x:c r="AO19" s="48" t="str">
        <x:v>MAP_存在缺漏</x:v>
      </x:c>
      <x:c r="AP19" s="48" t="str">
        <x:v>命中证据不足候选词：无法确认；已列依据来源，但未在本阶段逐条核验</x:v>
      </x:c>
      <x:c r="AQ19" s="64"/>
      <x:c r="AR19" s="48" t="str">
        <x:v>air_emission_standard</x:v>
      </x:c>
      <x:c r="AS19" s="48" t="str">
        <x:v>L3_analysis</x:v>
      </x:c>
      <x:c r="AT19" s="48" t="str">
        <x:v>multi_evidence_synthesis</x:v>
      </x:c>
      <x:c r="AU19" s="48" t="str">
        <x:v>basis_grounding</x:v>
      </x:c>
      <x:c r="AV19" s="48" t="str">
        <x:v>report_grounding；evidence_integration</x:v>
      </x:c>
      <x:c r="AW19" s="48" t="str">
        <x:v>high</x:v>
      </x:c>
      <x:c r="AX19" s="48" t="str">
        <x:v>high</x:v>
      </x:c>
      <x:c r="AY19" s="48" t="str">
        <x:v>report_plus_external</x:v>
      </x:c>
      <x:c r="AZ19" s="48" t="str">
        <x:v>True</x:v>
      </x:c>
      <x:c r="BA19" s="48"/>
      <x:c r="BB19" s="48" t="str">
        <x:v>auto_default</x:v>
      </x:c>
      <x:c r="BC19" s="48" t="str">
        <x:v>v1</x:v>
      </x:c>
      <x:c r="BD19" s="68"/>
    </x:row>
    <x:row r="20" ht="36" customHeight="1">
      <x:c r="A20" s="47" t="str">
        <x:v>2026-07-27</x:v>
      </x:c>
      <x:c r="B20" s="48" t="str">
        <x:v>PL028</x:v>
      </x:c>
      <x:c r="C20" s="48" t="str">
        <x:v>V01</x:v>
      </x:c>
      <x:c r="D20" s="48" t="str">
        <x:v>PL028_佛山市顺德区振峰塑料模具制造有限公司分车间新建项目_01_受理公告或公示版.pdf</x:v>
      </x:c>
      <x:c r="E20" s="48" t="str">
        <x:v>佛山市顺德区振峰塑料模具制造有限公司分车间新建项目</x:v>
      </x:c>
      <x:c r="F20" s="48" t="str">
        <x:v>PL028_Emission_大气</x:v>
      </x:c>
      <x:c r="G20" s="48" t="str">
        <x:v>污染物排放标准-大气污染物排放标准</x:v>
      </x:c>
      <x:c r="H20" s="48" t="str">
        <x:v>请根据项目行业类别、生产工艺和污染因子，判断大气污染物排放标准选取是否合理。要求分析：污染源覆盖是否完整（列出所有大气污染源及对应标准），是否存在缺漏的污染源或标准。</x:v>
      </x:c>
      <x:c r="I20" s="48" t="str">
        <x:v>1、污染排放标准分析污染源内容：完整；
2、大气污染物排放标准分析：报告分项列明各污染因子执行标准——（1）有机废气：注塑非甲烷总烃及特征污染物（苯乙烯、丙烯腈、1,3-丁二烯、甲苯、乙苯、酚类、光气、氯苯类、二氯甲烷）有组织执行《合成树脂工业污染物排放标准》（GB31572-2015，含2024年修改单）表4排放限值；厂区内无组织NMHC执行《固定污染源挥发性有机物综合排放标准》（DB44/2367-2022）表3限值（1h平均≤6mg/m3，任意一次≤20mg/m3）。（2）恶臭：臭气浓度执行《恶臭污染物排放标准》（GB14554-93）表1厂界二级标准（≤20无量纲）及表2中25m排气筒有组织标准（≤6000无量纲）。（3）颗粒物：破碎及机加工颗粒物无组织执行《大气污染物排放限值》（DB44/27-2001）第二时段厂界监控浓度限值（≤1.0mg/m3）。报告以表3-5、表3-6结构化列出各工序污染因子的有组织/无组织排放限值及标准来源，标准选取完整准确。排气筒实际高度24m，按四舍五入执行25m臭气浓度标准值，做法合理并已说明依据。无误。
3.</x:v>
      </x:c>
      <x:c r="J20" s="4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无组织颗粒物执行广东省地方标准《大气污染物排放限值》（DB44/27-2001）第二时段厂界监控点浓度限值要求。」
3.</x:v>
      </x:c>
      <x:c r="K20" s="48" t="str">
        <x:v>emission-standard-kb.jsonl; DB44/26-2001; DB44/2367-2022; GB31572-2015; GB14554-93; GB12348-2008; GB18597-2023; GB18599-2020</x:v>
      </x:c>
      <x:c r="L20" s="48" t="str">
        <x:v>2</x:v>
      </x:c>
      <x:c r="M20" s="48" t="str">
        <x:v>2</x:v>
      </x:c>
      <x:c r="N20" s="48" t="str">
        <x:v>False</x:v>
      </x:c>
      <x:c r="O20" s="48" t="str">
        <x:v>无误</x:v>
      </x:c>
      <x:c r="P20" s="48" t="str">
        <x:v>水:无误——DB44/26-2001第二时段三级标准（预处理）及GB18918-2002一级A+DB44/26-2001第二时段一级标准较严值（污水处理厂尾水）选取正确，限值列表完整; 大气:无误——GB31572-2015（含2024修改单）表4、DB44/2367-2022表3、GB14554-93表1+表2、DB44/27-2001第二时段均正确引用，有组织/无组织限值完整; 噪声:无误——GB12348-2008 3类标准选取正确; 固体废物:存在缺漏——GB18597-2023（危废）引用正确，但一般工业固废未明确引用GB18599-2020标准号</x:v>
      </x:c>
      <x:c r="Q20" s="48"/>
      <x:c r="R20" s="48"/>
      <x:c r="S20" s="48" t="str">
        <x:v>否</x:v>
      </x:c>
      <x:c r="T20" s="48" t="str">
        <x:v>原综合排放标准问答对拆分而来</x:v>
      </x:c>
      <x:c r="U20" s="48" t="str">
        <x:v>30份环评_污染物排放控制执行标准复核QA(拆分版)</x:v>
      </x:c>
      <x:c r="V20" s="48" t="str">
        <x:v>大气污染物排放标准</x:v>
      </x:c>
      <x:c r="W20" s="48" t="str">
        <x:v>无误</x:v>
      </x:c>
      <x:c r="X20" s="48" t="str">
        <x:v>无误</x:v>
      </x:c>
      <x:c r="Y20" s="64"/>
      <x:c r="Z20" s="64" t="str">
        <x:v>未复核</x:v>
      </x:c>
      <x:c r="AA20" s="64" t="str">
        <x:v>部分充分</x:v>
      </x:c>
      <x:c r="AB20" s="64" t="str">
        <x:v>有效</x:v>
      </x:c>
      <x:c r="AC20" s="64" t="str">
        <x:v>部分核验</x:v>
      </x:c>
      <x:c r="AD20" s="64" t="str">
        <x:v>自动默认</x:v>
      </x:c>
      <x:c r="AE20" s="64" t="str">
        <x:v>正式实验候选</x:v>
      </x:c>
      <x:c r="AF20" s="64" t="str">
        <x:v>待分流</x:v>
      </x:c>
      <x:c r="AG20" s="64"/>
      <x:c r="AH20" s="64"/>
      <x:c r="AI20" s="64"/>
      <x:c r="AJ20" s="64"/>
      <x:c r="AK20" s="64"/>
      <x:c r="AL20" s="64"/>
      <x:c r="AM20" s="64"/>
      <x:c r="AN20" s="48" t="str">
        <x:v>152</x:v>
      </x:c>
      <x:c r="AO20" s="48" t="str">
        <x:v>MAP_无误</x:v>
      </x:c>
      <x:c r="AP20" s="48" t="str">
        <x:v>存在报告证据，但尚未经人工逐项核验；已列依据来源，但未在本阶段逐条核验</x:v>
      </x:c>
      <x:c r="AQ20" s="64"/>
      <x:c r="AR20" s="48" t="str">
        <x:v>air_emission_standard</x:v>
      </x:c>
      <x:c r="AS20" s="48" t="str">
        <x:v>L3_analysis</x:v>
      </x:c>
      <x:c r="AT20" s="48" t="str">
        <x:v>multi_evidence_synthesis</x:v>
      </x:c>
      <x:c r="AU20" s="48" t="str">
        <x:v>basis_grounding</x:v>
      </x:c>
      <x:c r="AV20" s="48" t="str">
        <x:v>report_grounding；evidence_integration</x:v>
      </x:c>
      <x:c r="AW20" s="48" t="str">
        <x:v>high</x:v>
      </x:c>
      <x:c r="AX20" s="48" t="str">
        <x:v>high</x:v>
      </x:c>
      <x:c r="AY20" s="48" t="str">
        <x:v>report_plus_external</x:v>
      </x:c>
      <x:c r="AZ20" s="48" t="str">
        <x:v>True</x:v>
      </x:c>
      <x:c r="BA20" s="48"/>
      <x:c r="BB20" s="48" t="str">
        <x:v>auto_default</x:v>
      </x:c>
      <x:c r="BC20" s="48" t="str">
        <x:v>v1</x:v>
      </x:c>
      <x:c r="BD20" s="68"/>
    </x:row>
    <x:row r="21" ht="36" customHeight="1">
      <x:c r="A21" s="47" t="str">
        <x:v>2026-07-27</x:v>
      </x:c>
      <x:c r="B21" s="48" t="str">
        <x:v>PL022</x:v>
      </x:c>
      <x:c r="C21" s="48" t="str">
        <x:v>V01</x:v>
      </x:c>
      <x:c r="D21" s="48" t="str">
        <x:v>PL022_佛山市锐拓新材料有限公司新建项目_01_受理公告或公示版.pdf</x:v>
      </x:c>
      <x:c r="E21" s="48" t="str">
        <x:v>佛山市锐拓新材料有限公司新建项目</x:v>
      </x:c>
      <x:c r="F21" s="48" t="str">
        <x:v>PL022_Emission_大气</x:v>
      </x:c>
      <x:c r="G21" s="48" t="str">
        <x:v>污染物排放标准-大气污染物排放标准</x:v>
      </x:c>
      <x:c r="H21" s="48" t="str">
        <x:v>请根据项目行业类别、生产工艺和污染因子，判断大气污染物排放标准选取是否合理。要求分析：污染源覆盖是否完整（列出所有大气污染源及对应标准），是否存在缺漏的污染源或标准。</x:v>
      </x:c>
      <x:c r="I21" s="48" t="str">
        <x:v>1、污染排放标准分析污染源内容：不完整；
2、大气污染物排放标准分析：存在缺漏，且存在标准表号矛盾。报告排放标准章节引用《合成树脂工业污染物排放标准》（GB31572-2015，含2024年修改单）表4大气污染物排放限值，厂区内VOCs无组织排放引用《挥发性有机物无组织排放控制标准》（GB37822-2019）表A.1特别排放限值。但三线一单管控要求明确写道"挤出等合成树脂加工生产环节和生产设备其执行《合成树脂工业污染物排放标准》（GB31572-2015，含2024年修改单）表5规定的大气污染物特别排放限值"，与排放标准章节引用的表4存在矛盾。若项目所在重点管控区域要求执行特别排放限值，则应使用表5而非表4，此处可能存在标准表号选取错误。此外：（1）臭气浓度标准（GB14554-93）缺失，挤出工序产生臭气浓度但未引用标准；（2）GB37822-2019表A.1特别排放限值（1h平均≤6mg/m³，任意一次≤20mg/m³）与DB44/2367-2022表3限值一致，但报告未同时引用DB44/2367-2022；（3）企业边界大气污染物浓度限值（GB31572-2015表9）缺失。
3、</x:v>
      </x:c>
      <x:c r="J21" s="48" t="str">
        <x:v>2、大气（排放标准章节）："《合成树脂工业污染物排放标准》（GB31572-2015，含2024年修改单）表4大气污染物排放限值；厂区内VOCs无组织排放监控点浓度应符合《挥发性有机物无组织排放控制标准》（GB37822-2019）表A.1规定的特别排放限值。"
3、大气（三线一单管控要求）："挤出等合成树脂加工生产环节和生产设备其执行《合成树脂工业污染物排放标准》（GB31572-2015，含2024年修改单）表5规定的大气污染物特别排放限值（涉及PVC树脂的不执行）。"
4、噪声：提取文本中未发现噪声排放标准。
5、固体废物：提取文本中未发现固体废物控制标准。</x:v>
      </x:c>
      <x:c r="K21" s="48" t="str">
        <x:v>emission-standard-kb.jsonl; DB44/26-2001; DB44/2367-2022; GB31572-2015; GB14554-93; GB12348-2008; GB18597-2023; GB18599-2020</x:v>
      </x:c>
      <x:c r="L21" s="48" t="str">
        <x:v>2</x:v>
      </x:c>
      <x:c r="M21" s="48" t="str">
        <x:v>2</x:v>
      </x:c>
      <x:c r="N21" s="48" t="str">
        <x:v>False</x:v>
      </x:c>
      <x:c r="O21" s="48" t="str">
        <x:v>存在缺漏</x:v>
      </x:c>
      <x:c r="P21" s="48" t="str">
        <x:v>水:存在缺漏——污水处理厂尾水标准已引用，但企业生活污水排口预处理标准（DB44/26-2001第二时段三级标准）未明确。; 大气:存在缺漏——排放标准章节引用GB31572-2015表4，但三线一单管控要求明确应执行表5特别排放限值，二者矛盾；臭气浓度标准（GB14554-93）缺失；企业边界标准缺失。; 噪声:存在缺漏——提取文本中未发现噪声排放标准，功能区划分析提及声环境3类区但未引用GB12348-2008。; 固体废物:存在缺漏——提取文本中未发现固体废物控制标准。</x:v>
      </x:c>
      <x:c r="Q21" s="48"/>
      <x:c r="R21" s="48"/>
      <x:c r="S21" s="48" t="str">
        <x:v>是</x:v>
      </x:c>
      <x:c r="T21" s="48" t="str">
        <x:v>原综合排放标准问答对拆分而来</x:v>
      </x:c>
      <x:c r="U21" s="48" t="str">
        <x:v>30份环评_污染物排放控制执行标准复核QA(拆分版)</x:v>
      </x:c>
      <x:c r="V21" s="48" t="str">
        <x:v>大气污染物排放标准</x:v>
      </x:c>
      <x:c r="W21" s="48" t="str">
        <x:v>存在缺漏</x:v>
      </x:c>
      <x:c r="X21" s="48" t="str">
        <x:v>存在缺漏</x:v>
      </x:c>
      <x:c r="Y21" s="64"/>
      <x:c r="Z21" s="64" t="str">
        <x:v>未复核</x:v>
      </x:c>
      <x:c r="AA21" s="64" t="str">
        <x:v>部分充分</x:v>
      </x:c>
      <x:c r="AB21" s="64" t="str">
        <x:v>有效</x:v>
      </x:c>
      <x:c r="AC21" s="64" t="str">
        <x:v>部分核验</x:v>
      </x:c>
      <x:c r="AD21" s="64" t="str">
        <x:v>自动默认</x:v>
      </x:c>
      <x:c r="AE21" s="64" t="str">
        <x:v>正式实验候选</x:v>
      </x:c>
      <x:c r="AF21" s="64" t="str">
        <x:v>A_仅待终审</x:v>
      </x:c>
      <x:c r="AG21" s="64"/>
      <x:c r="AH21" s="64"/>
      <x:c r="AI21" s="64"/>
      <x:c r="AJ21" s="64"/>
      <x:c r="AK21" s="64"/>
      <x:c r="AL21" s="64"/>
      <x:c r="AM21" s="64"/>
      <x:c r="AN21" s="48" t="str">
        <x:v>117</x:v>
      </x:c>
      <x:c r="AO21" s="48" t="str">
        <x:v>MAP_存在缺漏</x:v>
      </x:c>
      <x:c r="AP21" s="48" t="str">
        <x:v>存在报告证据，但尚未经人工逐项核验；已列依据来源，但未在本阶段逐条核验</x:v>
      </x:c>
      <x:c r="AQ21" s="64"/>
      <x:c r="AR21" s="48" t="str">
        <x:v>air_emission_standard</x:v>
      </x:c>
      <x:c r="AS21" s="48" t="str">
        <x:v>L3_analysis</x:v>
      </x:c>
      <x:c r="AT21" s="48" t="str">
        <x:v>multi_evidence_synthesis</x:v>
      </x:c>
      <x:c r="AU21" s="48" t="str">
        <x:v>basis_grounding</x:v>
      </x:c>
      <x:c r="AV21" s="48" t="str">
        <x:v>report_grounding；evidence_integration</x:v>
      </x:c>
      <x:c r="AW21" s="48" t="str">
        <x:v>high</x:v>
      </x:c>
      <x:c r="AX21" s="48" t="str">
        <x:v>high</x:v>
      </x:c>
      <x:c r="AY21" s="48" t="str">
        <x:v>report_plus_external</x:v>
      </x:c>
      <x:c r="AZ21" s="48" t="str">
        <x:v>True</x:v>
      </x:c>
      <x:c r="BA21" s="48"/>
      <x:c r="BB21" s="48" t="str">
        <x:v>auto_default</x:v>
      </x:c>
      <x:c r="BC21" s="48" t="str">
        <x:v>v1</x:v>
      </x:c>
      <x:c r="BD21" s="68"/>
    </x:row>
    <x:row r="22" ht="36" customHeight="1">
      <x:c r="A22" s="47" t="str">
        <x:v>2026-07-27</x:v>
      </x:c>
      <x:c r="B22" s="48" t="str">
        <x:v>PL029</x:v>
      </x:c>
      <x:c r="C22" s="48" t="str">
        <x:v>V01</x:v>
      </x:c>
      <x:c r="D22" s="48" t="str">
        <x:v>PL029_佛山市茂安耀科技有限公司新建项目_01_受理公告或公示版.pdf</x:v>
      </x:c>
      <x:c r="E22" s="48" t="str">
        <x:v>佛山市茂安耀科技有限公司新建项目</x:v>
      </x:c>
      <x:c r="F22" s="48" t="str">
        <x:v>PL029_Emission_大气</x:v>
      </x:c>
      <x:c r="G22" s="48" t="str">
        <x:v>污染物排放标准-大气污染物排放标准</x:v>
      </x:c>
      <x:c r="H22" s="48" t="str">
        <x:v>请根据项目行业类别、生产工艺和污染因子，判断大气污染物排放标准选取是否合理。要求分析：污染源覆盖是否完整（列出所有大气污染源及对应标准），是否存在缺漏的污染源或标准。</x:v>
      </x:c>
      <x:c r="I22" s="48" t="str">
        <x:v>1、污染排放标准分析污染源内容：完整；
2、大气污染物排放标准分析：报告分项列明——（1）有机废气：注塑非甲烷总烃及特征污染物有组织执行GB31572-2015（含2024年修改单）表4排放限值。特征污染物备注标注准确：①ABS树脂生产特征污染物（苯乙烯、丙烯腈、1,3-丁二烯、甲苯），②聚苯乙烯树脂生产特征污染物（苯乙烯、甲苯、乙苯），对应项目使用HIPS/GPPS/ABS原料，标注合理。（2）厂区内无组织NMHC执行DB44/2367-2022表3限值（1h平均≤6mg/m3，任意一次≤20mg/m3）。（3）恶臭：臭气浓度执行GB14554-93表1厂界二级标准（≤20无量纲）及表2中25m排气筒标准（≤6000无量纲）。（4）破碎颗粒物无组织执行DB44/27-2001无组织排放监控浓度限值周界外浓度最高点（≤1.0mg/m3）。报告以表3-5、表3-6结构化列出限值，标准选取完整准确。排气筒高度24m按四舍五入执行25m臭气浓度标准值，做法合理。无误。
3.</x:v>
      </x:c>
      <x:c r="J22" s="48" t="str">
        <x:v>大气标准：「项目注塑过程会产生的非甲烷总烃，有组织执行《合成树脂工业污染物排放标准》（GB31572-2015，含2024 年修改单）中的表4 中规定的排放限值。」「厂区内无组织排放的NMHC 执行《固定污染源挥发性有机物综合排放标准》（DB44 2367-2022）表3 规定的限值标准」「项目注塑过程产生的臭气排放执行《恶臭污染物排放标准》（GB14554-93）中表1厂界标准值二级标准」「破碎粉尘执行广东省地方标准《大气污染物排放限值》(DB44/27-2001）无组织排放监控浓度限值周界外浓度最高点浓度限值」
3.</x:v>
      </x:c>
      <x:c r="K22" s="48" t="str">
        <x:v>emission-standard-kb.jsonl; DB44/26-2001; DB44/2367-2022; GB31572-2015; GB14554-93; GB12348-2008; GB18597-2023; GB18599-2020</x:v>
      </x:c>
      <x:c r="L22" s="48" t="str">
        <x:v>2</x:v>
      </x:c>
      <x:c r="M22" s="48" t="str">
        <x:v>2</x:v>
      </x:c>
      <x:c r="N22" s="48" t="str">
        <x:v>False</x:v>
      </x:c>
      <x:c r="O22" s="48" t="str">
        <x:v>无误</x:v>
      </x:c>
      <x:c r="P22" s="48" t="str">
        <x:v>水:无误——DB44/26-2001第二时段三级标准（预处理）及GB18918-2002一级A+DB44/26-2001第二时段一级标准较严值（污水处理厂尾水）选取正确，限值列表完整; 大气:无误——GB31572-2015（含2024修改单）表4特征污染物标注准确（①ABS②聚苯乙烯），DB44/2367-2022表3、GB14554-93表1+表2、DB44/27-2001均正确引用; 噪声:无误——GB12348-2008 3类标准选取正确; 固体废物:存在缺漏——GB18597-2023（危废）引用正确，但一般工业固废未明确引用GB18599-2020标准号</x:v>
      </x:c>
      <x:c r="Q22" s="48"/>
      <x:c r="R22" s="48"/>
      <x:c r="S22" s="48" t="str">
        <x:v>否</x:v>
      </x:c>
      <x:c r="T22" s="48" t="str">
        <x:v>原综合排放标准问答对拆分而来</x:v>
      </x:c>
      <x:c r="U22" s="48" t="str">
        <x:v>30份环评_污染物排放控制执行标准复核QA(拆分版)</x:v>
      </x:c>
      <x:c r="V22" s="48" t="str">
        <x:v>大气污染物排放标准</x:v>
      </x:c>
      <x:c r="W22" s="48" t="str">
        <x:v>无误</x:v>
      </x:c>
      <x:c r="X22" s="48" t="str">
        <x:v>无误</x:v>
      </x:c>
      <x:c r="Y22" s="64"/>
      <x:c r="Z22" s="64" t="str">
        <x:v>未复核</x:v>
      </x:c>
      <x:c r="AA22" s="64" t="str">
        <x:v>部分充分</x:v>
      </x:c>
      <x:c r="AB22" s="64" t="str">
        <x:v>有效</x:v>
      </x:c>
      <x:c r="AC22" s="64" t="str">
        <x:v>部分核验</x:v>
      </x:c>
      <x:c r="AD22" s="64" t="str">
        <x:v>自动默认</x:v>
      </x:c>
      <x:c r="AE22" s="64" t="str">
        <x:v>正式实验候选</x:v>
      </x:c>
      <x:c r="AF22" s="64" t="str">
        <x:v>待分流</x:v>
      </x:c>
      <x:c r="AG22" s="64"/>
      <x:c r="AH22" s="64"/>
      <x:c r="AI22" s="64"/>
      <x:c r="AJ22" s="64"/>
      <x:c r="AK22" s="64"/>
      <x:c r="AL22" s="64"/>
      <x:c r="AM22" s="64"/>
      <x:c r="AN22" s="48" t="str">
        <x:v>159</x:v>
      </x:c>
      <x:c r="AO22" s="48" t="str">
        <x:v>MAP_无误</x:v>
      </x:c>
      <x:c r="AP22" s="48" t="str">
        <x:v>存在报告证据，但尚未经人工逐项核验；已列依据来源，但未在本阶段逐条核验</x:v>
      </x:c>
      <x:c r="AQ22" s="64"/>
      <x:c r="AR22" s="48" t="str">
        <x:v>air_emission_standard</x:v>
      </x:c>
      <x:c r="AS22" s="48" t="str">
        <x:v>L3_analysis</x:v>
      </x:c>
      <x:c r="AT22" s="48" t="str">
        <x:v>multi_evidence_synthesis</x:v>
      </x:c>
      <x:c r="AU22" s="48" t="str">
        <x:v>basis_grounding</x:v>
      </x:c>
      <x:c r="AV22" s="48" t="str">
        <x:v>report_grounding；evidence_integration</x:v>
      </x:c>
      <x:c r="AW22" s="48" t="str">
        <x:v>high</x:v>
      </x:c>
      <x:c r="AX22" s="48" t="str">
        <x:v>high</x:v>
      </x:c>
      <x:c r="AY22" s="48" t="str">
        <x:v>report_plus_external</x:v>
      </x:c>
      <x:c r="AZ22" s="48" t="str">
        <x:v>True</x:v>
      </x:c>
      <x:c r="BA22" s="48"/>
      <x:c r="BB22" s="48" t="str">
        <x:v>auto_default</x:v>
      </x:c>
      <x:c r="BC22" s="48" t="str">
        <x:v>v1</x:v>
      </x:c>
      <x:c r="BD22" s="68"/>
    </x:row>
    <x:row r="23" ht="36" customHeight="1">
      <x:c r="A23" s="47" t="str">
        <x:v>2026-07-27</x:v>
      </x:c>
      <x:c r="B23" s="48" t="str">
        <x:v>PL023</x:v>
      </x:c>
      <x:c r="C23" s="48" t="str">
        <x:v>V01</x:v>
      </x:c>
      <x:c r="D23" s="48" t="str">
        <x:v>PL023_佛山市通能达科技有限公司新建项目_01_受理公告或公示版.pdf</x:v>
      </x:c>
      <x:c r="E23" s="48" t="str">
        <x:v>佛山市通能达科技有限公司新建项目</x:v>
      </x:c>
      <x:c r="F23" s="48" t="str">
        <x:v>PL023_Emission_大气</x:v>
      </x:c>
      <x:c r="G23" s="48" t="str">
        <x:v>污染物排放标准-大气污染物排放标准</x:v>
      </x:c>
      <x:c r="H23" s="48" t="str">
        <x:v>请根据项目行业类别、生产工艺和污染因子，判断大气污染物排放标准选取是否合理。要求分析：污染源覆盖是否完整（列出所有大气污染源及对应标准），是否存在缺漏的污染源或标准。</x:v>
      </x:c>
      <x:c r="I23" s="48" t="str">
        <x:v>1、污染排放标准分析污染源内容：不完整；
2、大气污染物排放标准分析：存在缺漏。有组织非甲烷总烃引用《合成树脂工业污染物排放标准》（GB31572-2015，含2024年修改单）表4大气污染物排放限值（100mg/m³），适用于车间或生产设施排气筒，标准选取正确。厂区内无组织排放引用DB44/2367-2022表3厂区内VOCs无组织排放限值（1h平均≤6mg/m³，任意一次≤20mg/m³），与知识库一致。但存在以下缺漏：（1）臭气浓度为注塑工序产污因子，但报告未引用《恶臭污染物排放标准》（GB14554-93）表2排气筒排放标准值（45m排气筒应介于35m和50m之间，取35m对应限值15000无量纲）和表1厂界二级标准值（新扩改建≤20无量纲）；（2）企业边界大气污染物浓度限值（GB31572-2015表9，非甲烷总烃≤4mg/m³）未引用。
3、</x:v>
      </x:c>
      <x:c r="J23" s="48" t="str">
        <x:v>2、大气："执行《合成树脂工业污染物排放标准》（GB31572-2015，含2024年修改单）表4大气污染物排放限值；本项目厂区内无组织排放监控点NMHC的小时平均浓度值执行广东省《固定污染源挥发性有机物综合排放标准》（DB44/2367-2022）表3厂区内VOCs无组织排放限值。"</x:v>
      </x:c>
      <x:c r="K23" s="48" t="str">
        <x:v>emission-standard-kb.jsonl; DB44/26-2001; DB44/2367-2022; GB31572-2015; GB14554-93; GB12348-2008; GB18597-2023; GB18599-2020</x:v>
      </x:c>
      <x:c r="L23" s="48" t="str">
        <x:v>2</x:v>
      </x:c>
      <x:c r="M23" s="48" t="str">
        <x:v>2</x:v>
      </x:c>
      <x:c r="N23" s="48" t="str">
        <x:v>False</x:v>
      </x:c>
      <x:c r="O23" s="48" t="str">
        <x:v>存在缺漏</x:v>
      </x:c>
      <x:c r="P23" s="48" t="str">
        <x:v>水:无误——企业排口标准（DB44/26-2001第二时段三级标准）和污水处理厂尾水标准（GB18918-2002一级A及DB44/26-2001第二时段一级标准较严值）均明确引用，与知识库一致。; 大气:存在缺漏——有组织非甲烷总烃（GB31572-2015表4）和厂区内无组织VOCs（DB44/2367-2022表3）标准正确，但臭气浓度标准（GB14554-93）和企业边界标准（GB31572-2015表9）缺失。; 噪声:存在缺漏——声环境3类区已有依据，但排放标准章节未明确引用GB12348-2008及昼夜限值（昼65/夜55dB(A)）。; 固体废物:存在缺漏——提取文本中未发现固体废物控制标准。</x:v>
      </x:c>
      <x:c r="Q23" s="48"/>
      <x:c r="R23" s="48"/>
      <x:c r="S23" s="48" t="str">
        <x:v>是</x:v>
      </x:c>
      <x:c r="T23" s="48" t="str">
        <x:v>原综合排放标准问答对拆分而来</x:v>
      </x:c>
      <x:c r="U23" s="48" t="str">
        <x:v>30份环评_污染物排放控制执行标准复核QA(拆分版)</x:v>
      </x:c>
      <x:c r="V23" s="48" t="str">
        <x:v>大气污染物排放标准</x:v>
      </x:c>
      <x:c r="W23" s="48" t="str">
        <x:v>存在缺漏</x:v>
      </x:c>
      <x:c r="X23" s="48" t="str">
        <x:v>存在缺漏</x:v>
      </x:c>
      <x:c r="Y23" s="64"/>
      <x:c r="Z23" s="64" t="str">
        <x:v>未复核</x:v>
      </x:c>
      <x:c r="AA23" s="64" t="str">
        <x:v>部分充分</x:v>
      </x:c>
      <x:c r="AB23" s="64" t="str">
        <x:v>有效</x:v>
      </x:c>
      <x:c r="AC23" s="64" t="str">
        <x:v>部分核验</x:v>
      </x:c>
      <x:c r="AD23" s="64" t="str">
        <x:v>自动默认</x:v>
      </x:c>
      <x:c r="AE23" s="64" t="str">
        <x:v>正式实验候选</x:v>
      </x:c>
      <x:c r="AF23" s="64" t="str">
        <x:v>A_仅待终审</x:v>
      </x:c>
      <x:c r="AG23" s="64"/>
      <x:c r="AH23" s="64"/>
      <x:c r="AI23" s="64"/>
      <x:c r="AJ23" s="64"/>
      <x:c r="AK23" s="64"/>
      <x:c r="AL23" s="64"/>
      <x:c r="AM23" s="64"/>
      <x:c r="AN23" s="48" t="str">
        <x:v>124</x:v>
      </x:c>
      <x:c r="AO23" s="48" t="str">
        <x:v>MAP_存在缺漏</x:v>
      </x:c>
      <x:c r="AP23" s="48" t="str">
        <x:v>存在报告证据，但尚未经人工逐项核验；已列依据来源，但未在本阶段逐条核验</x:v>
      </x:c>
      <x:c r="AQ23" s="64"/>
      <x:c r="AR23" s="48" t="str">
        <x:v>air_emission_standard</x:v>
      </x:c>
      <x:c r="AS23" s="48" t="str">
        <x:v>L3_analysis</x:v>
      </x:c>
      <x:c r="AT23" s="48" t="str">
        <x:v>multi_evidence_synthesis</x:v>
      </x:c>
      <x:c r="AU23" s="48" t="str">
        <x:v>basis_grounding</x:v>
      </x:c>
      <x:c r="AV23" s="48" t="str">
        <x:v>report_grounding；evidence_integration</x:v>
      </x:c>
      <x:c r="AW23" s="48" t="str">
        <x:v>high</x:v>
      </x:c>
      <x:c r="AX23" s="48" t="str">
        <x:v>high</x:v>
      </x:c>
      <x:c r="AY23" s="48" t="str">
        <x:v>report_plus_external</x:v>
      </x:c>
      <x:c r="AZ23" s="48" t="str">
        <x:v>True</x:v>
      </x:c>
      <x:c r="BA23" s="48"/>
      <x:c r="BB23" s="48" t="str">
        <x:v>auto_default</x:v>
      </x:c>
      <x:c r="BC23" s="48" t="str">
        <x:v>v1</x:v>
      </x:c>
      <x:c r="BD23" s="68"/>
    </x:row>
    <x:row r="24" ht="36" customHeight="1">
      <x:c r="A24" s="47" t="str">
        <x:v>2026-07-27</x:v>
      </x:c>
      <x:c r="B24" s="48" t="str">
        <x:v>PL002</x:v>
      </x:c>
      <x:c r="C24" s="48" t="str">
        <x:v>V01</x:v>
      </x:c>
      <x:c r="D24" s="48" t="str">
        <x:v>PL002_佛山市顺德区启卓工程塑料实业有限公司搬迁项目_01_核查材料.docx</x:v>
      </x:c>
      <x:c r="E24" s="48" t="str">
        <x:v>佛山市顺德区启卓工程塑料实业有限公司搬迁项目</x:v>
      </x:c>
      <x:c r="F24" s="48" t="str">
        <x:v>PL002_Emission_大气</x:v>
      </x:c>
      <x:c r="G24" s="48" t="str">
        <x:v>污染物排放标准-大气污染物排放标准</x:v>
      </x:c>
      <x:c r="H24" s="48" t="str">
        <x:v>请根据项目行业类别、生产工艺和污染因子，判断大气污染物排放标准选取是否合理。要求分析：污染源覆盖是否完整（列出所有大气污染源及对应标准），是否存在缺漏的污染源或标准。</x:v>
      </x:c>
      <x:c r="I24" s="48" t="str">
        <x:v>1、污染排放标准分析污染源内容：完整；
2、大气污染物排放标准分析：无误。混料、破碎工序颗粒物执行GB31572-2015表9企业边界大气污染物浓度限值，符合合成树脂工业标准适用范围。挤出、抽检工序非甲烷总烃执行GB31572-2015表5大气污染物特别排放限值及表9企业边界浓度限值，顺德区属珠三角重点区域，执行特别排放限值合理。臭气浓度执行GB14554-93表2和表1二级新扩改建标准，合理。厂区内VOCs无组织排放执行DB44/2367-2022表3，合理。各污染因子标准选取完整、适用。</x:v>
      </x:c>
      <x:c r="J24" s="48" t="str">
        <x:v>大气标准原文："挤出、抽检工序产生的非甲烷总烃执行《合成树脂工业污染物排放标准》（GB31572-2015）表5大气污染物特别排放限值要求及表9企业边界大气污染物浓度限值要求。"</x:v>
      </x:c>
      <x:c r="K24" s="48" t="str">
        <x:v>emission-standard-kb.jsonl; DB44/26-2001; DB44/2367-2022; GB31572-2015; GB14554-93; GB12348-2008; GB18597-2023; GB18599-2020</x:v>
      </x:c>
      <x:c r="L24" s="48" t="str">
        <x:v>2</x:v>
      </x:c>
      <x:c r="M24" s="48" t="str">
        <x:v>2</x:v>
      </x:c>
      <x:c r="N24" s="48" t="str">
        <x:v>False</x:v>
      </x:c>
      <x:c r="O24" s="48" t="str">
        <x:v>无误</x:v>
      </x:c>
      <x:c r="P24" s="48" t="str">
        <x:v>水:无误；气:无误；噪声:无误；固废:存在缺漏</x:v>
      </x:c>
      <x:c r="Q24" s="48"/>
      <x:c r="R24" s="48"/>
      <x:c r="S24" s="48" t="str">
        <x:v>否</x:v>
      </x:c>
      <x:c r="T24" s="48" t="str">
        <x:v>原综合排放标准问答对拆分而来</x:v>
      </x:c>
      <x:c r="U24" s="48" t="str">
        <x:v>30份环评_污染物排放控制执行标准复核QA(拆分版)</x:v>
      </x:c>
      <x:c r="V24" s="48" t="str">
        <x:v>大气污染物排放标准</x:v>
      </x:c>
      <x:c r="W24" s="48" t="str">
        <x:v>无误</x:v>
      </x:c>
      <x:c r="X24" s="48" t="str">
        <x:v>无误</x:v>
      </x:c>
      <x:c r="Y24" s="64"/>
      <x:c r="Z24" s="64" t="str">
        <x:v>未复核</x:v>
      </x:c>
      <x:c r="AA24" s="64" t="str">
        <x:v>部分充分</x:v>
      </x:c>
      <x:c r="AB24" s="64" t="str">
        <x:v>有效</x:v>
      </x:c>
      <x:c r="AC24" s="64" t="str">
        <x:v>部分核验</x:v>
      </x:c>
      <x:c r="AD24" s="64" t="str">
        <x:v>自动默认</x:v>
      </x:c>
      <x:c r="AE24" s="64" t="str">
        <x:v>正式实验候选</x:v>
      </x:c>
      <x:c r="AF24" s="64" t="str">
        <x:v>待分流</x:v>
      </x:c>
      <x:c r="AG24" s="64"/>
      <x:c r="AH24" s="64"/>
      <x:c r="AI24" s="64"/>
      <x:c r="AJ24" s="64"/>
      <x:c r="AK24" s="64"/>
      <x:c r="AL24" s="64"/>
      <x:c r="AM24" s="64"/>
      <x:c r="AN24" s="48" t="str">
        <x:v>13</x:v>
      </x:c>
      <x:c r="AO24" s="48" t="str">
        <x:v>MAP_无误</x:v>
      </x:c>
      <x:c r="AP24" s="48" t="str">
        <x:v>存在报告证据，但尚未经人工逐项核验；已列依据来源，但未在本阶段逐条核验</x:v>
      </x:c>
      <x:c r="AQ24" s="64"/>
      <x:c r="AR24" s="48" t="str">
        <x:v>air_emission_standard</x:v>
      </x:c>
      <x:c r="AS24" s="48" t="str">
        <x:v>L3_analysis</x:v>
      </x:c>
      <x:c r="AT24" s="48" t="str">
        <x:v>multi_evidence_synthesis</x:v>
      </x:c>
      <x:c r="AU24" s="48" t="str">
        <x:v>basis_grounding</x:v>
      </x:c>
      <x:c r="AV24" s="48" t="str">
        <x:v>report_grounding；evidence_integration</x:v>
      </x:c>
      <x:c r="AW24" s="48" t="str">
        <x:v>high</x:v>
      </x:c>
      <x:c r="AX24" s="48" t="str">
        <x:v>high</x:v>
      </x:c>
      <x:c r="AY24" s="48" t="str">
        <x:v>report_plus_external</x:v>
      </x:c>
      <x:c r="AZ24" s="48" t="str">
        <x:v>True</x:v>
      </x:c>
      <x:c r="BA24" s="48"/>
      <x:c r="BB24" s="48" t="str">
        <x:v>auto_default</x:v>
      </x:c>
      <x:c r="BC24" s="48" t="str">
        <x:v>v1</x:v>
      </x:c>
      <x:c r="BD24" s="68"/>
    </x:row>
    <x:row r="25" ht="36" customHeight="1">
      <x:c r="A25" s="47" t="str">
        <x:v>2026-07-27</x:v>
      </x:c>
      <x:c r="B25" s="48" t="str">
        <x:v>PL025</x:v>
      </x:c>
      <x:c r="C25" s="48" t="str">
        <x:v>V01</x:v>
      </x:c>
      <x:c r="D25" s="48" t="str">
        <x:v>PL025_佛山市巨人电器有限公司新建项目_01_受理公告或公示版.pdf</x:v>
      </x:c>
      <x:c r="E25" s="48" t="str">
        <x:v>佛山市巨人电器有限公司新建项目</x:v>
      </x:c>
      <x:c r="F25" s="48" t="str">
        <x:v>PL025_Emission_大气</x:v>
      </x:c>
      <x:c r="G25" s="48" t="str">
        <x:v>污染物排放标准-大气污染物排放标准</x:v>
      </x:c>
      <x:c r="H25" s="48" t="str">
        <x:v>请根据项目行业类别、生产工艺和污染因子，判断大气污染物排放标准选取是否合理。要求分析：污染源覆盖是否完整（列出所有大气污染源及对应标准），是否存在缺漏的污染源或标准。</x:v>
      </x:c>
      <x:c r="I25" s="48" t="str">
        <x:v>1、污染排放标准分析污染源内容：不完整；
2、大气污染物排放标准分析：存在缺漏。有组织非甲烷总烃引用《合成树脂工业污染物排放标准》（GB31572-2015，含2024年修改单）表4大气污染物排放标准（100mg/m³），适用于车间或生产设施排气筒，标准选取正确。厂区内无组织排放引用DB44/2367-2022表3厂区内VOCs无组织排放限值，与知识库一致。但存在以下缺漏：（1）臭气浓度为注塑工序产污因子，但报告未引用《恶臭污染物排放标准》（GB14554-93）表2排气筒排放标准值（28m排气筒介于25m和35m之间，取25m对应限值6000无量纲）和表1厂界二级标准值（新扩改建≤20无量纲）；（2）破碎和混料粉尘以无组织形式排放，但排放标准章节未明确引用DB44/27-2001第二时段无组织排放监控浓度限值（仅在政策相符性分析表中提及DB44/27-2001第Ⅱ时段）；（3）企业边界大气污染物浓度限值（GB31572-2015表9）未引用。
3、</x:v>
      </x:c>
      <x:c r="J25" s="48" t="str">
        <x:v>2、大气："有机废气排气筒的非甲烷总烃排放达到《合成树脂工业污染物排放标准》（GB31572-2015，含2024年修改单）中表4大气污染物排放标准；厂区内无组织排放监控点NMHC达到广东省《固定污染源挥发性有机物综合排放标准》（DB44/2367-2022）表3厂区内VOCs无组织排放限值。"政策相符性表提及"有机废气排气筒排放浓度不高于广东省《大气污染物排放限值》（DB4427-2001）第Ⅱ时段排放限值"。</x:v>
      </x:c>
      <x:c r="K25" s="48" t="str">
        <x:v>emission-standard-kb.jsonl; DB44/26-2001; DB44/2367-2022; GB31572-2015; GB14554-93; GB12348-2008; GB18597-2023; GB18599-2020</x:v>
      </x:c>
      <x:c r="L25" s="48" t="str">
        <x:v>2</x:v>
      </x:c>
      <x:c r="M25" s="48" t="str">
        <x:v>2</x:v>
      </x:c>
      <x:c r="N25" s="48" t="str">
        <x:v>False</x:v>
      </x:c>
      <x:c r="O25" s="48" t="str">
        <x:v>存在缺漏</x:v>
      </x:c>
      <x:c r="P25" s="48" t="str">
        <x:v>水:存在缺漏——污水处理厂尾水标准已引用，但企业生活污水排口预处理标准（DB44/26-2001第二时段三级标准）未明确，清净下水排放标准未引用。; 大气:存在缺漏——有组织非甲烷总烃（GB31572-2015表4）和厂区内无组织VOCs（DB44/2367-2022表3）标准正确，但臭气浓度标准（GB14554-93）、破碎粉尘无组织颗粒物标准、企业边界标准缺失。; 噪声:存在缺漏——提取文本中未发现噪声排放标准，未引用GB12348-2008。; 固体废物:存在缺漏——仅描述处置方式，未引用固废法、GB34330-2017、GB18597-2023、GB18599-2020、国家危险废物名录等控制标准。</x:v>
      </x:c>
      <x:c r="Q25" s="48"/>
      <x:c r="R25" s="48"/>
      <x:c r="S25" s="48" t="str">
        <x:v>是</x:v>
      </x:c>
      <x:c r="T25" s="48" t="str">
        <x:v>原综合排放标准问答对拆分而来</x:v>
      </x:c>
      <x:c r="U25" s="48" t="str">
        <x:v>30份环评_污染物排放控制执行标准复核QA(拆分版)</x:v>
      </x:c>
      <x:c r="V25" s="48" t="str">
        <x:v>大气污染物排放标准</x:v>
      </x:c>
      <x:c r="W25" s="48" t="str">
        <x:v>存在缺漏</x:v>
      </x:c>
      <x:c r="X25" s="48" t="str">
        <x:v>存在缺漏</x:v>
      </x:c>
      <x:c r="Y25" s="64"/>
      <x:c r="Z25" s="64" t="str">
        <x:v>未复核</x:v>
      </x:c>
      <x:c r="AA25" s="64" t="str">
        <x:v>部分充分</x:v>
      </x:c>
      <x:c r="AB25" s="64" t="str">
        <x:v>有效</x:v>
      </x:c>
      <x:c r="AC25" s="64" t="str">
        <x:v>部分核验</x:v>
      </x:c>
      <x:c r="AD25" s="64" t="str">
        <x:v>自动默认</x:v>
      </x:c>
      <x:c r="AE25" s="64" t="str">
        <x:v>正式实验候选</x:v>
      </x:c>
      <x:c r="AF25" s="64" t="str">
        <x:v>A_仅待终审</x:v>
      </x:c>
      <x:c r="AG25" s="64"/>
      <x:c r="AH25" s="64"/>
      <x:c r="AI25" s="64"/>
      <x:c r="AJ25" s="64"/>
      <x:c r="AK25" s="64"/>
      <x:c r="AL25" s="64"/>
      <x:c r="AM25" s="64"/>
      <x:c r="AN25" s="48" t="str">
        <x:v>131</x:v>
      </x:c>
      <x:c r="AO25" s="48" t="str">
        <x:v>MAP_存在缺漏</x:v>
      </x:c>
      <x:c r="AP25" s="48" t="str">
        <x:v>存在报告证据，但尚未经人工逐项核验；已列依据来源，但未在本阶段逐条核验</x:v>
      </x:c>
      <x:c r="AQ25" s="64"/>
      <x:c r="AR25" s="48" t="str">
        <x:v>air_emission_standard</x:v>
      </x:c>
      <x:c r="AS25" s="48" t="str">
        <x:v>L3_analysis</x:v>
      </x:c>
      <x:c r="AT25" s="48" t="str">
        <x:v>multi_evidence_synthesis</x:v>
      </x:c>
      <x:c r="AU25" s="48" t="str">
        <x:v>basis_grounding</x:v>
      </x:c>
      <x:c r="AV25" s="48" t="str">
        <x:v>report_grounding；evidence_integration</x:v>
      </x:c>
      <x:c r="AW25" s="48" t="str">
        <x:v>high</x:v>
      </x:c>
      <x:c r="AX25" s="48" t="str">
        <x:v>high</x:v>
      </x:c>
      <x:c r="AY25" s="48" t="str">
        <x:v>report_plus_external</x:v>
      </x:c>
      <x:c r="AZ25" s="48" t="str">
        <x:v>True</x:v>
      </x:c>
      <x:c r="BA25" s="48"/>
      <x:c r="BB25" s="48" t="str">
        <x:v>auto_default</x:v>
      </x:c>
      <x:c r="BC25" s="48" t="str">
        <x:v>v1</x:v>
      </x:c>
      <x:c r="BD25" s="68"/>
    </x:row>
    <x:row r="26" ht="36" customHeight="1">
      <x:c r="A26" s="47" t="str">
        <x:v>2026-07-27</x:v>
      </x:c>
      <x:c r="B26" s="48" t="str">
        <x:v>PL003</x:v>
      </x:c>
      <x:c r="C26" s="48" t="str">
        <x:v>V01</x:v>
      </x:c>
      <x:c r="D26" s="48" t="str">
        <x:v>PL003_佛山市顺德区康明新材料厂新建项目_01_核查材料.docx</x:v>
      </x:c>
      <x:c r="E26" s="48" t="str">
        <x:v>佛山市顺德区康明新材料厂新建项目</x:v>
      </x:c>
      <x:c r="F26" s="48" t="str">
        <x:v>PL003_Emission_水污</x:v>
      </x:c>
      <x:c r="G26" s="48" t="str">
        <x:v>污染物排放标准-水污染物排放标准</x:v>
      </x:c>
      <x:c r="H26"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6" s="48" t="str">
        <x:v>1、水污染物排放标准中生活污水排放执行标准：无误；
2、水污染物排放标准结论的过程分析内容：无误。生活废水经三级化粪池处理执行DB44/26-2001第二时段三级标准，后排入杏坛镇吉祐村红砖厂农村生活污水处理站，尾水执行GB18918-2002一级B标准。标准层次清晰，预处理标准与污水处理厂尾水标准分别引用，选取合理。</x:v>
      </x:c>
      <x:c r="J26" s="48" t="str">
        <x:v>水标准原文："项目运营期间产生的生活废水经三级化粪池处理，处理后的废水执行广东省地方标准《水污染物排放限值》（DB44/26-2001）第二时段三级标准，后排入杏坛镇吉祐村红砖厂农村生活污水处理站处理……杏坛镇吉祐村红砖厂农村生活污水处理站尾水执行《城镇污水处理厂污染物排放标准》（GB18918-2002）一级B标准。"</x:v>
      </x:c>
      <x:c r="K26" s="48" t="str">
        <x:v>emission-standard-kb.jsonl; DB44/26-2001; DB44/2367-2022; GB31572-2015; GB14554-93; GB12348-2008; GB18597-2023; GB18599-2020</x:v>
      </x:c>
      <x:c r="L26" s="48" t="str">
        <x:v>2</x:v>
      </x:c>
      <x:c r="M26" s="48" t="str">
        <x:v>2</x:v>
      </x:c>
      <x:c r="N26" s="48" t="str">
        <x:v>False</x:v>
      </x:c>
      <x:c r="O26" s="48" t="str">
        <x:v>无误</x:v>
      </x:c>
      <x:c r="P26" s="48" t="str">
        <x:v>水:无误；气:存在错误；噪声:无误；固废:存在缺漏</x:v>
      </x:c>
      <x:c r="Q26" s="48"/>
      <x:c r="R26" s="48"/>
      <x:c r="S26" s="48" t="str">
        <x:v>否</x:v>
      </x:c>
      <x:c r="T26" s="48" t="str">
        <x:v>原综合排放标准问答对拆分而来</x:v>
      </x:c>
      <x:c r="U26" s="48" t="str">
        <x:v>30份环评_污染物排放控制执行标准复核QA(拆分版)</x:v>
      </x:c>
      <x:c r="V26" s="48" t="str">
        <x:v>水污染物排放标准</x:v>
      </x:c>
      <x:c r="W26" s="48" t="str">
        <x:v>无误</x:v>
      </x:c>
      <x:c r="X26" s="48" t="str">
        <x:v>无误</x:v>
      </x:c>
      <x:c r="Y26" s="64"/>
      <x:c r="Z26" s="64" t="str">
        <x:v>未复核</x:v>
      </x:c>
      <x:c r="AA26" s="64" t="str">
        <x:v>部分充分</x:v>
      </x:c>
      <x:c r="AB26" s="64" t="str">
        <x:v>有效</x:v>
      </x:c>
      <x:c r="AC26" s="64" t="str">
        <x:v>部分核验</x:v>
      </x:c>
      <x:c r="AD26" s="64" t="str">
        <x:v>自动默认</x:v>
      </x:c>
      <x:c r="AE26" s="64" t="str">
        <x:v>正式实验候选</x:v>
      </x:c>
      <x:c r="AF26" s="64" t="str">
        <x:v>待分流</x:v>
      </x:c>
      <x:c r="AG26" s="64"/>
      <x:c r="AH26" s="64"/>
      <x:c r="AI26" s="64"/>
      <x:c r="AJ26" s="64"/>
      <x:c r="AK26" s="64"/>
      <x:c r="AL26" s="64"/>
      <x:c r="AM26" s="64"/>
      <x:c r="AN26" s="48" t="str">
        <x:v>19</x:v>
      </x:c>
      <x:c r="AO26" s="48" t="str">
        <x:v>MAP_无误</x:v>
      </x:c>
      <x:c r="AP26" s="48" t="str">
        <x:v>存在报告证据，但尚未经人工逐项核验；已列依据来源，但未在本阶段逐条核验</x:v>
      </x:c>
      <x:c r="AQ26" s="64"/>
      <x:c r="AR26" s="48" t="str">
        <x:v>water_emission_standard</x:v>
      </x:c>
      <x:c r="AS26" s="48" t="str">
        <x:v>L3_analysis</x:v>
      </x:c>
      <x:c r="AT26" s="48" t="str">
        <x:v>rule_applicability</x:v>
      </x:c>
      <x:c r="AU26" s="48" t="str">
        <x:v>basis_grounding</x:v>
      </x:c>
      <x:c r="AV26" s="48" t="str">
        <x:v>report_grounding；procedural_reasoning</x:v>
      </x:c>
      <x:c r="AW26" s="48" t="str">
        <x:v>high</x:v>
      </x:c>
      <x:c r="AX26" s="48" t="str">
        <x:v>high</x:v>
      </x:c>
      <x:c r="AY26" s="48" t="str">
        <x:v>report_plus_external</x:v>
      </x:c>
      <x:c r="AZ26" s="48" t="str">
        <x:v>True</x:v>
      </x:c>
      <x:c r="BA26" s="48"/>
      <x:c r="BB26" s="48" t="str">
        <x:v>auto_default</x:v>
      </x:c>
      <x:c r="BC26" s="48" t="str">
        <x:v>v1</x:v>
      </x:c>
      <x:c r="BD26" s="68"/>
    </x:row>
    <x:row r="27" ht="36" customHeight="1">
      <x:c r="A27" s="47" t="str">
        <x:v>2026-07-27</x:v>
      </x:c>
      <x:c r="B27" s="48" t="str">
        <x:v>PL027</x:v>
      </x:c>
      <x:c r="C27" s="48" t="str">
        <x:v>V01</x:v>
      </x:c>
      <x:c r="D27" s="48" t="str">
        <x:v>PL027_佛山市天隆通塑料制品有限公司新建项目_01_受理公告或公示版.pdf</x:v>
      </x:c>
      <x:c r="E27" s="48" t="str">
        <x:v>佛山市天隆通塑料制品有限公司新建项目</x:v>
      </x:c>
      <x:c r="F27" s="48" t="str">
        <x:v>PL027_Emission_水污</x:v>
      </x:c>
      <x:c r="G27" s="48" t="str">
        <x:v>污染物排放标准-水污染物排放标准</x:v>
      </x:c>
      <x:c r="H27"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7" s="48" t="str">
        <x:v>1、水污染物排放标准中生活污水排放执行标准：存在缺漏；
2、水污染物排放标准结论的过程分析内容：报告提及勒流污水处理厂尾水执行《城镇污水处理厂污染物排放标准》（GB18918-2002）一级A标准及《广东省水污染物排放限值》（DB44/26-2001）的较严值，生活污水经三级化粪池预处理后排入勒流污水处理厂，生产废水经自建废水处理站处理后排入勒流污水处理厂。但报告未明确列出生活污水经三级化粪池预处理后应执行的标准（应为DB44/26-2001第二时段三级标准），也未列出生产废水预处理执行的标准。预处理标准缺失，存在缺漏。
2.</x:v>
      </x:c>
      <x:c r="J27" s="48" t="str">
        <x:v>水标准片段：「尾水应执行《城镇污水处理厂污染物排放标准》（GB18918-2002）一级A 标准及《广东省水污染物排放限值》（DB44/26-2001）的较严值。」「本项目生活污水经三级化粪池预处理后排入勒流污水处理厂；生产废水经自建的废水处理站处理后排入勒流污水处理厂。」
2.</x:v>
      </x:c>
      <x:c r="K27" s="48" t="str">
        <x:v>emission-standard-kb.jsonl; DB44/26-2001; DB44/2367-2022; GB31572-2015; GB14554-93; GB12348-2008; GB18597-2023; GB18599-2020</x:v>
      </x:c>
      <x:c r="L27" s="48" t="str">
        <x:v>2</x:v>
      </x:c>
      <x:c r="M27" s="48" t="str">
        <x:v>2</x:v>
      </x:c>
      <x:c r="N27" s="48" t="str">
        <x:v>False</x:v>
      </x:c>
      <x:c r="O27" s="48" t="str">
        <x:v>存在缺漏</x:v>
      </x:c>
      <x:c r="P27" s="48" t="str">
        <x:v>水:存在缺漏——污水处理厂尾水标准已提及，但生活污水和生产废水预处理标准（DB44/26-2001第二时段三级标准）未明确列出; 大气:存在缺漏——仅提及DB44/2367-2022标准名称，未结构化列出各污染因子执行标准及限值，未明确引用GB31572-2015、GB14554-93、DB44/27-2001等; 噪声:存在缺漏——全文未提及GB12348-2008或任何噪声排放标准; 固体废物:存在缺漏——全文未引用GB18597-2023、GB18599-2020、GB34330-2017等固废控制标准</x:v>
      </x:c>
      <x:c r="Q27" s="48"/>
      <x:c r="R27" s="48"/>
      <x:c r="S27" s="48" t="str">
        <x:v>是</x:v>
      </x:c>
      <x:c r="T27" s="48" t="str">
        <x:v>原综合排放标准问答对拆分而来</x:v>
      </x:c>
      <x:c r="U27" s="48" t="str">
        <x:v>30份环评_污染物排放控制执行标准复核QA(拆分版)</x:v>
      </x:c>
      <x:c r="V27" s="48" t="str">
        <x:v>水污染物排放标准</x:v>
      </x:c>
      <x:c r="W27" s="48" t="str">
        <x:v>存在缺漏</x:v>
      </x:c>
      <x:c r="X27" s="48" t="str">
        <x:v>存在缺漏</x:v>
      </x:c>
      <x:c r="Y27" s="64"/>
      <x:c r="Z27" s="64" t="str">
        <x:v>未复核</x:v>
      </x:c>
      <x:c r="AA27" s="64" t="str">
        <x:v>部分充分</x:v>
      </x:c>
      <x:c r="AB27" s="64" t="str">
        <x:v>有效</x:v>
      </x:c>
      <x:c r="AC27" s="64" t="str">
        <x:v>部分核验</x:v>
      </x:c>
      <x:c r="AD27" s="64" t="str">
        <x:v>自动默认</x:v>
      </x:c>
      <x:c r="AE27" s="64" t="str">
        <x:v>正式实验候选</x:v>
      </x:c>
      <x:c r="AF27" s="64" t="str">
        <x:v>A_仅待终审</x:v>
      </x:c>
      <x:c r="AG27" s="64"/>
      <x:c r="AH27" s="64"/>
      <x:c r="AI27" s="64"/>
      <x:c r="AJ27" s="64"/>
      <x:c r="AK27" s="64"/>
      <x:c r="AL27" s="64"/>
      <x:c r="AM27" s="64"/>
      <x:c r="AN27" s="48" t="str">
        <x:v>144</x:v>
      </x:c>
      <x:c r="AO27" s="48" t="str">
        <x:v>MAP_存在缺漏</x:v>
      </x:c>
      <x:c r="AP27" s="48" t="str">
        <x:v>存在报告证据，但尚未经人工逐项核验；已列依据来源，但未在本阶段逐条核验</x:v>
      </x:c>
      <x:c r="AQ27" s="64"/>
      <x:c r="AR27" s="48" t="str">
        <x:v>water_emission_standard</x:v>
      </x:c>
      <x:c r="AS27" s="48" t="str">
        <x:v>L3_analysis</x:v>
      </x:c>
      <x:c r="AT27" s="48" t="str">
        <x:v>rule_applicability</x:v>
      </x:c>
      <x:c r="AU27" s="48" t="str">
        <x:v>basis_grounding</x:v>
      </x:c>
      <x:c r="AV27" s="48" t="str">
        <x:v>report_grounding；procedural_reasoning</x:v>
      </x:c>
      <x:c r="AW27" s="48" t="str">
        <x:v>high</x:v>
      </x:c>
      <x:c r="AX27" s="48" t="str">
        <x:v>high</x:v>
      </x:c>
      <x:c r="AY27" s="48" t="str">
        <x:v>report_plus_external</x:v>
      </x:c>
      <x:c r="AZ27" s="48" t="str">
        <x:v>True</x:v>
      </x:c>
      <x:c r="BA27" s="48"/>
      <x:c r="BB27" s="48" t="str">
        <x:v>auto_default</x:v>
      </x:c>
      <x:c r="BC27" s="48" t="str">
        <x:v>v1</x:v>
      </x:c>
      <x:c r="BD27" s="68"/>
    </x:row>
    <x:row r="28" ht="36" customHeight="1">
      <x:c r="A28" s="47" t="str">
        <x:v>2026-07-27</x:v>
      </x:c>
      <x:c r="B28" s="48" t="str">
        <x:v>PL004</x:v>
      </x:c>
      <x:c r="C28" s="48" t="str">
        <x:v>V01</x:v>
      </x:c>
      <x:c r="D28" s="48" t="str">
        <x:v>PL004_恒励新材料科技(佛山)有限公司新建项目_01_核查材料.docx</x:v>
      </x:c>
      <x:c r="E28" s="48" t="str">
        <x:v>恒励新材料科技(佛山)有限公司新建项目</x:v>
      </x:c>
      <x:c r="F28" s="48" t="str">
        <x:v>PL004_Emission_水污</x:v>
      </x:c>
      <x:c r="G28" s="48" t="str">
        <x:v>污染物排放标准-水污染物排放标准</x:v>
      </x:c>
      <x:c r="H28"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8" s="48" t="str">
        <x:v>1、水污染物排放标准中生活污水排放执行标准：无误；
2、水污染物排放标准结论的过程分析内容：无误。生活污水经三级化粪池处理执行DB44/26-2001第二时段三级标准，通过市政管网排至杏坛镇生活污水处理厂，尾水执行GB18918-2002一级A标准及DB44/26-2001第二时段一级标准的较严值。冷却水经沉淀池处理达到GB/T18920-2020后回用于冲厕，再经化粪池排入污水处理厂。标准层次清晰，选取合理。</x:v>
      </x:c>
      <x:c r="J28" s="48" t="str">
        <x:v>水标准原文："生活污水经三级化粪池处理后，水质执行广东省地方标准《水污染物排放限值》（DB44/26-2001）中的第二时段三级标准，即CODcr≤500mg/L，BOD5≤300mg/L，然后通过污水管网排至杏坛镇生活污水处理厂处理，杏坛镇生活污水处理厂的尾水执行《城镇污水处理厂污染物排放标准》（GB18918-2002）一级A标准及《水污染物排放限值》（DB44/26-2001）第二时段一级标准的较严值。"</x:v>
      </x:c>
      <x:c r="K28" s="48" t="str">
        <x:v>emission-standard-kb.jsonl; DB44/26-2001; DB44/2367-2022; GB31572-2015; GB14554-93; GB12348-2008; GB18597-2023; GB18599-2020</x:v>
      </x:c>
      <x:c r="L28" s="48" t="str">
        <x:v>2</x:v>
      </x:c>
      <x:c r="M28" s="48" t="str">
        <x:v>2</x:v>
      </x:c>
      <x:c r="N28" s="48" t="str">
        <x:v>False</x:v>
      </x:c>
      <x:c r="O28" s="48" t="str">
        <x:v>无误</x:v>
      </x:c>
      <x:c r="P28" s="48" t="str">
        <x:v>水:无误；气:存在缺漏；噪声:无误；固废:存在缺漏</x:v>
      </x:c>
      <x:c r="Q28" s="48"/>
      <x:c r="R28" s="48"/>
      <x:c r="S28" s="48" t="str">
        <x:v>否</x:v>
      </x:c>
      <x:c r="T28" s="48" t="str">
        <x:v>原综合排放标准问答对拆分而来</x:v>
      </x:c>
      <x:c r="U28" s="48" t="str">
        <x:v>30份环评_污染物排放控制执行标准复核QA(拆分版)</x:v>
      </x:c>
      <x:c r="V28" s="48" t="str">
        <x:v>水污染物排放标准</x:v>
      </x:c>
      <x:c r="W28" s="48" t="str">
        <x:v>无误</x:v>
      </x:c>
      <x:c r="X28" s="48" t="str">
        <x:v>无误</x:v>
      </x:c>
      <x:c r="Y28" s="64"/>
      <x:c r="Z28" s="64" t="str">
        <x:v>未复核</x:v>
      </x:c>
      <x:c r="AA28" s="64" t="str">
        <x:v>部分充分</x:v>
      </x:c>
      <x:c r="AB28" s="64" t="str">
        <x:v>有效</x:v>
      </x:c>
      <x:c r="AC28" s="64" t="str">
        <x:v>部分核验</x:v>
      </x:c>
      <x:c r="AD28" s="64" t="str">
        <x:v>自动默认</x:v>
      </x:c>
      <x:c r="AE28" s="64" t="str">
        <x:v>正式实验候选</x:v>
      </x:c>
      <x:c r="AF28" s="64" t="str">
        <x:v>待分流</x:v>
      </x:c>
      <x:c r="AG28" s="64"/>
      <x:c r="AH28" s="64"/>
      <x:c r="AI28" s="64"/>
      <x:c r="AJ28" s="64"/>
      <x:c r="AK28" s="64"/>
      <x:c r="AL28" s="64"/>
      <x:c r="AM28" s="64"/>
      <x:c r="AN28" s="48" t="str">
        <x:v>26</x:v>
      </x:c>
      <x:c r="AO28" s="48" t="str">
        <x:v>MAP_无误</x:v>
      </x:c>
      <x:c r="AP28" s="48" t="str">
        <x:v>存在报告证据，但尚未经人工逐项核验；已列依据来源，但未在本阶段逐条核验</x:v>
      </x:c>
      <x:c r="AQ28" s="64"/>
      <x:c r="AR28" s="48" t="str">
        <x:v>water_emission_standard</x:v>
      </x:c>
      <x:c r="AS28" s="48" t="str">
        <x:v>L3_analysis</x:v>
      </x:c>
      <x:c r="AT28" s="48" t="str">
        <x:v>rule_applicability</x:v>
      </x:c>
      <x:c r="AU28" s="48" t="str">
        <x:v>basis_grounding</x:v>
      </x:c>
      <x:c r="AV28" s="48" t="str">
        <x:v>report_grounding；procedural_reasoning</x:v>
      </x:c>
      <x:c r="AW28" s="48" t="str">
        <x:v>high</x:v>
      </x:c>
      <x:c r="AX28" s="48" t="str">
        <x:v>high</x:v>
      </x:c>
      <x:c r="AY28" s="48" t="str">
        <x:v>report_plus_external</x:v>
      </x:c>
      <x:c r="AZ28" s="48" t="str">
        <x:v>True</x:v>
      </x:c>
      <x:c r="BA28" s="48"/>
      <x:c r="BB28" s="48" t="str">
        <x:v>auto_default</x:v>
      </x:c>
      <x:c r="BC28" s="48" t="str">
        <x:v>v1</x:v>
      </x:c>
      <x:c r="BD28" s="68"/>
    </x:row>
    <x:row r="29" ht="36" customHeight="1">
      <x:c r="A29" s="47" t="str">
        <x:v>2026-07-27</x:v>
      </x:c>
      <x:c r="B29" s="48" t="str">
        <x:v>PL030</x:v>
      </x:c>
      <x:c r="C29" s="48" t="str">
        <x:v>V01</x:v>
      </x:c>
      <x:c r="D29" s="48" t="str">
        <x:v>PL030_佛山市瑞易德塑料五金制品有限公司搬迁项目_01_受理公告或公示版.pdf</x:v>
      </x:c>
      <x:c r="E29" s="48" t="str">
        <x:v>佛山市瑞易德塑料五金制品有限公司搬迁项目</x:v>
      </x:c>
      <x:c r="F29" s="48" t="str">
        <x:v>PL030_Emission_水污</x:v>
      </x:c>
      <x:c r="G29" s="48" t="str">
        <x:v>污染物排放标准-水污染物排放标准</x:v>
      </x:c>
      <x:c r="H29"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29" s="48" t="str">
        <x:v>1、水污染物排放标准中生活污水排放执行标准：存在缺漏；
2、水污染物排放标准结论的过程分析内容：报告提及勒流污水处理厂尾水执行GB18918-2002一级A标准及DB44/26-2001的较严值，生活污水经三级化粪池预处理后排入勒流污水处理厂。但未明确列出生活污水经三级化粪池预处理后应执行的标准（应为DB44/26-2001第二时段三级标准），也未以表格形式列出各污染物限值。预处理标准缺失，存在缺漏。
2.</x:v>
      </x:c>
      <x:c r="J29" s="48" t="str">
        <x:v>水标准片段：「尾水应执行《城镇污水处理厂污染物排放标准》（GB18918-2002）一级A标准及《广东省水污染物排放限值》（DB44/26-2001）的较严值。」「生活污水经三级化粪池预处理后排入勒流污水处理厂」
2.</x:v>
      </x:c>
      <x:c r="K29" s="48" t="str">
        <x:v>emission-standard-kb.jsonl; DB44/26-2001; DB44/2367-2022; GB31572-2015; GB14554-93; GB12348-2008; GB18597-2023; GB18599-2020</x:v>
      </x:c>
      <x:c r="L29" s="48" t="str">
        <x:v>2</x:v>
      </x:c>
      <x:c r="M29" s="48" t="str">
        <x:v>2</x:v>
      </x:c>
      <x:c r="N29" s="48" t="str">
        <x:v>False</x:v>
      </x:c>
      <x:c r="O29" s="48" t="str">
        <x:v>存在缺漏</x:v>
      </x:c>
      <x:c r="P29" s="48" t="str">
        <x:v>水:存在缺漏——污水处理厂尾水标准已提及，但生活污水预处理标准（DB44/26-2001第二时段三级标准）未明确列出，无限值表格; 大气:存在缺漏——排放标准信息分散于政策分析中，未结构化列出GB31572-2015、DB44/2367-2022、GB14554-93、DB44/27-2001等标准及限值; 噪声:存在缺漏——全文未提及GB12348-2008或任何噪声排放标准; 固体废物:存在缺漏——全文未引用GB18597-2023、GB18599-2020、GB34330-2017等固废控制标准</x:v>
      </x:c>
      <x:c r="Q29" s="48"/>
      <x:c r="R29" s="48"/>
      <x:c r="S29" s="48" t="str">
        <x:v>是</x:v>
      </x:c>
      <x:c r="T29" s="48" t="str">
        <x:v>原综合排放标准问答对拆分而来</x:v>
      </x:c>
      <x:c r="U29" s="48" t="str">
        <x:v>30份环评_污染物排放控制执行标准复核QA(拆分版)</x:v>
      </x:c>
      <x:c r="V29" s="48" t="str">
        <x:v>水污染物排放标准</x:v>
      </x:c>
      <x:c r="W29" s="48" t="str">
        <x:v>存在缺漏</x:v>
      </x:c>
      <x:c r="X29" s="48" t="str">
        <x:v>存在缺漏</x:v>
      </x:c>
      <x:c r="Y29" s="64"/>
      <x:c r="Z29" s="64" t="str">
        <x:v>未复核</x:v>
      </x:c>
      <x:c r="AA29" s="64" t="str">
        <x:v>部分充分</x:v>
      </x:c>
      <x:c r="AB29" s="64" t="str">
        <x:v>有效</x:v>
      </x:c>
      <x:c r="AC29" s="64" t="str">
        <x:v>部分核验</x:v>
      </x:c>
      <x:c r="AD29" s="64" t="str">
        <x:v>自动默认</x:v>
      </x:c>
      <x:c r="AE29" s="64" t="str">
        <x:v>正式实验候选</x:v>
      </x:c>
      <x:c r="AF29" s="64" t="str">
        <x:v>A_仅待终审</x:v>
      </x:c>
      <x:c r="AG29" s="64"/>
      <x:c r="AH29" s="64"/>
      <x:c r="AI29" s="64"/>
      <x:c r="AJ29" s="64"/>
      <x:c r="AK29" s="64"/>
      <x:c r="AL29" s="64"/>
      <x:c r="AM29" s="64"/>
      <x:c r="AN29" s="48" t="str">
        <x:v>165</x:v>
      </x:c>
      <x:c r="AO29" s="48" t="str">
        <x:v>MAP_存在缺漏</x:v>
      </x:c>
      <x:c r="AP29" s="48" t="str">
        <x:v>存在报告证据，但尚未经人工逐项核验；已列依据来源，但未在本阶段逐条核验</x:v>
      </x:c>
      <x:c r="AQ29" s="64"/>
      <x:c r="AR29" s="48" t="str">
        <x:v>water_emission_standard</x:v>
      </x:c>
      <x:c r="AS29" s="48" t="str">
        <x:v>L3_analysis</x:v>
      </x:c>
      <x:c r="AT29" s="48" t="str">
        <x:v>rule_applicability</x:v>
      </x:c>
      <x:c r="AU29" s="48" t="str">
        <x:v>basis_grounding</x:v>
      </x:c>
      <x:c r="AV29" s="48" t="str">
        <x:v>report_grounding；procedural_reasoning</x:v>
      </x:c>
      <x:c r="AW29" s="48" t="str">
        <x:v>high</x:v>
      </x:c>
      <x:c r="AX29" s="48" t="str">
        <x:v>high</x:v>
      </x:c>
      <x:c r="AY29" s="48" t="str">
        <x:v>report_plus_external</x:v>
      </x:c>
      <x:c r="AZ29" s="48" t="str">
        <x:v>True</x:v>
      </x:c>
      <x:c r="BA29" s="48"/>
      <x:c r="BB29" s="48" t="str">
        <x:v>auto_default</x:v>
      </x:c>
      <x:c r="BC29" s="48" t="str">
        <x:v>v1</x:v>
      </x:c>
      <x:c r="BD29" s="68"/>
    </x:row>
    <x:row r="30" ht="36" customHeight="1">
      <x:c r="A30" s="47" t="str">
        <x:v>2026-07-27</x:v>
      </x:c>
      <x:c r="B30" s="48" t="str">
        <x:v>PL005</x:v>
      </x:c>
      <x:c r="C30" s="48" t="str">
        <x:v>V01</x:v>
      </x:c>
      <x:c r="D30" s="48" t="str">
        <x:v>PL005_佛山市润特龙清洁用品有限公司新建项目_01_核查材料.docx</x:v>
      </x:c>
      <x:c r="E30" s="48" t="str">
        <x:v>佛山市润特龙清洁用品有限公司新建项目</x:v>
      </x:c>
      <x:c r="F30" s="48" t="str">
        <x:v>PL005_Emission_水污</x:v>
      </x:c>
      <x:c r="G30" s="48" t="str">
        <x:v>污染物排放标准-水污染物排放标准</x:v>
      </x:c>
      <x:c r="H30"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0" s="48" t="str">
        <x:v>1、水污染物排放标准中生活污水排放执行标准：无误；
2、水污染物排放标准结论的过程分析内容：无误。生活污水经三级化粪池处理执行DB44/26-2001第二时段三级标准，经市政管网排至杏坛污水处理厂，尾水执行GB18918-2002一级A标准及DB44/26-2001第二时段一级标准的较严值。冷却水经静置沉淀处理达到GB/T18920-2020后回用于冲厕。标准层次清晰，选取合理。</x:v>
      </x:c>
      <x:c r="J30" s="48" t="str">
        <x:v>水标准原文："项目生活污水经三级化粪池处理达广东省地方标准《水污染物排放限值》（DB44/26-2001）第二时段三级标准后经市政管网排至杏坛污水处理厂处理……杏坛污水处理厂尾水执行国家标准《城镇污水处理厂污染物排放标准》（GB18918-2002）一级A标准及广东省地方标准《水污染物排放限值》（DB44/26-2001）第二时段一级标准的较严值。"</x:v>
      </x:c>
      <x:c r="K30" s="48" t="str">
        <x:v>emission-standard-kb.jsonl; DB44/26-2001; DB44/2367-2022; GB31572-2015; GB14554-93; GB12348-2008; GB18597-2023; GB18599-2020</x:v>
      </x:c>
      <x:c r="L30" s="48" t="str">
        <x:v>2</x:v>
      </x:c>
      <x:c r="M30" s="48" t="str">
        <x:v>2</x:v>
      </x:c>
      <x:c r="N30" s="48" t="str">
        <x:v>False</x:v>
      </x:c>
      <x:c r="O30" s="48" t="str">
        <x:v>无误</x:v>
      </x:c>
      <x:c r="P30" s="48" t="str">
        <x:v>水:无误；气:存在缺漏；噪声:无误；固废:存在缺漏</x:v>
      </x:c>
      <x:c r="Q30" s="48"/>
      <x:c r="R30" s="48"/>
      <x:c r="S30" s="48" t="str">
        <x:v>否</x:v>
      </x:c>
      <x:c r="T30" s="48" t="str">
        <x:v>原综合排放标准问答对拆分而来</x:v>
      </x:c>
      <x:c r="U30" s="48" t="str">
        <x:v>30份环评_污染物排放控制执行标准复核QA(拆分版)</x:v>
      </x:c>
      <x:c r="V30" s="48" t="str">
        <x:v>水污染物排放标准</x:v>
      </x:c>
      <x:c r="W30" s="48" t="str">
        <x:v>无误</x:v>
      </x:c>
      <x:c r="X30" s="48" t="str">
        <x:v>无误</x:v>
      </x:c>
      <x:c r="Y30" s="64"/>
      <x:c r="Z30" s="64" t="str">
        <x:v>未复核</x:v>
      </x:c>
      <x:c r="AA30" s="64" t="str">
        <x:v>部分充分</x:v>
      </x:c>
      <x:c r="AB30" s="64" t="str">
        <x:v>有效</x:v>
      </x:c>
      <x:c r="AC30" s="64" t="str">
        <x:v>部分核验</x:v>
      </x:c>
      <x:c r="AD30" s="64" t="str">
        <x:v>自动默认</x:v>
      </x:c>
      <x:c r="AE30" s="64" t="str">
        <x:v>正式实验候选</x:v>
      </x:c>
      <x:c r="AF30" s="64" t="str">
        <x:v>待分流</x:v>
      </x:c>
      <x:c r="AG30" s="64"/>
      <x:c r="AH30" s="64"/>
      <x:c r="AI30" s="64"/>
      <x:c r="AJ30" s="64"/>
      <x:c r="AK30" s="64"/>
      <x:c r="AL30" s="64"/>
      <x:c r="AM30" s="64"/>
      <x:c r="AN30" s="48" t="str">
        <x:v>31</x:v>
      </x:c>
      <x:c r="AO30" s="48" t="str">
        <x:v>MAP_无误</x:v>
      </x:c>
      <x:c r="AP30" s="48" t="str">
        <x:v>存在报告证据，但尚未经人工逐项核验；已列依据来源，但未在本阶段逐条核验</x:v>
      </x:c>
      <x:c r="AQ30" s="64"/>
      <x:c r="AR30" s="48" t="str">
        <x:v>water_emission_standard</x:v>
      </x:c>
      <x:c r="AS30" s="48" t="str">
        <x:v>L3_analysis</x:v>
      </x:c>
      <x:c r="AT30" s="48" t="str">
        <x:v>rule_applicability</x:v>
      </x:c>
      <x:c r="AU30" s="48" t="str">
        <x:v>basis_grounding</x:v>
      </x:c>
      <x:c r="AV30" s="48" t="str">
        <x:v>report_grounding；procedural_reasoning</x:v>
      </x:c>
      <x:c r="AW30" s="48" t="str">
        <x:v>high</x:v>
      </x:c>
      <x:c r="AX30" s="48" t="str">
        <x:v>high</x:v>
      </x:c>
      <x:c r="AY30" s="48" t="str">
        <x:v>report_plus_external</x:v>
      </x:c>
      <x:c r="AZ30" s="48" t="str">
        <x:v>True</x:v>
      </x:c>
      <x:c r="BA30" s="48"/>
      <x:c r="BB30" s="48" t="str">
        <x:v>auto_default</x:v>
      </x:c>
      <x:c r="BC30" s="48" t="str">
        <x:v>v1</x:v>
      </x:c>
      <x:c r="BD30" s="68"/>
    </x:row>
    <x:row r="31" ht="36" customHeight="1">
      <x:c r="A31" s="47" t="str">
        <x:v>2026-07-27</x:v>
      </x:c>
      <x:c r="B31" s="48" t="str">
        <x:v>PL031</x:v>
      </x:c>
      <x:c r="C31" s="48" t="str">
        <x:v>V01</x:v>
      </x:c>
      <x:c r="D31" s="48" t="str">
        <x:v>PL031_佛山市浩创时代包装制品有限公司新建项目_01_受理公告或公示版.pdf</x:v>
      </x:c>
      <x:c r="E31" s="48" t="str">
        <x:v>佛山市浩创时代包装制品有限公司新建项目</x:v>
      </x:c>
      <x:c r="F31" s="48" t="str">
        <x:v>PL031_Emission_水污</x:v>
      </x:c>
      <x:c r="G31" s="48" t="str">
        <x:v>污染物排放标准-水污染物排放标准</x:v>
      </x:c>
      <x:c r="H31"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1" s="48" t="str">
        <x:v>1、水污染物排放标准中生活污水排放执行标准：存在缺漏；
2、水污染物排放标准结论的过程分析内容：报告提及伦教污水处理厂尾水执行GB18918-2002一级A标准及DB44/26-2001的较严值，本项目位于伦教污水处理厂处理范围。但未明确列出生活污水经三级化粪池预处理后应执行的标准（应为DB44/26-2001第二时段三级标准），也未列出各污染物限值。预处理标准缺失，存在缺漏。
2.</x:v>
      </x:c>
      <x:c r="J31" s="48" t="str">
        <x:v>水标准片段：「本项目位于伦教污水处理厂处理范围，尾水执行《城镇污水处理厂污染物排放标准》（GB18918-2002）一级A 标准及《广东省水污染物排放限值》（DB44/26-2001）的较严值。」
2.</x:v>
      </x:c>
      <x:c r="K31" s="48" t="str">
        <x:v>emission-standard-kb.jsonl; DB44/26-2001; DB44/2367-2022; GB31572-2015; GB14554-93; GB12348-2008; GB18597-2023; GB18599-2020</x:v>
      </x:c>
      <x:c r="L31" s="48" t="str">
        <x:v>2</x:v>
      </x:c>
      <x:c r="M31" s="48" t="str">
        <x:v>2</x:v>
      </x:c>
      <x:c r="N31" s="48" t="str">
        <x:v>False</x:v>
      </x:c>
      <x:c r="O31" s="48" t="str">
        <x:v>存在缺漏</x:v>
      </x:c>
      <x:c r="P31" s="48" t="str">
        <x:v>水:存在缺漏——污水处理厂尾水标准已提及，但生活污水预处理标准（DB44/26-2001第二时段三级标准）未明确列出，无限值表格; 大气:存在缺漏——GB31572-2015、DB44/2367-2022、DB44/27-2001在政策分析中提及但未结构化列出；丝印工序使用油性油墨，GB31572-2015（合成树脂工业标准）对丝印废气的适用性需进一步核实; 噪声:存在缺漏——全文未提及GB12348-2008或任何噪声排放标准; 固体废物:存在缺漏——全文未引用GB18597-2023、GB18599-2020、GB34330-2017等固废控制标准</x:v>
      </x:c>
      <x:c r="Q31" s="48"/>
      <x:c r="R31" s="48"/>
      <x:c r="S31" s="48" t="str">
        <x:v>是</x:v>
      </x:c>
      <x:c r="T31" s="48" t="str">
        <x:v>原综合排放标准问答对拆分而来</x:v>
      </x:c>
      <x:c r="U31" s="48" t="str">
        <x:v>30份环评_污染物排放控制执行标准复核QA(拆分版)</x:v>
      </x:c>
      <x:c r="V31" s="48" t="str">
        <x:v>水污染物排放标准</x:v>
      </x:c>
      <x:c r="W31" s="48" t="str">
        <x:v>存在缺漏</x:v>
      </x:c>
      <x:c r="X31" s="48" t="str">
        <x:v>存在缺漏</x:v>
      </x:c>
      <x:c r="Y31" s="64"/>
      <x:c r="Z31" s="64" t="str">
        <x:v>未复核</x:v>
      </x:c>
      <x:c r="AA31" s="64" t="str">
        <x:v>部分充分</x:v>
      </x:c>
      <x:c r="AB31" s="64" t="str">
        <x:v>有效</x:v>
      </x:c>
      <x:c r="AC31" s="64" t="str">
        <x:v>部分核验</x:v>
      </x:c>
      <x:c r="AD31" s="64" t="str">
        <x:v>自动默认</x:v>
      </x:c>
      <x:c r="AE31" s="64" t="str">
        <x:v>正式实验候选</x:v>
      </x:c>
      <x:c r="AF31" s="64" t="str">
        <x:v>A_仅待终审</x:v>
      </x:c>
      <x:c r="AG31" s="64"/>
      <x:c r="AH31" s="64"/>
      <x:c r="AI31" s="64"/>
      <x:c r="AJ31" s="64"/>
      <x:c r="AK31" s="64"/>
      <x:c r="AL31" s="64"/>
      <x:c r="AM31" s="64"/>
      <x:c r="AN31" s="48" t="str">
        <x:v>172</x:v>
      </x:c>
      <x:c r="AO31" s="48" t="str">
        <x:v>MAP_存在缺漏</x:v>
      </x:c>
      <x:c r="AP31" s="48" t="str">
        <x:v>存在报告证据，但尚未经人工逐项核验；已列依据来源，但未在本阶段逐条核验</x:v>
      </x:c>
      <x:c r="AQ31" s="64"/>
      <x:c r="AR31" s="48" t="str">
        <x:v>water_emission_standard</x:v>
      </x:c>
      <x:c r="AS31" s="48" t="str">
        <x:v>L3_analysis</x:v>
      </x:c>
      <x:c r="AT31" s="48" t="str">
        <x:v>rule_applicability</x:v>
      </x:c>
      <x:c r="AU31" s="48" t="str">
        <x:v>basis_grounding</x:v>
      </x:c>
      <x:c r="AV31" s="48" t="str">
        <x:v>report_grounding；procedural_reasoning</x:v>
      </x:c>
      <x:c r="AW31" s="48" t="str">
        <x:v>high</x:v>
      </x:c>
      <x:c r="AX31" s="48" t="str">
        <x:v>high</x:v>
      </x:c>
      <x:c r="AY31" s="48" t="str">
        <x:v>report_plus_external</x:v>
      </x:c>
      <x:c r="AZ31" s="48" t="str">
        <x:v>True</x:v>
      </x:c>
      <x:c r="BA31" s="48"/>
      <x:c r="BB31" s="48" t="str">
        <x:v>auto_default</x:v>
      </x:c>
      <x:c r="BC31" s="48" t="str">
        <x:v>v1</x:v>
      </x:c>
      <x:c r="BD31" s="68"/>
    </x:row>
    <x:row r="32" ht="36" customHeight="1">
      <x:c r="A32" s="47" t="str">
        <x:v>2026-07-27</x:v>
      </x:c>
      <x:c r="B32" s="48" t="str">
        <x:v>PL007</x:v>
      </x:c>
      <x:c r="C32" s="48" t="str">
        <x:v>V01</x:v>
      </x:c>
      <x:c r="D32" s="48" t="str">
        <x:v>PL007_广东云晟新材料有限公司年产水性涂料2400吨新建项目_01_修改评估意见.docx</x:v>
      </x:c>
      <x:c r="E32" s="48" t="str">
        <x:v>广东云晟新材料有限公司年产水性涂料2400吨新建项目</x:v>
      </x:c>
      <x:c r="F32" s="48" t="str">
        <x:v>PL007_Emission_水污</x:v>
      </x:c>
      <x:c r="G32" s="48" t="str">
        <x:v>污染物排放标准-水污染物排放标准</x:v>
      </x:c>
      <x:c r="H32"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2" s="48" t="str">
        <x:v>1、水污染物排放标准中生活污水排放执行标准：无误；
2、水污染物排放标准结论的过程分析内容：无误。项目生活污水经三级化粪池预处理后达到广东省地方标准《水污染物排放限值》（DB44/26-2001）第二时段三级标准，排入杏坛镇污水处理厂处理。知识库记录ESK-DOMESTIC-SEWAGE-LIMITS-002证实企业生活污水排口执行DB44/26-2001第二时段三级标准（COD 500mg/L），报告表述一致。污水处理厂出水执行《城镇污水处理厂污染物排放标准》（GB18918-2002）一级A标准及DB44/26-2001第二时段一级标准的较严值，与知识库记录ESK-SHUNDE-WWTP-MAPPING-012一致。企业排口标准与污水厂尾水标准分列正确，控制位置未混淆。</x:v>
      </x:c>
      <x:c r="J32" s="48" t="str">
        <x:v>水】“项目生活污水依托厂房的三级化粪池预处理后，达到广东省地方标准《水污染物排放限值》（DB44/26-2001）中第二时段三级标准，排入杏坛镇污水处理厂处理处理。该污水处理厂已完成提标改造，尾水排放执行《城镇污水处理厂污染物排放标准》（GB18918-2002）中的一级A标准及《水污染物排放限值》（DB44/26-2001）第二时段一级标准的较严值。”</x:v>
      </x:c>
      <x:c r="K32" s="48" t="str">
        <x:v>emission-standard-kb.jsonl; DB44/26-2001; DB44/2367-2022; GB31572-2015; GB14554-93; GB12348-2008; GB18597-2023; GB18599-2020</x:v>
      </x:c>
      <x:c r="L32" s="48" t="str">
        <x:v>2</x:v>
      </x:c>
      <x:c r="M32" s="48" t="str">
        <x:v>2</x:v>
      </x:c>
      <x:c r="N32" s="48" t="str">
        <x:v>False</x:v>
      </x:c>
      <x:c r="O32" s="48" t="str">
        <x:v>无误</x:v>
      </x:c>
      <x:c r="P32" s="48" t="str">
        <x:v>水：无误——企业排口DB44/26-2001三级标准和污水厂尾水标准均填写正确；大气：无误——涂料行业GB37824-2019适用正确，臭气浓度值与知识库一致，DB44/27无组织限值属知识库缺口；噪声：无误——GB12348-2008 3类标准与知识库一致；固废：存在缺漏——一般固废未引用GB18599-2020，危废引用GB18597-2001版本存疑。</x:v>
      </x:c>
      <x:c r="Q32" s="48"/>
      <x:c r="R32" s="48"/>
      <x:c r="S32" s="48" t="str">
        <x:v>否</x:v>
      </x:c>
      <x:c r="T32" s="48" t="str">
        <x:v>原综合排放标准问答对拆分而来</x:v>
      </x:c>
      <x:c r="U32" s="48" t="str">
        <x:v>30份环评_污染物排放控制执行标准复核QA(拆分版)</x:v>
      </x:c>
      <x:c r="V32" s="48" t="str">
        <x:v>水污染物排放标准</x:v>
      </x:c>
      <x:c r="W32" s="48" t="str">
        <x:v>无误</x:v>
      </x:c>
      <x:c r="X32" s="48" t="str">
        <x:v>无误</x:v>
      </x:c>
      <x:c r="Y32" s="64"/>
      <x:c r="Z32" s="64" t="str">
        <x:v>未复核</x:v>
      </x:c>
      <x:c r="AA32" s="64" t="str">
        <x:v>部分充分</x:v>
      </x:c>
      <x:c r="AB32" s="64" t="str">
        <x:v>有效</x:v>
      </x:c>
      <x:c r="AC32" s="64" t="str">
        <x:v>部分核验</x:v>
      </x:c>
      <x:c r="AD32" s="64" t="str">
        <x:v>自动默认</x:v>
      </x:c>
      <x:c r="AE32" s="64" t="str">
        <x:v>正式实验候选</x:v>
      </x:c>
      <x:c r="AF32" s="64" t="str">
        <x:v>待分流</x:v>
      </x:c>
      <x:c r="AG32" s="64"/>
      <x:c r="AH32" s="64"/>
      <x:c r="AI32" s="64"/>
      <x:c r="AJ32" s="64"/>
      <x:c r="AK32" s="64"/>
      <x:c r="AL32" s="64"/>
      <x:c r="AM32" s="64"/>
      <x:c r="AN32" s="48" t="str">
        <x:v>41</x:v>
      </x:c>
      <x:c r="AO32" s="48" t="str">
        <x:v>MAP_无误</x:v>
      </x:c>
      <x:c r="AP32" s="48" t="str">
        <x:v>存在报告证据，但尚未经人工逐项核验；已列依据来源，但未在本阶段逐条核验</x:v>
      </x:c>
      <x:c r="AQ32" s="64"/>
      <x:c r="AR32" s="48" t="str">
        <x:v>water_emission_standard</x:v>
      </x:c>
      <x:c r="AS32" s="48" t="str">
        <x:v>L3_analysis</x:v>
      </x:c>
      <x:c r="AT32" s="48" t="str">
        <x:v>rule_applicability</x:v>
      </x:c>
      <x:c r="AU32" s="48" t="str">
        <x:v>basis_grounding</x:v>
      </x:c>
      <x:c r="AV32" s="48" t="str">
        <x:v>report_grounding；procedural_reasoning</x:v>
      </x:c>
      <x:c r="AW32" s="48" t="str">
        <x:v>high</x:v>
      </x:c>
      <x:c r="AX32" s="48" t="str">
        <x:v>high</x:v>
      </x:c>
      <x:c r="AY32" s="48" t="str">
        <x:v>report_plus_external</x:v>
      </x:c>
      <x:c r="AZ32" s="48" t="str">
        <x:v>True</x:v>
      </x:c>
      <x:c r="BA32" s="48"/>
      <x:c r="BB32" s="48" t="str">
        <x:v>auto_default</x:v>
      </x:c>
      <x:c r="BC32" s="48" t="str">
        <x:v>v1</x:v>
      </x:c>
      <x:c r="BD32" s="68"/>
    </x:row>
    <x:row r="33" ht="36" customHeight="1">
      <x:c r="A33" s="47" t="str">
        <x:v>2026-07-27</x:v>
      </x:c>
      <x:c r="B33" s="48" t="str">
        <x:v>PL032</x:v>
      </x:c>
      <x:c r="C33" s="48" t="str">
        <x:v>V01</x:v>
      </x:c>
      <x:c r="D33" s="48" t="str">
        <x:v>PL032_德旺众新材料科技(佛山)有限公司新建建设项目_01_受理公告或公示版.pdf</x:v>
      </x:c>
      <x:c r="E33" s="48" t="str">
        <x:v>德旺众新材料科技(佛山)有限公司新建建设项目</x:v>
      </x:c>
      <x:c r="F33" s="48" t="str">
        <x:v>PL032_Emission_水污</x:v>
      </x:c>
      <x:c r="G33" s="48" t="str">
        <x:v>污染物排放标准-水污染物排放标准</x:v>
      </x:c>
      <x:c r="H33" s="48" t="str">
        <x:v>请根据报告中的废水类型、预处理方式、排放去向、企业排口标准、污水处理厂名称、尾水排放河道和尾水执行标准，判断水污染物排放标准选取是否合理。要求对比：生活污水排放标准+排入污水处理厂名称+尾水排放河道+尾水排放执行标准，报告与知识库是否一致。</x:v>
      </x:c>
      <x:c r="I33" s="48" t="str">
        <x:v>1、水污染物排放标准中生活污水排放执行标准：存在缺漏；
2、水污染物排放标准结论的过程分析内容：报告提及生活污水经三级化粪池预处理后排至均安污水处理厂处理。但未明确列出生活污水预处理执行标准（应为DB44/26-2001第二时段三级标准），也未列出均安污水处理厂尾水执行标准（应为GB18918-2002一级A及DB44/26-2001较严值）及各污染物限值。存在缺漏。
2.</x:v>
      </x:c>
      <x:c r="J33" s="48" t="str">
        <x:v>水标准片段：「生活污水经三级化粪池预处理后排至均安污水处理厂处理」（工程组成表），未列出预处理执行标准及限值。
2.</x:v>
      </x:c>
      <x:c r="K33" s="48" t="str">
        <x:v>emission-standard-kb.jsonl; DB44/26-2001; DB44/2367-2022; GB31572-2015; GB14554-93; GB12348-2008; GB18597-2023; GB18599-2020</x:v>
      </x:c>
      <x:c r="L33" s="48" t="str">
        <x:v>2</x:v>
      </x:c>
      <x:c r="M33" s="48" t="str">
        <x:v>2</x:v>
      </x:c>
      <x:c r="N33" s="48" t="str">
        <x:v>False</x:v>
      </x:c>
      <x:c r="O33" s="48" t="str">
        <x:v>存在缺漏</x:v>
      </x:c>
      <x:c r="P33" s="48" t="str">
        <x:v>水:存在缺漏——生活污水预处理标准（DB44/26-2001第二时段三级标准）及污水处理厂尾水标准均未明确列出，无限值表格; 大气:存在缺漏——有组织排放仅以‘可满足现行相关标准’笼统表述，未明确引用具体标准名称和限值；DB44/2367-2022在政策分析中提及但未结构化列出; 噪声:存在缺漏——全文未提及GB12348-2008或任何噪声排放标准; 固体废物:存在缺漏——全文未引用GB18597-2023、GB18599-2020、GB34330-2017等固废控制标准</x:v>
      </x:c>
      <x:c r="Q33" s="48"/>
      <x:c r="R33" s="48"/>
      <x:c r="S33" s="48" t="str">
        <x:v>是</x:v>
      </x:c>
      <x:c r="T33" s="48" t="str">
        <x:v>原综合排放标准问答对拆分而来</x:v>
      </x:c>
      <x:c r="U33" s="48" t="str">
        <x:v>30份环评_污染物排放控制执行标准复核QA(拆分版)</x:v>
      </x:c>
      <x:c r="V33" s="48" t="str">
        <x:v>水污染物排放标准</x:v>
      </x:c>
      <x:c r="W33" s="48" t="str">
        <x:v>存在缺漏</x:v>
      </x:c>
      <x:c r="X33" s="48" t="str">
        <x:v>存在缺漏</x:v>
      </x:c>
      <x:c r="Y33" s="64"/>
      <x:c r="Z33" s="64" t="str">
        <x:v>未复核</x:v>
      </x:c>
      <x:c r="AA33" s="64" t="str">
        <x:v>部分充分</x:v>
      </x:c>
      <x:c r="AB33" s="64" t="str">
        <x:v>有效</x:v>
      </x:c>
      <x:c r="AC33" s="64" t="str">
        <x:v>部分核验</x:v>
      </x:c>
      <x:c r="AD33" s="64" t="str">
        <x:v>自动默认</x:v>
      </x:c>
      <x:c r="AE33" s="64" t="str">
        <x:v>正式实验候选</x:v>
      </x:c>
      <x:c r="AF33" s="64" t="str">
        <x:v>A_仅待终审</x:v>
      </x:c>
      <x:c r="AG33" s="64"/>
      <x:c r="AH33" s="64"/>
      <x:c r="AI33" s="64"/>
      <x:c r="AJ33" s="64"/>
      <x:c r="AK33" s="64"/>
      <x:c r="AL33" s="64"/>
      <x:c r="AM33" s="64"/>
      <x:c r="AN33" s="48" t="str">
        <x:v>179</x:v>
      </x:c>
      <x:c r="AO33" s="48" t="str">
        <x:v>MAP_存在缺漏</x:v>
      </x:c>
      <x:c r="AP33" s="48" t="str">
        <x:v>存在报告证据，但尚未经人工逐项核验；已列依据来源，但未在本阶段逐条核验</x:v>
      </x:c>
      <x:c r="AQ33" s="64"/>
      <x:c r="AR33" s="48" t="str">
        <x:v>water_emission_standard</x:v>
      </x:c>
      <x:c r="AS33" s="48" t="str">
        <x:v>L3_analysis</x:v>
      </x:c>
      <x:c r="AT33" s="48" t="str">
        <x:v>rule_applicability</x:v>
      </x:c>
      <x:c r="AU33" s="48" t="str">
        <x:v>basis_grounding</x:v>
      </x:c>
      <x:c r="AV33" s="48" t="str">
        <x:v>report_grounding；procedural_reasoning</x:v>
      </x:c>
      <x:c r="AW33" s="48" t="str">
        <x:v>high</x:v>
      </x:c>
      <x:c r="AX33" s="48" t="str">
        <x:v>high</x:v>
      </x:c>
      <x:c r="AY33" s="48" t="str">
        <x:v>report_plus_external</x:v>
      </x:c>
      <x:c r="AZ33" s="48" t="str">
        <x:v>True</x:v>
      </x:c>
      <x:c r="BA33" s="48"/>
      <x:c r="BB33" s="48" t="str">
        <x:v>auto_default</x:v>
      </x:c>
      <x:c r="BC33" s="48" t="str">
        <x:v>v1</x:v>
      </x:c>
      <x:c r="BD33" s="68"/>
    </x:row>
    <x:row r="34" ht="36" customHeight="1">
      <x:c r="A34" s="47" t="str">
        <x:v>2026-07-28</x:v>
      </x:c>
      <x:c r="B34" s="48" t="str">
        <x:v>PL018</x:v>
      </x:c>
      <x:c r="C34" s="48" t="str">
        <x:v>V01</x:v>
      </x:c>
      <x:c r="D34" s="48" t="str">
        <x:v>PL018_广东台塑智能科技有限公司新建项目_01_受理公告或公示版.pdf</x:v>
      </x:c>
      <x:c r="E34" s="48" t="str">
        <x:v>广东台塑智能科技有限公司新建项目</x:v>
      </x:c>
      <x:c r="F34" s="48" t="str">
        <x:v>PL018_EnvQuality_Q01</x:v>
      </x:c>
      <x:c r="G34" s="48" t="str">
        <x:v>大气及地表水环境质量现状数据引用</x:v>
      </x:c>
      <x:c r="H34" s="48" t="str">
        <x:v>请根据报告引用的环境质量公报及现状数据，判断大气和地表水环境质量现状数据引用是否准确。</x:v>
      </x:c>
      <x:c r="I34" s="48" t="str">
        <x:v>1、大气及地表水环境质量引用数据正确；
2、项目大气环境质量引用《2023年度佛山市顺德区生态环境状况公报》。环评对大气环境质量分析内容与《2023年度佛山市顺德区生态环境状况公报》中大气环境状况描述一致，报告指出根据2023年全区大气环境质量状况公报，除臭氧（O3）外其余污染物指标浓度达到二级标准，与公报中“O3超二级浓度限值，SO2、NO2、PM10、PM2.5、CO五项污染物年评价浓度符合二级浓度限值”的描述一致。经检索，截至审核日该地区最新的环境状况公报为《2024年度佛山市顺德区生态环境状况公报》，可供参考。
项目地表水环境质量引用《2023年度佛山市顺德区生态环境状况公报》。环评对地表水环境质量分析内容与《2023年度佛山市顺德区生态环境状况公报》中地表水环境状况描述一致。项目污水处理厂为北滘污水处理厂，尾水受纳河道为潭洲水道，执行标准为III类，与官方登记一致。</x:v>
      </x:c>
      <x:c r="J34" s="48" t="str">
        <x:v>证据位置:大气：报告引用佛顺环函〔2024〕44号《2023年度佛山市顺德区生态环境状况公报》，见报告环境质量现状章节（约第2233-2271行），报告称“根据2023年全区的大气环境质量状况公报，除臭氧（O3）外，其余污染物指标浓度”达到二级标准；地表水：报告引用佛顺环函〔2024〕44号（约第2275-2278行），北滘污水处理厂尾水排入潭洲水道; 大气公报:《2023年度佛山市顺德区生态环境状况公报》; 地表水资料:《2023年度佛山市顺德区生态环境状况公报》</x:v>
      </x:c>
      <x:c r="K34" s="48" t="str">
        <x:v>生态环境状况公报知识库; 收纳水体地表水执行标准</x:v>
      </x:c>
      <x:c r="L34" s="48" t="str">
        <x:v>2</x:v>
      </x:c>
      <x:c r="M34" s="48" t="str">
        <x:v>2</x:v>
      </x:c>
      <x:c r="N34" s="48" t="str">
        <x:v>False</x:v>
      </x:c>
      <x:c r="O34" s="48" t="str">
        <x:v>正确</x:v>
      </x:c>
      <x:c r="P34" s="48" t="str">
        <x:v>大气:正确; 地表水:正确; 报告日期:2024</x:v>
      </x:c>
      <x:c r="Q34" s="48"/>
      <x:c r="R34" s="48"/>
      <x:c r="S34" s="48" t="str">
        <x:v>是</x:v>
      </x:c>
      <x:c r="T34" s="48" t="str">
        <x:v>无。报告引用2023年度公报（佛顺环函〔2024〕44号），发布日期2024-03-26早于报告日期，2023年度数据在近3年窗口内。大气分析内容（除O3外其余污染物达标）与公报一致；地表水分析引用同一公报，北滘污水处理厂尾水受纳河道（潭洲水道）及执行标准（III类）与官方登记一致。</x:v>
      </x:c>
      <x:c r="U34" s="48" t="str">
        <x:v>30个环评_大气及地表水环境质量现状数据引用复核QA</x:v>
      </x:c>
      <x:c r="V34" s="48" t="str">
        <x:v>环境质量数据引用</x:v>
      </x:c>
      <x:c r="W34" s="48" t="str">
        <x:v>正确</x:v>
      </x:c>
      <x:c r="X34" s="48" t="str">
        <x:v>无误</x:v>
      </x:c>
      <x:c r="Y34" s="64"/>
      <x:c r="Z34" s="64" t="str">
        <x:v>未复核</x:v>
      </x:c>
      <x:c r="AA34" s="64" t="str">
        <x:v>部分充分</x:v>
      </x:c>
      <x:c r="AB34" s="64" t="str">
        <x:v>有效</x:v>
      </x:c>
      <x:c r="AC34" s="64" t="str">
        <x:v>部分核验</x:v>
      </x:c>
      <x:c r="AD34" s="64" t="str">
        <x:v>自动默认</x:v>
      </x:c>
      <x:c r="AE34" s="64" t="str">
        <x:v>正式实验候选</x:v>
      </x:c>
      <x:c r="AF34" s="64" t="str">
        <x:v>A_仅待终审</x:v>
      </x:c>
      <x:c r="AG34" s="64"/>
      <x:c r="AH34" s="64"/>
      <x:c r="AI34" s="64"/>
      <x:c r="AJ34" s="64"/>
      <x:c r="AK34" s="64"/>
      <x:c r="AL34" s="64"/>
      <x:c r="AM34" s="64"/>
      <x:c r="AN34" s="48" t="str">
        <x:v>87</x:v>
      </x:c>
      <x:c r="AO34" s="48" t="str">
        <x:v>MAP_正确</x:v>
      </x:c>
      <x:c r="AP34" s="48" t="str">
        <x:v>存在报告证据，但尚未经人工逐项核验；已列依据来源，但未在本阶段逐条核验</x:v>
      </x:c>
      <x:c r="AQ34" s="64"/>
      <x:c r="AR34" s="48" t="str">
        <x:v>environmental_quality_data</x:v>
      </x:c>
      <x:c r="AS34" s="48" t="str">
        <x:v>L3_analysis</x:v>
      </x:c>
      <x:c r="AT34" s="48" t="str">
        <x:v>consistency_comparison</x:v>
      </x:c>
      <x:c r="AU34" s="48" t="str">
        <x:v>evidence_integration</x:v>
      </x:c>
      <x:c r="AV34" s="48" t="str">
        <x:v>report_grounding；basis_grounding</x:v>
      </x:c>
      <x:c r="AW34" s="48" t="str">
        <x:v>high</x:v>
      </x:c>
      <x:c r="AX34" s="48" t="str">
        <x:v>high</x:v>
      </x:c>
      <x:c r="AY34" s="48" t="str">
        <x:v>report_plus_external</x:v>
      </x:c>
      <x:c r="AZ34" s="48" t="str">
        <x:v>True</x:v>
      </x:c>
      <x:c r="BA34" s="48"/>
      <x:c r="BB34" s="48" t="str">
        <x:v>auto_default</x:v>
      </x:c>
      <x:c r="BC34" s="48" t="str">
        <x:v>v1</x:v>
      </x:c>
      <x:c r="BD34" s="68"/>
    </x:row>
    <x:row r="35" ht="36" customHeight="1">
      <x:c r="A35" s="47" t="str">
        <x:v>2026-07-28</x:v>
      </x:c>
      <x:c r="B35" s="48" t="str">
        <x:v>PL019</x:v>
      </x:c>
      <x:c r="C35" s="48" t="str">
        <x:v>V01</x:v>
      </x:c>
      <x:c r="D35" s="48" t="str">
        <x:v>PL019_佛山市智龙科技有限公司迁扩建项目_01_受理公告或公示版.pdf</x:v>
      </x:c>
      <x:c r="E35" s="48" t="str">
        <x:v>佛山市智龙科技有限公司迁扩建项目</x:v>
      </x:c>
      <x:c r="F35" s="48" t="str">
        <x:v>PL019_EnvQuality_Q01</x:v>
      </x:c>
      <x:c r="G35" s="48" t="str">
        <x:v>大气及地表水环境质量现状数据引用</x:v>
      </x:c>
      <x:c r="H35" s="48" t="str">
        <x:v>请根据报告引用的环境质量公报及现状数据，判断大气和地表水环境质量现状数据引用是否准确。</x:v>
      </x:c>
      <x:c r="I35" s="48" t="str">
        <x:v>1、【大气及地表水环境质量引用数据正确】；2、项目大气环境质量引用《2023年度佛山市顺德区生态环境状况公报》。环评对大气环境质量分析内容与《2023年度佛山市顺德区生态环境状况公报》中大气环境状况描述一致（SO2=6、NO2=28、PM10=35、PM2.5=20μg/m³，O3=164μg/m³，CO=1.0mg/m³，五项达标、O3超标、不达标区）；其中报告正文将CO单位标注为μg/m³属单位表述笔误，同页表格数值（1000μg/m³=1.0mg/m³）与公报一致，不影响达标结论。经检索，截至审核日该地区最新的环境状况公报为《2024年度佛山市顺德区生态环境状况公报》（佛环顺函〔2025〕12号，2025-04-03发布），可供参考。项目地表水环境质量引用《2023年度佛山市顺德区生态环境状况公报》。环评对地表水环境质量分析内容与《2023年度佛山市顺德区生态环境状况公报》中地表水环境状况描述一致（纳污水体顺德支流新涌断面2023年河流定类Ⅲ类，符合Ⅲ类标准，水质良好；公报P5-7：顺德支流/新涌=Ⅲ）。经检索，截至审核日该地区最新的环境状况公报为《2024年度佛山市顺德区生态环境状况公报》（佛环顺函〔2025〕12号，2025-04-03发布），可供参考。</x:v>
      </x:c>
      <x:c r="J35" s="48" t="str">
        <x:v>证据位置:大气：Page 41；地表水：Page 41; 大气公报:《2023年度佛山市顺德区生态环境状况公报》; 地表水资料:《2023年度佛山市顺德区生态环境状况公报》</x:v>
      </x:c>
      <x:c r="K35" s="48" t="str">
        <x:v>生态环境状况公报知识库; 收纳水体地表水执行标准</x:v>
      </x:c>
      <x:c r="L35" s="48" t="str">
        <x:v>2</x:v>
      </x:c>
      <x:c r="M35" s="48" t="str">
        <x:v>2</x:v>
      </x:c>
      <x:c r="N35" s="48" t="str">
        <x:v>False</x:v>
      </x:c>
      <x:c r="O35" s="48" t="str">
        <x:v>正确</x:v>
      </x:c>
      <x:c r="P35" s="48" t="str">
        <x:v>大气:正确; 地表水:正确; 报告日期:未明确</x:v>
      </x:c>
      <x:c r="Q35" s="48"/>
      <x:c r="R35" s="48"/>
      <x:c r="S35" s="48" t="str">
        <x:v>是</x:v>
      </x:c>
      <x:c r="T35" s="48" t="str">
        <x:v>CO第95百分位数：报告正文将CO单位标注为μg/m³，与公报mg/m³不符；但同页表格CO=1000(μg/m³语境)=1.0mg/m³与公报一致，达标结论未失真，属单位表述笔误。</x:v>
      </x:c>
      <x:c r="U35" s="48" t="str">
        <x:v>30个环评_大气及地表水环境质量现状数据引用复核QA</x:v>
      </x:c>
      <x:c r="V35" s="48" t="str">
        <x:v>环境质量数据引用</x:v>
      </x:c>
      <x:c r="W35" s="48" t="str">
        <x:v>正确</x:v>
      </x:c>
      <x:c r="X35" s="48" t="str">
        <x:v>无误</x:v>
      </x:c>
      <x:c r="Y35" s="64"/>
      <x:c r="Z35" s="64" t="str">
        <x:v>未复核</x:v>
      </x:c>
      <x:c r="AA35" s="64" t="str">
        <x:v>部分充分</x:v>
      </x:c>
      <x:c r="AB35" s="64" t="str">
        <x:v>有效</x:v>
      </x:c>
      <x:c r="AC35" s="64" t="str">
        <x:v>部分核验</x:v>
      </x:c>
      <x:c r="AD35" s="64" t="str">
        <x:v>自动默认</x:v>
      </x:c>
      <x:c r="AE35" s="64" t="str">
        <x:v>正式实验候选</x:v>
      </x:c>
      <x:c r="AF35" s="64" t="str">
        <x:v>A_仅待终审</x:v>
      </x:c>
      <x:c r="AG35" s="64"/>
      <x:c r="AH35" s="64"/>
      <x:c r="AI35" s="64"/>
      <x:c r="AJ35" s="64"/>
      <x:c r="AK35" s="64"/>
      <x:c r="AL35" s="64"/>
      <x:c r="AM35" s="64"/>
      <x:c r="AN35" s="48" t="str">
        <x:v>94</x:v>
      </x:c>
      <x:c r="AO35" s="48" t="str">
        <x:v>MAP_正确</x:v>
      </x:c>
      <x:c r="AP35" s="48" t="str">
        <x:v>存在报告证据，但尚未经人工逐项核验；已列依据来源，但未在本阶段逐条核验</x:v>
      </x:c>
      <x:c r="AQ35" s="64"/>
      <x:c r="AR35" s="48" t="str">
        <x:v>environmental_quality_data</x:v>
      </x:c>
      <x:c r="AS35" s="48" t="str">
        <x:v>L3_analysis</x:v>
      </x:c>
      <x:c r="AT35" s="48" t="str">
        <x:v>consistency_comparison</x:v>
      </x:c>
      <x:c r="AU35" s="48" t="str">
        <x:v>evidence_integration</x:v>
      </x:c>
      <x:c r="AV35" s="48" t="str">
        <x:v>report_grounding；basis_grounding</x:v>
      </x:c>
      <x:c r="AW35" s="48" t="str">
        <x:v>high</x:v>
      </x:c>
      <x:c r="AX35" s="48" t="str">
        <x:v>high</x:v>
      </x:c>
      <x:c r="AY35" s="48" t="str">
        <x:v>report_plus_external</x:v>
      </x:c>
      <x:c r="AZ35" s="48" t="str">
        <x:v>True</x:v>
      </x:c>
      <x:c r="BA35" s="48"/>
      <x:c r="BB35" s="48" t="str">
        <x:v>auto_default</x:v>
      </x:c>
      <x:c r="BC35" s="48" t="str">
        <x:v>v1</x:v>
      </x:c>
      <x:c r="BD35" s="68"/>
    </x:row>
    <x:row r="36" ht="36" customHeight="1">
      <x:c r="A36" s="47" t="str">
        <x:v>2026-07-28</x:v>
      </x:c>
      <x:c r="B36" s="48" t="str">
        <x:v>PL033</x:v>
      </x:c>
      <x:c r="C36" s="48" t="str">
        <x:v>V01</x:v>
      </x:c>
      <x:c r="D36" s="48" t="str">
        <x:v>PL033_广东施格纳电气有限公司新建项目_01_受理公告或公示版.pdf</x:v>
      </x:c>
      <x:c r="E36" s="48" t="str">
        <x:v>广东施格纳电气有限公司新建项目</x:v>
      </x:c>
      <x:c r="F36" s="48" t="str">
        <x:v>PL033_EnvQuality_Q01</x:v>
      </x:c>
      <x:c r="G36" s="48" t="str">
        <x:v>大气及地表水环境质量现状数据引用</x:v>
      </x:c>
      <x:c r="H36" s="48" t="str">
        <x:v>请根据报告引用的环境质量公报及现状数据，判断大气和地表水环境质量现状数据引用是否准确。</x:v>
      </x:c>
      <x:c r="I36" s="48" t="str">
        <x:v>1、【大气及地表水环境质量引用数据正确】；
2、项目大气环境质量引用《2023年度佛山市顺德区生态环境状况公报》（佛环顺函〔2024〕44号）。环评对大气环境质量分析内容与《2023年度佛山市顺德区生态环境状况公报》中大气环境状况描述一致，2023年O3（臭氧）浓度超过了《环境空气质量标准》二级浓度限值，其余污染物指标（SO2、NO2、PM10、PM2.5、CO）年评价浓度符合二级浓度限值。经检索，截至审核日该地区最新的环境状况公报为《2024年度佛山市顺德区生态环境状况公报》，可供参考。
项目地表水环境质量引用《2023年度佛山市顺德区生态环境状况公报》（佛环顺函〔2024〕44号）。环评对地表水环境质量分析内容与《2023年度佛山市顺德区生态环境状况公报》中地表水环境状况描述一致。项目污水处理厂尾水受纳河道为顺德支流（勒流污水处理厂），执行标准为III类，与官方登记一致。</x:v>
      </x:c>
      <x:c r="J36" s="48" t="str">
        <x:v>证据位置:大气：env_text第2007-2008行引用佛环顺函〔2024〕44号及《2023年佛山市顺德区环境质量状况公报》；第2064行O3浓度超过《环境空气质量标准》；地表水：env_text第2085行勒流污水处理厂纳污水体为顺德支流；第2089行引用佛环顺函〔2024〕44号; 大气公报:《2023年度佛山市顺德区生态环境状况公报》（佛环顺函〔2024〕44号）; 地表水资料:《2023年度佛山市顺德区生态环境状况公报》（佛环顺函〔2024〕44号）</x:v>
      </x:c>
      <x:c r="K36" s="48" t="str">
        <x:v>生态环境状况公报知识库; 收纳水体地表水执行标准</x:v>
      </x:c>
      <x:c r="L36" s="48" t="str">
        <x:v>2</x:v>
      </x:c>
      <x:c r="M36" s="48" t="str">
        <x:v>2</x:v>
      </x:c>
      <x:c r="N36" s="48" t="str">
        <x:v>False</x:v>
      </x:c>
      <x:c r="O36" s="48" t="str">
        <x:v>正确</x:v>
      </x:c>
      <x:c r="P36" s="48" t="str">
        <x:v>大气:正确; 地表水:正确; 报告日期:2024-04</x:v>
      </x:c>
      <x:c r="Q36" s="48"/>
      <x:c r="R36" s="48"/>
      <x:c r="S36" s="48" t="str">
        <x:v>是</x:v>
      </x:c>
      <x:c r="T36" s="48" t="str">
        <x:v>无明显问题。报告引用《2023年度佛山市顺德区生态环境状况公报》（佛环顺函〔2024〕44号），大气和地表水分析内容与公报一致，勒流污水处理厂尾水受纳河道顺德支流与官方登记一致。报告公报标题使用环境质量状况公报而非官方名称生态环境状况公报，但可通过文号追溯核验。</x:v>
      </x:c>
      <x:c r="U36" s="48" t="str">
        <x:v>30个环评_大气及地表水环境质量现状数据引用复核QA</x:v>
      </x:c>
      <x:c r="V36" s="48" t="str">
        <x:v>环境质量数据引用</x:v>
      </x:c>
      <x:c r="W36" s="48" t="str">
        <x:v>正确</x:v>
      </x:c>
      <x:c r="X36" s="48" t="str">
        <x:v>无误</x:v>
      </x:c>
      <x:c r="Y36" s="64"/>
      <x:c r="Z36" s="64" t="str">
        <x:v>未复核</x:v>
      </x:c>
      <x:c r="AA36" s="64" t="str">
        <x:v>部分充分</x:v>
      </x:c>
      <x:c r="AB36" s="64" t="str">
        <x:v>有效</x:v>
      </x:c>
      <x:c r="AC36" s="64" t="str">
        <x:v>部分核验</x:v>
      </x:c>
      <x:c r="AD36" s="64" t="str">
        <x:v>自动默认</x:v>
      </x:c>
      <x:c r="AE36" s="64" t="str">
        <x:v>正式实验候选</x:v>
      </x:c>
      <x:c r="AF36" s="64" t="str">
        <x:v>A_仅待终审</x:v>
      </x:c>
      <x:c r="AG36" s="64"/>
      <x:c r="AH36" s="64"/>
      <x:c r="AI36" s="64"/>
      <x:c r="AJ36" s="64"/>
      <x:c r="AK36" s="64"/>
      <x:c r="AL36" s="64"/>
      <x:c r="AM36" s="64"/>
      <x:c r="AN36" s="48" t="str">
        <x:v>185</x:v>
      </x:c>
      <x:c r="AO36" s="48" t="str">
        <x:v>MAP_正确</x:v>
      </x:c>
      <x:c r="AP36" s="48" t="str">
        <x:v>存在报告证据，但尚未经人工逐项核验；已列依据来源，但未在本阶段逐条核验</x:v>
      </x:c>
      <x:c r="AQ36" s="64"/>
      <x:c r="AR36" s="48" t="str">
        <x:v>environmental_quality_data</x:v>
      </x:c>
      <x:c r="AS36" s="48" t="str">
        <x:v>L3_analysis</x:v>
      </x:c>
      <x:c r="AT36" s="48" t="str">
        <x:v>consistency_comparison</x:v>
      </x:c>
      <x:c r="AU36" s="48" t="str">
        <x:v>evidence_integration</x:v>
      </x:c>
      <x:c r="AV36" s="48" t="str">
        <x:v>report_grounding；basis_grounding</x:v>
      </x:c>
      <x:c r="AW36" s="48" t="str">
        <x:v>high</x:v>
      </x:c>
      <x:c r="AX36" s="48" t="str">
        <x:v>high</x:v>
      </x:c>
      <x:c r="AY36" s="48" t="str">
        <x:v>report_plus_external</x:v>
      </x:c>
      <x:c r="AZ36" s="48" t="str">
        <x:v>True</x:v>
      </x:c>
      <x:c r="BA36" s="48"/>
      <x:c r="BB36" s="48" t="str">
        <x:v>auto_default</x:v>
      </x:c>
      <x:c r="BC36" s="48" t="str">
        <x:v>v1</x:v>
      </x:c>
      <x:c r="BD36" s="68"/>
    </x:row>
    <x:row r="37" ht="36" customHeight="1">
      <x:c r="A37" s="47" t="str">
        <x:v>2026-07-28</x:v>
      </x:c>
      <x:c r="B37" s="48" t="str">
        <x:v>PL001</x:v>
      </x:c>
      <x:c r="C37" s="48" t="str">
        <x:v>V01</x:v>
      </x:c>
      <x:c r="D37" s="48" t="str">
        <x:v>佛山市亮正新材料有限公司新建项目环境影响报告表</x:v>
      </x:c>
      <x:c r="E37" s="48" t="str">
        <x:v>佛山市亮正新材料有限公司新建项目</x:v>
      </x:c>
      <x:c r="F37" s="48" t="str">
        <x:v>PL001_EnvQuality_Q01</x:v>
      </x:c>
      <x:c r="G37" s="48" t="str">
        <x:v>大气及地表水环境质量现状数据引用</x:v>
      </x:c>
      <x:c r="H37" s="48" t="str">
        <x:v>请根据报告引用的环境质量公报及现状数据，判断大气和地表水环境质量现状数据引用是否准确。</x:v>
      </x:c>
      <x:c r="I37" s="48" t="str">
        <x:v>1、大气及地表水环境质量引用数据正确；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37" s="48" t="str">
        <x:v>证据位置:大气：表4第0行第1列（大气环境段落）；地表水：表4第0行第1列（地表水环境段落）; 大气公报:《佛山市生态环境局顺德分局关于发布2022年度佛山市顺德区生态环境状况公报的通知（佛环顺函〔2023〕26号）》; 地表水资料:《佛山市生态环境局顺德分局关于发布2022年度佛山市顺德区生态环境状况公报的通知（佛环顺函〔2023〕26号）》</x:v>
      </x:c>
      <x:c r="K37" s="48" t="str">
        <x:v>生态环境状况公报知识库; 收纳水体地表水执行标准</x:v>
      </x:c>
      <x:c r="L37" s="48" t="str">
        <x:v>2</x:v>
      </x:c>
      <x:c r="M37" s="48" t="str">
        <x:v>2</x:v>
      </x:c>
      <x:c r="N37" s="48" t="str">
        <x:v>False</x:v>
      </x:c>
      <x:c r="O37" s="48" t="str">
        <x:v>正确</x:v>
      </x:c>
      <x:c r="P37" s="48" t="str">
        <x:v>大气:正确; 地表水:正确; 报告日期:2023-07</x:v>
      </x:c>
      <x:c r="Q37" s="48"/>
      <x:c r="R37" s="48"/>
      <x:c r="S37" s="48" t="str">
        <x:v>是</x:v>
      </x:c>
      <x:c r="T37" s="48" t="str">
        <x:v>各项引用数据与公报一致（表3-1变化列显示+23.8%（正值），公报为下降23.8%（负值），变化幅度正确但符号错误，不影响达标结论；表3-1变化列显示+13.6%（正值），公报为下降13.6%（负值），变化幅度正确但符号错误，不影响达标结论；表3-1列标题标注'2020'和'2021'，但列内数值实为2021年和2022年数据（与公报图2一致），列标题年份向前偏移一年；表标题及正文均正确引用2022年度，不影响数据本身正确性）</x:v>
      </x:c>
      <x:c r="U37" s="48" t="str">
        <x:v>30个环评_大气及地表水环境质量现状数据引用复核QA</x:v>
      </x:c>
      <x:c r="V37" s="48" t="str">
        <x:v>环境质量数据引用</x:v>
      </x:c>
      <x:c r="W37" s="48" t="str">
        <x:v>正确</x:v>
      </x:c>
      <x:c r="X37" s="48" t="str">
        <x:v>无误</x:v>
      </x:c>
      <x:c r="Y37" s="64"/>
      <x:c r="Z37" s="64" t="str">
        <x:v>未复核</x:v>
      </x:c>
      <x:c r="AA37" s="64" t="str">
        <x:v>部分充分</x:v>
      </x:c>
      <x:c r="AB37" s="64" t="str">
        <x:v>有效</x:v>
      </x:c>
      <x:c r="AC37" s="64" t="str">
        <x:v>部分核验</x:v>
      </x:c>
      <x:c r="AD37" s="64" t="str">
        <x:v>自动默认</x:v>
      </x:c>
      <x:c r="AE37" s="64" t="str">
        <x:v>正式实验候选</x:v>
      </x:c>
      <x:c r="AF37" s="64" t="str">
        <x:v>A_仅待终审</x:v>
      </x:c>
      <x:c r="AG37" s="64"/>
      <x:c r="AH37" s="64"/>
      <x:c r="AI37" s="64"/>
      <x:c r="AJ37" s="64"/>
      <x:c r="AK37" s="64"/>
      <x:c r="AL37" s="64"/>
      <x:c r="AM37" s="64"/>
      <x:c r="AN37" s="48" t="str">
        <x:v>4</x:v>
      </x:c>
      <x:c r="AO37" s="48" t="str">
        <x:v>MAP_正确</x:v>
      </x:c>
      <x:c r="AP37" s="48" t="str">
        <x:v>存在报告证据，但尚未经人工逐项核验；已列依据来源，但未在本阶段逐条核验</x:v>
      </x:c>
      <x:c r="AQ37" s="64"/>
      <x:c r="AR37" s="48" t="str">
        <x:v>environmental_quality_data</x:v>
      </x:c>
      <x:c r="AS37" s="48" t="str">
        <x:v>L3_analysis</x:v>
      </x:c>
      <x:c r="AT37" s="48" t="str">
        <x:v>consistency_comparison</x:v>
      </x:c>
      <x:c r="AU37" s="48" t="str">
        <x:v>evidence_integration</x:v>
      </x:c>
      <x:c r="AV37" s="48" t="str">
        <x:v>report_grounding；basis_grounding</x:v>
      </x:c>
      <x:c r="AW37" s="48" t="str">
        <x:v>high</x:v>
      </x:c>
      <x:c r="AX37" s="48" t="str">
        <x:v>high</x:v>
      </x:c>
      <x:c r="AY37" s="48" t="str">
        <x:v>report_plus_external</x:v>
      </x:c>
      <x:c r="AZ37" s="48" t="str">
        <x:v>True</x:v>
      </x:c>
      <x:c r="BA37" s="48"/>
      <x:c r="BB37" s="48" t="str">
        <x:v>auto_default</x:v>
      </x:c>
      <x:c r="BC37" s="48" t="str">
        <x:v>v1</x:v>
      </x:c>
      <x:c r="BD37" s="68"/>
    </x:row>
    <x:row r="38" ht="36" customHeight="1">
      <x:c r="A38" s="47" t="str">
        <x:v>2026-07-28</x:v>
      </x:c>
      <x:c r="B38" s="48" t="str">
        <x:v>PL006</x:v>
      </x:c>
      <x:c r="C38" s="48" t="str">
        <x:v>V01</x:v>
      </x:c>
      <x:c r="D38" s="48" t="str">
        <x:v>佛山市顺德区乐鲸科技有限公司年产五金拉手300万个新建项目环境影响报告表</x:v>
      </x:c>
      <x:c r="E38" s="48" t="str">
        <x:v>佛山市顺德区乐鲸科技有限公司年产五金拉手300万个新建项目</x:v>
      </x:c>
      <x:c r="F38" s="48" t="str">
        <x:v>PL006_EnvQuality_Q01</x:v>
      </x:c>
      <x:c r="G38" s="48" t="str">
        <x:v>大气及地表水环境质量现状数据引用</x:v>
      </x:c>
      <x:c r="H38" s="48" t="str">
        <x:v>请根据报告引用的环境质量公报及现状数据，判断大气和地表水环境质量现状数据引用是否准确。</x:v>
      </x:c>
      <x:c r="I38" s="48" t="str">
        <x:v>1、大气及地表水环境质量引用数据正确（报告公报名称及文号存在笔误）；
2、项目大气环境质量引用《佛山市生态环境局顺德分局关于发布2022年度佛山市顺德区生态环境状况公报的通知》（佛环顺函〔2023〕26号）。环评对大气环境质量分析内容与《2022年度佛山市顺德区生态环境状况公报》中大气环境状况描述一致。但报告中公报名称误写为'环境质量状况公报'（正确为'生态环境状况公报'，缺'生态'二字），且多数引用未标注文号，个别处文号误写为'佛顺环函〔2023〕26号'（正确为'佛环顺函〔2023〕26号'），需人工核实更正。经检索，截至审核日该地区最新的环境状况公报为《2024年度佛山市顺德区生态环境状况公报》，可供参考。
项目地表水环境质量引用《佛山市生态环境局顺德分局关于发布2022年度佛山市顺德区生态环境状况公报的通知》（佛环顺函〔2023〕26号）。环评对地表水环境质量分析内容与《2022年度佛山市顺德区生态环境状况公报》中地表水环境状况描述一致。但报告中公报名称及文号存在笔误（详见大气部分说明），需人工核实更正。经检索，截至审核日该地区最新的环境状况公报为《2024年度佛山市顺德区生态环境状况公报》，可供参考。</x:v>
      </x:c>
      <x:c r="J38" s="48" t="str">
        <x:v>证据位置:大气：表2第0行第1列（大气环境质量现状段落）；地表水：表2第0行第1列（水环境质量现状段落）; 大气公报:《2022年度佛山市顺德区环境质量状况公报（报告公报名称缺'生态'二字；文号多处缺失，个别处误写为佛顺环函〔2023〕26号）》; 地表水资料:《2022年度佛山市顺德区环境质量状况公报（报告公报名称缺'生态'二字）》</x:v>
      </x:c>
      <x:c r="K38" s="48" t="str">
        <x:v>生态环境状况公报知识库; 收纳水体地表水执行标准</x:v>
      </x:c>
      <x:c r="L38" s="48" t="str">
        <x:v>2</x:v>
      </x:c>
      <x:c r="M38" s="48" t="str">
        <x:v>2</x:v>
      </x:c>
      <x:c r="N38" s="48" t="str">
        <x:v>False</x:v>
      </x:c>
      <x:c r="O38" s="48" t="str">
        <x:v>正确</x:v>
      </x:c>
      <x:c r="P38" s="48" t="str">
        <x:v>大气:正确; 地表水:正确; 报告日期:2024-03</x:v>
      </x:c>
      <x:c r="Q38" s="48"/>
      <x:c r="R38" s="48"/>
      <x:c r="S38" s="48" t="str">
        <x:v>是</x:v>
      </x:c>
      <x:c r="T38" s="48" t="str">
        <x:v>各项引用数据与公报一致，无需修正</x:v>
      </x:c>
      <x:c r="U38" s="48" t="str">
        <x:v>30个环评_大气及地表水环境质量现状数据引用复核QA</x:v>
      </x:c>
      <x:c r="V38" s="48" t="str">
        <x:v>环境质量数据引用</x:v>
      </x:c>
      <x:c r="W38" s="48" t="str">
        <x:v>正确</x:v>
      </x:c>
      <x:c r="X38" s="48" t="str">
        <x:v>无误</x:v>
      </x:c>
      <x:c r="Y38" s="64"/>
      <x:c r="Z38" s="64" t="str">
        <x:v>未复核</x:v>
      </x:c>
      <x:c r="AA38" s="64" t="str">
        <x:v>部分充分</x:v>
      </x:c>
      <x:c r="AB38" s="64" t="str">
        <x:v>有效</x:v>
      </x:c>
      <x:c r="AC38" s="64" t="str">
        <x:v>部分核验</x:v>
      </x:c>
      <x:c r="AD38" s="64" t="str">
        <x:v>自动默认</x:v>
      </x:c>
      <x:c r="AE38" s="64" t="str">
        <x:v>正式实验候选</x:v>
      </x:c>
      <x:c r="AF38" s="64" t="str">
        <x:v>A_仅待终审</x:v>
      </x:c>
      <x:c r="AG38" s="64"/>
      <x:c r="AH38" s="64"/>
      <x:c r="AI38" s="64"/>
      <x:c r="AJ38" s="64"/>
      <x:c r="AK38" s="64"/>
      <x:c r="AL38" s="64"/>
      <x:c r="AM38" s="64"/>
      <x:c r="AN38" s="48" t="str">
        <x:v>35</x:v>
      </x:c>
      <x:c r="AO38" s="48" t="str">
        <x:v>MAP_正确</x:v>
      </x:c>
      <x:c r="AP38" s="48" t="str">
        <x:v>存在报告证据，但尚未经人工逐项核验；已列依据来源，但未在本阶段逐条核验</x:v>
      </x:c>
      <x:c r="AQ38" s="64"/>
      <x:c r="AR38" s="48" t="str">
        <x:v>environmental_quality_data</x:v>
      </x:c>
      <x:c r="AS38" s="48" t="str">
        <x:v>L3_analysis</x:v>
      </x:c>
      <x:c r="AT38" s="48" t="str">
        <x:v>consistency_comparison</x:v>
      </x:c>
      <x:c r="AU38" s="48" t="str">
        <x:v>evidence_integration</x:v>
      </x:c>
      <x:c r="AV38" s="48" t="str">
        <x:v>report_grounding；basis_grounding</x:v>
      </x:c>
      <x:c r="AW38" s="48" t="str">
        <x:v>high</x:v>
      </x:c>
      <x:c r="AX38" s="48" t="str">
        <x:v>high</x:v>
      </x:c>
      <x:c r="AY38" s="48" t="str">
        <x:v>report_plus_external</x:v>
      </x:c>
      <x:c r="AZ38" s="48" t="str">
        <x:v>True</x:v>
      </x:c>
      <x:c r="BA38" s="48"/>
      <x:c r="BB38" s="48" t="str">
        <x:v>auto_default</x:v>
      </x:c>
      <x:c r="BC38" s="48" t="str">
        <x:v>v1</x:v>
      </x:c>
      <x:c r="BD38" s="68"/>
    </x:row>
    <x:row r="39" ht="36" customHeight="1">
      <x:c r="A39" s="47" t="str">
        <x:v>2026-07-28</x:v>
      </x:c>
      <x:c r="B39" s="48" t="str">
        <x:v>PL008</x:v>
      </x:c>
      <x:c r="C39" s="48" t="str">
        <x:v>V01</x:v>
      </x:c>
      <x:c r="D39" s="48" t="str">
        <x:v>佛山市顺德区亚马逊涂料有限公司迁扩建项目环境影响报告表</x:v>
      </x:c>
      <x:c r="E39" s="48" t="str">
        <x:v>佛山市顺德区亚马逊涂料有限公司迁扩建项目</x:v>
      </x:c>
      <x:c r="F39" s="48" t="str">
        <x:v>PL008_EnvQuality_Q01</x:v>
      </x:c>
      <x:c r="G39" s="48" t="str">
        <x:v>大气及地表水环境质量现状数据引用</x:v>
      </x:c>
      <x:c r="H39" s="48" t="str">
        <x:v>请根据报告引用的环境质量公报及现状数据，判断大气和地表水环境质量现状数据引用是否准确。</x:v>
      </x:c>
      <x:c r="I39"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39"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39" s="48" t="str">
        <x:v>生态环境状况公报知识库; 收纳水体地表水执行标准</x:v>
      </x:c>
      <x:c r="L39" s="48" t="str">
        <x:v>2</x:v>
      </x:c>
      <x:c r="M39" s="48" t="str">
        <x:v>2</x:v>
      </x:c>
      <x:c r="N39" s="48" t="str">
        <x:v>False</x:v>
      </x:c>
      <x:c r="O39" s="48" t="str">
        <x:v>正确</x:v>
      </x:c>
      <x:c r="P39" s="48" t="str">
        <x:v>大气:正确; 地表水:正确; 报告日期:2023-06</x:v>
      </x:c>
      <x:c r="Q39" s="48"/>
      <x:c r="R39" s="48"/>
      <x:c r="S39" s="48" t="str">
        <x:v>是</x:v>
      </x:c>
      <x:c r="T39" s="48" t="str">
        <x:v>各项引用数据与公报一致（水质类别Ⅲ类与公报2022年度一致，但报告文字误写'2021年'，实际应为2022年；2022年度公报中新涌断面为Ⅲ类，不影响达标结论；水质类别Ⅲ类与公报2022年度一致，但报告文字误写'2021年'，实际应为2022年；2022年度公报中飞鹅山断面为Ⅲ类，不影响达标结论）</x:v>
      </x:c>
      <x:c r="U39" s="48" t="str">
        <x:v>30个环评_大气及地表水环境质量现状数据引用复核QA</x:v>
      </x:c>
      <x:c r="V39" s="48" t="str">
        <x:v>环境质量数据引用</x:v>
      </x:c>
      <x:c r="W39" s="48" t="str">
        <x:v>正确</x:v>
      </x:c>
      <x:c r="X39" s="48" t="str">
        <x:v>无误</x:v>
      </x:c>
      <x:c r="Y39" s="64"/>
      <x:c r="Z39" s="64" t="str">
        <x:v>未复核</x:v>
      </x:c>
      <x:c r="AA39" s="64" t="str">
        <x:v>部分充分</x:v>
      </x:c>
      <x:c r="AB39" s="64" t="str">
        <x:v>有效</x:v>
      </x:c>
      <x:c r="AC39" s="64" t="str">
        <x:v>部分核验</x:v>
      </x:c>
      <x:c r="AD39" s="64" t="str">
        <x:v>自动默认</x:v>
      </x:c>
      <x:c r="AE39" s="64" t="str">
        <x:v>正式实验候选</x:v>
      </x:c>
      <x:c r="AF39" s="64" t="str">
        <x:v>A_仅待终审</x:v>
      </x:c>
      <x:c r="AG39" s="64"/>
      <x:c r="AH39" s="64"/>
      <x:c r="AI39" s="64"/>
      <x:c r="AJ39" s="64"/>
      <x:c r="AK39" s="64"/>
      <x:c r="AL39" s="64"/>
      <x:c r="AM39" s="64"/>
      <x:c r="AN39" s="48" t="str">
        <x:v>45</x:v>
      </x:c>
      <x:c r="AO39" s="48" t="str">
        <x:v>MAP_正确</x:v>
      </x:c>
      <x:c r="AP39" s="48" t="str">
        <x:v>存在报告证据，但尚未经人工逐项核验；已列依据来源，但未在本阶段逐条核验</x:v>
      </x:c>
      <x:c r="AQ39" s="64"/>
      <x:c r="AR39" s="48" t="str">
        <x:v>environmental_quality_data</x:v>
      </x:c>
      <x:c r="AS39" s="48" t="str">
        <x:v>L3_analysis</x:v>
      </x:c>
      <x:c r="AT39" s="48" t="str">
        <x:v>consistency_comparison</x:v>
      </x:c>
      <x:c r="AU39" s="48" t="str">
        <x:v>evidence_integration</x:v>
      </x:c>
      <x:c r="AV39" s="48" t="str">
        <x:v>report_grounding；basis_grounding</x:v>
      </x:c>
      <x:c r="AW39" s="48" t="str">
        <x:v>high</x:v>
      </x:c>
      <x:c r="AX39" s="48" t="str">
        <x:v>high</x:v>
      </x:c>
      <x:c r="AY39" s="48" t="str">
        <x:v>report_plus_external</x:v>
      </x:c>
      <x:c r="AZ39" s="48" t="str">
        <x:v>True</x:v>
      </x:c>
      <x:c r="BA39" s="48"/>
      <x:c r="BB39" s="48" t="str">
        <x:v>auto_default</x:v>
      </x:c>
      <x:c r="BC39" s="48" t="str">
        <x:v>v1</x:v>
      </x:c>
      <x:c r="BD39" s="68"/>
    </x:row>
    <x:row r="40" ht="36" customHeight="1">
      <x:c r="A40" s="47" t="str">
        <x:v>2026-07-28</x:v>
      </x:c>
      <x:c r="B40" s="48" t="str">
        <x:v>PL009</x:v>
      </x:c>
      <x:c r="C40" s="48" t="str">
        <x:v>V01</x:v>
      </x:c>
      <x:c r="D40" s="48" t="str">
        <x:v>广东威诺高科技股份有限公司搬迁项目环境影响报告表</x:v>
      </x:c>
      <x:c r="E40" s="48" t="str">
        <x:v>广东威诺高科技股份有限公司搬迁项目</x:v>
      </x:c>
      <x:c r="F40" s="48" t="str">
        <x:v>PL009_EnvQuality_Q01</x:v>
      </x:c>
      <x:c r="G40" s="48" t="str">
        <x:v>大气及地表水环境质量现状数据引用</x:v>
      </x:c>
      <x:c r="H40" s="48" t="str">
        <x:v>请根据报告引用的环境质量公报及现状数据，判断大气和地表水环境质量现状数据引用是否准确。</x:v>
      </x:c>
      <x:c r="I40"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0" s="48" t="str">
        <x:v>证据位置:大气：表2第0行第1列（大气环境段落）；地表水：表2第0行第1列（地表水环境段落）;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40" s="48" t="str">
        <x:v>生态环境状况公报知识库; 收纳水体地表水执行标准</x:v>
      </x:c>
      <x:c r="L40" s="48" t="str">
        <x:v>2</x:v>
      </x:c>
      <x:c r="M40" s="48" t="str">
        <x:v>2</x:v>
      </x:c>
      <x:c r="N40" s="48" t="str">
        <x:v>False</x:v>
      </x:c>
      <x:c r="O40" s="48" t="str">
        <x:v>正确</x:v>
      </x:c>
      <x:c r="P40" s="48" t="str">
        <x:v>大气:正确; 地表水:正确; 报告日期:2023-08</x:v>
      </x:c>
      <x:c r="Q40" s="48"/>
      <x:c r="R40" s="48"/>
      <x:c r="S40" s="48" t="str">
        <x:v>是</x:v>
      </x:c>
      <x:c r="T40" s="48" t="str">
        <x:v>各项引用数据与公报一致（水质类别Ⅲ类与公报2022年度一致，但报告文字误写'2021年'，实际应为2022年；不影响达标结论；水质类别Ⅲ类与公报2022年度一致，但报告文字误写'2021年'，实际应为2022年；不影响达标结论）</x:v>
      </x:c>
      <x:c r="U40" s="48" t="str">
        <x:v>30个环评_大气及地表水环境质量现状数据引用复核QA</x:v>
      </x:c>
      <x:c r="V40" s="48" t="str">
        <x:v>环境质量数据引用</x:v>
      </x:c>
      <x:c r="W40" s="48" t="str">
        <x:v>正确</x:v>
      </x:c>
      <x:c r="X40" s="48" t="str">
        <x:v>无误</x:v>
      </x:c>
      <x:c r="Y40" s="64"/>
      <x:c r="Z40" s="64" t="str">
        <x:v>未复核</x:v>
      </x:c>
      <x:c r="AA40" s="64" t="str">
        <x:v>部分充分</x:v>
      </x:c>
      <x:c r="AB40" s="64" t="str">
        <x:v>有效</x:v>
      </x:c>
      <x:c r="AC40" s="64" t="str">
        <x:v>部分核验</x:v>
      </x:c>
      <x:c r="AD40" s="64" t="str">
        <x:v>自动默认</x:v>
      </x:c>
      <x:c r="AE40" s="64" t="str">
        <x:v>正式实验候选</x:v>
      </x:c>
      <x:c r="AF40" s="64" t="str">
        <x:v>A_仅待终审</x:v>
      </x:c>
      <x:c r="AG40" s="64"/>
      <x:c r="AH40" s="64"/>
      <x:c r="AI40" s="64"/>
      <x:c r="AJ40" s="64"/>
      <x:c r="AK40" s="64"/>
      <x:c r="AL40" s="64"/>
      <x:c r="AM40" s="64"/>
      <x:c r="AN40" s="48" t="str">
        <x:v>50</x:v>
      </x:c>
      <x:c r="AO40" s="48" t="str">
        <x:v>MAP_正确</x:v>
      </x:c>
      <x:c r="AP40" s="48" t="str">
        <x:v>存在报告证据，但尚未经人工逐项核验；已列依据来源，但未在本阶段逐条核验</x:v>
      </x:c>
      <x:c r="AQ40" s="64"/>
      <x:c r="AR40" s="48" t="str">
        <x:v>environmental_quality_data</x:v>
      </x:c>
      <x:c r="AS40" s="48" t="str">
        <x:v>L3_analysis</x:v>
      </x:c>
      <x:c r="AT40" s="48" t="str">
        <x:v>consistency_comparison</x:v>
      </x:c>
      <x:c r="AU40" s="48" t="str">
        <x:v>evidence_integration</x:v>
      </x:c>
      <x:c r="AV40" s="48" t="str">
        <x:v>report_grounding；basis_grounding</x:v>
      </x:c>
      <x:c r="AW40" s="48" t="str">
        <x:v>high</x:v>
      </x:c>
      <x:c r="AX40" s="48" t="str">
        <x:v>high</x:v>
      </x:c>
      <x:c r="AY40" s="48" t="str">
        <x:v>report_plus_external</x:v>
      </x:c>
      <x:c r="AZ40" s="48" t="str">
        <x:v>True</x:v>
      </x:c>
      <x:c r="BA40" s="48"/>
      <x:c r="BB40" s="48" t="str">
        <x:v>auto_default</x:v>
      </x:c>
      <x:c r="BC40" s="48" t="str">
        <x:v>v1</x:v>
      </x:c>
      <x:c r="BD40" s="68"/>
    </x:row>
    <x:row r="41" ht="36" customHeight="1">
      <x:c r="A41" s="47" t="str">
        <x:v>2026-07-28</x:v>
      </x:c>
      <x:c r="B41" s="48" t="str">
        <x:v>PL010</x:v>
      </x:c>
      <x:c r="C41" s="48" t="str">
        <x:v>V01</x:v>
      </x:c>
      <x:c r="D41" s="48" t="str">
        <x:v>悍高集团股份有限公司功能拉篮车间搬迁扩建项目环境影响报告表</x:v>
      </x:c>
      <x:c r="E41" s="48" t="str">
        <x:v>悍高集团股份有限公司功能拉篮车间搬迁扩建项目</x:v>
      </x:c>
      <x:c r="F41" s="48" t="str">
        <x:v>PL010_EnvQuality_Q01</x:v>
      </x:c>
      <x:c r="G41" s="48" t="str">
        <x:v>大气及地表水环境质量现状数据引用</x:v>
      </x:c>
      <x:c r="H41" s="48" t="str">
        <x:v>请根据报告引用的环境质量公报及现状数据，判断大气和地表水环境质量现状数据引用是否准确。</x:v>
      </x:c>
      <x:c r="I41" s="48" t="str">
        <x:v>1、大气及地表水环境质量引用数据正确；
2、项目大气环境质量引用《佛山市生态环境局顺德分局关于发布2022年度佛山市顺德区环境质量状况公报的通知（佛环顺函〔2023〕26号）》。环评对大气环境质量分析内容与《2022年度佛山市顺德区生态环境状况公报》中大气环境状况描述一致。经检索，截至审核日该地区最新的环境状况公报为《2024年度佛山市顺德区生态环境状况公报》，可供参考。
项目地表水环境质量引用《佛山市生态环境局顺德分局关于发布2022年度佛山市顺德区环境质量状况公报的通知（佛环顺函〔2023〕26号）》。环评对地表水环境质量分析内容与《2022年度佛山市顺德区生态环境状况公报》中地表水环境状况描述一致。经检索，截至审核日该地区最新的环境状况公报为《2024年度佛山市顺德区生态环境状况公报》，可供参考。</x:v>
      </x:c>
      <x:c r="J41" s="48" t="str">
        <x:v>证据位置:大气：表16第0行第1列（大气环境段落）；地表水：表16第0行第1列（地表水环境段落）; 大气公报:《佛山市生态环境局顺德分局关于发布2022年度佛山市顺德区环境质量状况公报的通知（佛环顺函〔2023〕26号）》; 地表水资料:《佛山市生态环境局顺德分局关于发布2022年度佛山市顺德区环境质量状况公报的通知（佛环顺函〔2023〕26号）》</x:v>
      </x:c>
      <x:c r="K41" s="48" t="str">
        <x:v>生态环境状况公报知识库; 收纳水体地表水执行标准</x:v>
      </x:c>
      <x:c r="L41" s="48" t="str">
        <x:v>2</x:v>
      </x:c>
      <x:c r="M41" s="48" t="str">
        <x:v>2</x:v>
      </x:c>
      <x:c r="N41" s="48" t="str">
        <x:v>False</x:v>
      </x:c>
      <x:c r="O41" s="48" t="str">
        <x:v>正确</x:v>
      </x:c>
      <x:c r="P41" s="48" t="str">
        <x:v>大气:正确; 地表水:正确; 报告日期:2023-10</x:v>
      </x:c>
      <x:c r="Q41" s="48"/>
      <x:c r="R41" s="48"/>
      <x:c r="S41" s="48" t="str">
        <x:v>是</x:v>
      </x:c>
      <x:c r="T41" s="48" t="str">
        <x:v>各项引用数据与公报一致，无需修正</x:v>
      </x:c>
      <x:c r="U41" s="48" t="str">
        <x:v>30个环评_大气及地表水环境质量现状数据引用复核QA</x:v>
      </x:c>
      <x:c r="V41" s="48" t="str">
        <x:v>环境质量数据引用</x:v>
      </x:c>
      <x:c r="W41" s="48" t="str">
        <x:v>正确</x:v>
      </x:c>
      <x:c r="X41" s="48" t="str">
        <x:v>无误</x:v>
      </x:c>
      <x:c r="Y41" s="64"/>
      <x:c r="Z41" s="64" t="str">
        <x:v>未复核</x:v>
      </x:c>
      <x:c r="AA41" s="64" t="str">
        <x:v>部分充分</x:v>
      </x:c>
      <x:c r="AB41" s="64" t="str">
        <x:v>有效</x:v>
      </x:c>
      <x:c r="AC41" s="64" t="str">
        <x:v>部分核验</x:v>
      </x:c>
      <x:c r="AD41" s="64" t="str">
        <x:v>自动默认</x:v>
      </x:c>
      <x:c r="AE41" s="64" t="str">
        <x:v>正式实验候选</x:v>
      </x:c>
      <x:c r="AF41" s="64" t="str">
        <x:v>A_仅待终审</x:v>
      </x:c>
      <x:c r="AG41" s="64"/>
      <x:c r="AH41" s="64"/>
      <x:c r="AI41" s="64"/>
      <x:c r="AJ41" s="64"/>
      <x:c r="AK41" s="64"/>
      <x:c r="AL41" s="64"/>
      <x:c r="AM41" s="64"/>
      <x:c r="AN41" s="48" t="str">
        <x:v>55</x:v>
      </x:c>
      <x:c r="AO41" s="48" t="str">
        <x:v>MAP_正确</x:v>
      </x:c>
      <x:c r="AP41" s="48" t="str">
        <x:v>存在报告证据，但尚未经人工逐项核验；已列依据来源，但未在本阶段逐条核验</x:v>
      </x:c>
      <x:c r="AQ41" s="64"/>
      <x:c r="AR41" s="48" t="str">
        <x:v>environmental_quality_data</x:v>
      </x:c>
      <x:c r="AS41" s="48" t="str">
        <x:v>L3_analysis</x:v>
      </x:c>
      <x:c r="AT41" s="48" t="str">
        <x:v>consistency_comparison</x:v>
      </x:c>
      <x:c r="AU41" s="48" t="str">
        <x:v>evidence_integration</x:v>
      </x:c>
      <x:c r="AV41" s="48" t="str">
        <x:v>report_grounding；basis_grounding</x:v>
      </x:c>
      <x:c r="AW41" s="48" t="str">
        <x:v>high</x:v>
      </x:c>
      <x:c r="AX41" s="48" t="str">
        <x:v>high</x:v>
      </x:c>
      <x:c r="AY41" s="48" t="str">
        <x:v>report_plus_external</x:v>
      </x:c>
      <x:c r="AZ41" s="48" t="str">
        <x:v>True</x:v>
      </x:c>
      <x:c r="BA41" s="48"/>
      <x:c r="BB41" s="48" t="str">
        <x:v>auto_default</x:v>
      </x:c>
      <x:c r="BC41" s="48" t="str">
        <x:v>v1</x:v>
      </x:c>
      <x:c r="BD41" s="68"/>
    </x:row>
    <x:row r="42" ht="36" customHeight="1">
      <x:c r="A42" s="47" t="str">
        <x:v>2026-07-24</x:v>
      </x:c>
      <x:c r="B42" s="48" t="str">
        <x:v>PL038</x:v>
      </x:c>
      <x:c r="C42" s="48" t="str">
        <x:v>V01</x:v>
      </x:c>
      <x:c r="D42" s="48" t="str">
        <x:v>PL038_佛山市顺德区晟昂电子科技有限公司新建项目</x:v>
      </x:c>
      <x:c r="E42" s="48" t="str">
        <x:v>佛山市顺德区晟昂电子科技有限公司新建项目</x:v>
      </x:c>
      <x:c r="F42" s="48" t="str">
        <x:v>PL038_V01_Q03</x:v>
      </x:c>
      <x:c r="G42" s="48" t="str">
        <x:v>环评投资核算</x:v>
      </x:c>
      <x:c r="H42" s="48" t="str">
        <x:v>请根据报告中的总投资、环保投资和环保工程投资明细，判断环保投资核算是否前后一致、比例是否正确。</x:v>
      </x:c>
      <x:c r="I42" s="48" t="str">
        <x:v>环评投资核算判定结论：正确；具体分析：报告填报总投资为200万元、环保投资为10万元、环保投资占比为5%。按“环保投资÷总投资×100%”复算为5.00%，与报告填报值一致；表2-10 项目环保工程措施投资一览表中的分项投资合计为10万元，与环保投资一致。因此，环保投资金额、分项合计及占比前后一致，核算正确。</x:v>
      </x:c>
      <x:c r="J42" s="48" t="str">
        <x:v>一、建设项目基本情况；表2-10：总投资200万元、环保投资10万元、占比5%；分项合计10万元。来源：解析文本拼接_02_021-040(3).md</x:v>
      </x:c>
      <x:c r="K42" s="48" t="str">
        <x:v>报告原文-环保投资明细表</x:v>
      </x:c>
      <x:c r="L42" s="48" t="str">
        <x:v>2</x:v>
      </x:c>
      <x:c r="M42" s="48" t="str">
        <x:v>2</x:v>
      </x:c>
      <x:c r="N42" s="48" t="str">
        <x:v>False</x:v>
      </x:c>
      <x:c r="O42" s="48" t="str">
        <x:v>正确</x:v>
      </x:c>
      <x:c r="P42" s="48"/>
      <x:c r="Q42" s="48"/>
      <x:c r="R42" s="48"/>
      <x:c r="S42" s="48" t="str">
        <x:v>否</x:v>
      </x:c>
      <x:c r="T42" s="48"/>
      <x:c r="U42" s="48" t="str">
        <x:v>30个PL_环评投资核算QA</x:v>
      </x:c>
      <x:c r="V42" s="48" t="str">
        <x:v>环评投资概算</x:v>
      </x:c>
      <x:c r="W42" s="48" t="str">
        <x:v>正确</x:v>
      </x:c>
      <x:c r="X42" s="48" t="str">
        <x:v>无误</x:v>
      </x:c>
      <x:c r="Y42" s="64"/>
      <x:c r="Z42" s="64" t="str">
        <x:v>未复核</x:v>
      </x:c>
      <x:c r="AA42" s="64" t="str">
        <x:v>部分充分</x:v>
      </x:c>
      <x:c r="AB42" s="64" t="str">
        <x:v>有效</x:v>
      </x:c>
      <x:c r="AC42" s="64" t="str">
        <x:v>不需要外部依据</x:v>
      </x:c>
      <x:c r="AD42" s="64" t="str">
        <x:v>自动默认</x:v>
      </x:c>
      <x:c r="AE42" s="64" t="str">
        <x:v>正式实验候选</x:v>
      </x:c>
      <x:c r="AF42" s="64" t="str">
        <x:v>待分流</x:v>
      </x:c>
      <x:c r="AG42" s="64"/>
      <x:c r="AH42" s="64"/>
      <x:c r="AI42" s="64"/>
      <x:c r="AJ42" s="64"/>
      <x:c r="AK42" s="64"/>
      <x:c r="AL42" s="64"/>
      <x:c r="AM42" s="64"/>
      <x:c r="AN42" s="48" t="str">
        <x:v>199</x:v>
      </x:c>
      <x:c r="AO42" s="48" t="str">
        <x:v>MAP_正确</x:v>
      </x:c>
      <x:c r="AP42" s="48" t="str">
        <x:v>存在报告证据，但尚未经人工逐项核验；投资复核主要依据报告内金额与算式</x:v>
      </x:c>
      <x:c r="AQ42" s="64"/>
      <x:c r="AR42" s="48" t="str">
        <x:v>environmental_investment</x:v>
      </x:c>
      <x:c r="AS42" s="48" t="str">
        <x:v>L2_application</x:v>
      </x:c>
      <x:c r="AT42" s="48" t="str">
        <x:v>quantitative_verification</x:v>
      </x:c>
      <x:c r="AU42" s="48" t="str">
        <x:v>numerical_accuracy</x:v>
      </x:c>
      <x:c r="AV42" s="48" t="str">
        <x:v>report_grounding；procedural_reasoning</x:v>
      </x:c>
      <x:c r="AW42" s="48" t="str">
        <x:v>low</x:v>
      </x:c>
      <x:c r="AX42" s="48" t="str">
        <x:v>medium</x:v>
      </x:c>
      <x:c r="AY42" s="48" t="str">
        <x:v>cross_section</x:v>
      </x:c>
      <x:c r="AZ42" s="48" t="str">
        <x:v>True</x:v>
      </x:c>
      <x:c r="BA42" s="48"/>
      <x:c r="BB42" s="48" t="str">
        <x:v>auto_default</x:v>
      </x:c>
      <x:c r="BC42" s="48" t="str">
        <x:v>v1</x:v>
      </x:c>
      <x:c r="BD42" s="68"/>
    </x:row>
    <x:row r="43" ht="36" customHeight="1">
      <x:c r="A43" s="47" t="str">
        <x:v>2026-07-24</x:v>
      </x:c>
      <x:c r="B43" s="48" t="str">
        <x:v>PL042</x:v>
      </x:c>
      <x:c r="C43" s="48" t="str">
        <x:v>V01</x:v>
      </x:c>
      <x:c r="D43" s="48" t="str">
        <x:v>PL042_佛山市顺德区晨瑞塑胶有限公司迁扩建项目</x:v>
      </x:c>
      <x:c r="E43" s="48" t="str">
        <x:v>佛山市顺德区晨瑞塑胶有限公司迁扩建项目</x:v>
      </x:c>
      <x:c r="F43" s="48" t="str">
        <x:v>PL042_V01_Q03</x:v>
      </x:c>
      <x:c r="G43" s="48" t="str">
        <x:v>环评投资核算</x:v>
      </x:c>
      <x:c r="H43" s="48" t="str">
        <x:v>请根据报告中的总投资、环保投资和环保工程投资明细，判断环保投资核算是否前后一致、比例是否正确。</x:v>
      </x:c>
      <x:c r="I43" s="48" t="str">
        <x:v>环评投资核算判定结论：正确；具体分析：报告填报总投资为200万元、环保投资为20万元、环保投资占比为10%。按“环保投资÷总投资×100%”复算为10.00%，与报告填报值一致；表2-11 环保投资一览表中的分项投资合计为20万元，与环保投资一致。因此，环保投资金额、分项合计及占比前后一致，核算正确。</x:v>
      </x:c>
      <x:c r="J43" s="48" t="str">
        <x:v>一、建设项目基本情况；表2-11：总投资200万元、环保投资20万元、占比10%；分项合计20万元。来源：解析文本拼接_02_021-040(3).md</x:v>
      </x:c>
      <x:c r="K43" s="48" t="str">
        <x:v>报告原文-环保投资明细表</x:v>
      </x:c>
      <x:c r="L43" s="48" t="str">
        <x:v>2</x:v>
      </x:c>
      <x:c r="M43" s="48" t="str">
        <x:v>2</x:v>
      </x:c>
      <x:c r="N43" s="48" t="str">
        <x:v>False</x:v>
      </x:c>
      <x:c r="O43" s="48" t="str">
        <x:v>正确</x:v>
      </x:c>
      <x:c r="P43" s="48"/>
      <x:c r="Q43" s="48"/>
      <x:c r="R43" s="48"/>
      <x:c r="S43" s="48" t="str">
        <x:v>否</x:v>
      </x:c>
      <x:c r="T43" s="48"/>
      <x:c r="U43" s="48" t="str">
        <x:v>30个PL_环评投资核算QA</x:v>
      </x:c>
      <x:c r="V43" s="48" t="str">
        <x:v>环评投资概算</x:v>
      </x:c>
      <x:c r="W43" s="48" t="str">
        <x:v>正确</x:v>
      </x:c>
      <x:c r="X43" s="48" t="str">
        <x:v>无误</x:v>
      </x:c>
      <x:c r="Y43" s="64"/>
      <x:c r="Z43" s="64" t="str">
        <x:v>未复核</x:v>
      </x:c>
      <x:c r="AA43" s="64" t="str">
        <x:v>部分充分</x:v>
      </x:c>
      <x:c r="AB43" s="64" t="str">
        <x:v>有效</x:v>
      </x:c>
      <x:c r="AC43" s="64" t="str">
        <x:v>不需要外部依据</x:v>
      </x:c>
      <x:c r="AD43" s="64" t="str">
        <x:v>自动默认</x:v>
      </x:c>
      <x:c r="AE43" s="64" t="str">
        <x:v>正式实验候选</x:v>
      </x:c>
      <x:c r="AF43" s="64" t="str">
        <x:v>待分流</x:v>
      </x:c>
      <x:c r="AG43" s="64"/>
      <x:c r="AH43" s="64"/>
      <x:c r="AI43" s="64"/>
      <x:c r="AJ43" s="64"/>
      <x:c r="AK43" s="64"/>
      <x:c r="AL43" s="64"/>
      <x:c r="AM43" s="64"/>
      <x:c r="AN43" s="48" t="str">
        <x:v>207</x:v>
      </x:c>
      <x:c r="AO43" s="48" t="str">
        <x:v>MAP_正确</x:v>
      </x:c>
      <x:c r="AP43" s="48" t="str">
        <x:v>存在报告证据，但尚未经人工逐项核验；投资复核主要依据报告内金额与算式</x:v>
      </x:c>
      <x:c r="AQ43" s="64"/>
      <x:c r="AR43" s="48" t="str">
        <x:v>environmental_investment</x:v>
      </x:c>
      <x:c r="AS43" s="48" t="str">
        <x:v>L2_application</x:v>
      </x:c>
      <x:c r="AT43" s="48" t="str">
        <x:v>quantitative_verification</x:v>
      </x:c>
      <x:c r="AU43" s="48" t="str">
        <x:v>numerical_accuracy</x:v>
      </x:c>
      <x:c r="AV43" s="48" t="str">
        <x:v>report_grounding；procedural_reasoning</x:v>
      </x:c>
      <x:c r="AW43" s="48" t="str">
        <x:v>low</x:v>
      </x:c>
      <x:c r="AX43" s="48" t="str">
        <x:v>medium</x:v>
      </x:c>
      <x:c r="AY43" s="48" t="str">
        <x:v>cross_section</x:v>
      </x:c>
      <x:c r="AZ43" s="48" t="str">
        <x:v>True</x:v>
      </x:c>
      <x:c r="BA43" s="48"/>
      <x:c r="BB43" s="48" t="str">
        <x:v>auto_default</x:v>
      </x:c>
      <x:c r="BC43" s="48" t="str">
        <x:v>v1</x:v>
      </x:c>
      <x:c r="BD43" s="68"/>
    </x:row>
    <x:row r="44" ht="36" customHeight="1">
      <x:c r="A44" s="47" t="str">
        <x:v>2026-07-24</x:v>
      </x:c>
      <x:c r="B44" s="48" t="str">
        <x:v>PL019</x:v>
      </x:c>
      <x:c r="C44" s="48" t="str">
        <x:v>V01</x:v>
      </x:c>
      <x:c r="D44" s="48" t="str">
        <x:v>PL019_佛山市智龙科技有限公司迁扩建项目</x:v>
      </x:c>
      <x:c r="E44" s="48" t="str">
        <x:v>佛山市智龙科技有限公司迁扩建项目</x:v>
      </x:c>
      <x:c r="F44" s="48" t="str">
        <x:v>PL019_V01_Q03</x:v>
      </x:c>
      <x:c r="G44" s="48" t="str">
        <x:v>环评投资核算</x:v>
      </x:c>
      <x:c r="H44" s="48" t="str">
        <x:v>请根据报告中的总投资、环保投资和环保工程投资明细，判断环保投资核算是否前后一致、比例是否正确。</x:v>
      </x:c>
      <x:c r="I44" s="48" t="str">
        <x:v>环评投资核算判定结论：正确；具体分析：报告填报总投资为100万元、环保投资为12万元、环保投资占比为12%。按“环保投资÷总投资×100%”复算为12.00%，与报告填报值一致；表2.11 项目环保工程措施投资一览表中的分项投资合计为12万元，与环保投资一致。因此，环保投资金额、分项合计及占比前后一致，核算正确。</x:v>
      </x:c>
      <x:c r="J44" s="48" t="str">
        <x:v>一、建设项目基本情况；表2.11：总投资100万元、环保投资12万元、占比12%；分项合计12万元。来源：解析文本拼接_01_001-020(4).md</x:v>
      </x:c>
      <x:c r="K44" s="48" t="str">
        <x:v>报告原文-环保投资明细表</x:v>
      </x:c>
      <x:c r="L44" s="48" t="str">
        <x:v>2</x:v>
      </x:c>
      <x:c r="M44" s="48" t="str">
        <x:v>2</x:v>
      </x:c>
      <x:c r="N44" s="48" t="str">
        <x:v>False</x:v>
      </x:c>
      <x:c r="O44" s="48" t="str">
        <x:v>正确</x:v>
      </x:c>
      <x:c r="P44" s="48"/>
      <x:c r="Q44" s="48"/>
      <x:c r="R44" s="48"/>
      <x:c r="S44" s="48" t="str">
        <x:v>否</x:v>
      </x:c>
      <x:c r="T44" s="48"/>
      <x:c r="U44" s="48" t="str">
        <x:v>30个PL_环评投资核算QA</x:v>
      </x:c>
      <x:c r="V44" s="48" t="str">
        <x:v>环评投资概算</x:v>
      </x:c>
      <x:c r="W44" s="48" t="str">
        <x:v>正确</x:v>
      </x:c>
      <x:c r="X44" s="48" t="str">
        <x:v>无误</x:v>
      </x:c>
      <x:c r="Y44" s="64"/>
      <x:c r="Z44" s="64" t="str">
        <x:v>未复核</x:v>
      </x:c>
      <x:c r="AA44" s="64" t="str">
        <x:v>部分充分</x:v>
      </x:c>
      <x:c r="AB44" s="64" t="str">
        <x:v>有效</x:v>
      </x:c>
      <x:c r="AC44" s="64" t="str">
        <x:v>不需要外部依据</x:v>
      </x:c>
      <x:c r="AD44" s="64" t="str">
        <x:v>自动默认</x:v>
      </x:c>
      <x:c r="AE44" s="64" t="str">
        <x:v>正式实验候选</x:v>
      </x:c>
      <x:c r="AF44" s="64" t="str">
        <x:v>待分流</x:v>
      </x:c>
      <x:c r="AG44" s="64"/>
      <x:c r="AH44" s="64"/>
      <x:c r="AI44" s="64"/>
      <x:c r="AJ44" s="64"/>
      <x:c r="AK44" s="64"/>
      <x:c r="AL44" s="64"/>
      <x:c r="AM44" s="64"/>
      <x:c r="AN44" s="48" t="str">
        <x:v>93</x:v>
      </x:c>
      <x:c r="AO44" s="48" t="str">
        <x:v>MAP_正确</x:v>
      </x:c>
      <x:c r="AP44" s="48" t="str">
        <x:v>存在报告证据，但尚未经人工逐项核验；投资复核主要依据报告内金额与算式</x:v>
      </x:c>
      <x:c r="AQ44" s="64"/>
      <x:c r="AR44" s="48" t="str">
        <x:v>environmental_investment</x:v>
      </x:c>
      <x:c r="AS44" s="48" t="str">
        <x:v>L2_application</x:v>
      </x:c>
      <x:c r="AT44" s="48" t="str">
        <x:v>quantitative_verification</x:v>
      </x:c>
      <x:c r="AU44" s="48" t="str">
        <x:v>numerical_accuracy</x:v>
      </x:c>
      <x:c r="AV44" s="48" t="str">
        <x:v>report_grounding；procedural_reasoning</x:v>
      </x:c>
      <x:c r="AW44" s="48" t="str">
        <x:v>low</x:v>
      </x:c>
      <x:c r="AX44" s="48" t="str">
        <x:v>medium</x:v>
      </x:c>
      <x:c r="AY44" s="48" t="str">
        <x:v>cross_section</x:v>
      </x:c>
      <x:c r="AZ44" s="48" t="str">
        <x:v>True</x:v>
      </x:c>
      <x:c r="BA44" s="48"/>
      <x:c r="BB44" s="48" t="str">
        <x:v>auto_default</x:v>
      </x:c>
      <x:c r="BC44" s="48" t="str">
        <x:v>v1</x:v>
      </x:c>
      <x:c r="BD44" s="68"/>
    </x:row>
    <x:row r="45" ht="36" customHeight="1">
      <x:c r="A45" s="47" t="str">
        <x:v>2026-07-24</x:v>
      </x:c>
      <x:c r="B45" s="48" t="str">
        <x:v>PL021</x:v>
      </x:c>
      <x:c r="C45" s="48" t="str">
        <x:v>V01</x:v>
      </x:c>
      <x:c r="D45" s="48" t="str">
        <x:v>PL021_佛山市顺德区共诺电子元件厂搬迁项目</x:v>
      </x:c>
      <x:c r="E45" s="48" t="str">
        <x:v>佛山市顺德区共诺电子元件厂搬迁项目</x:v>
      </x:c>
      <x:c r="F45" s="48" t="str">
        <x:v>PL021_V01_Q03</x:v>
      </x:c>
      <x:c r="G45" s="48" t="str">
        <x:v>环评投资核算</x:v>
      </x:c>
      <x:c r="H45" s="48" t="str">
        <x:v>请根据报告中的总投资、环保投资和环保工程投资明细，判断环保投资核算是否前后一致、比例是否正确。</x:v>
      </x:c>
      <x:c r="I45" s="48" t="str">
        <x:v>环评投资核算判定结论：正确；具体分析：报告填报总投资为250万元、环保投资为10万元、环保投资占比为4%。按“环保投资÷总投资×100%”复算为4.00%，与报告填报值一致；表4-24 环境保护工程措施投资中的分项投资合计为10万元，与环保投资一致。因此，环保投资金额、分项合计及占比前后一致，核算正确。</x:v>
      </x:c>
      <x:c r="J45" s="48" t="str">
        <x:v>一、建设项目基本情况；表4-24：总投资250万元、环保投资10万元、占比4%；分项合计10万元。来源：解析文本拼接_01_001-020(4).md</x:v>
      </x:c>
      <x:c r="K45" s="48" t="str">
        <x:v>报告原文-环保投资明细表</x:v>
      </x:c>
      <x:c r="L45" s="48" t="str">
        <x:v>2</x:v>
      </x:c>
      <x:c r="M45" s="48" t="str">
        <x:v>2</x:v>
      </x:c>
      <x:c r="N45" s="48" t="str">
        <x:v>False</x:v>
      </x:c>
      <x:c r="O45" s="48" t="str">
        <x:v>正确</x:v>
      </x:c>
      <x:c r="P45" s="48"/>
      <x:c r="Q45" s="48"/>
      <x:c r="R45" s="48"/>
      <x:c r="S45" s="48" t="str">
        <x:v>否</x:v>
      </x:c>
      <x:c r="T45" s="48"/>
      <x:c r="U45" s="48" t="str">
        <x:v>30个PL_环评投资核算QA</x:v>
      </x:c>
      <x:c r="V45" s="48" t="str">
        <x:v>环评投资概算</x:v>
      </x:c>
      <x:c r="W45" s="48" t="str">
        <x:v>正确</x:v>
      </x:c>
      <x:c r="X45" s="48" t="str">
        <x:v>无误</x:v>
      </x:c>
      <x:c r="Y45" s="64"/>
      <x:c r="Z45" s="64" t="str">
        <x:v>未复核</x:v>
      </x:c>
      <x:c r="AA45" s="64" t="str">
        <x:v>部分充分</x:v>
      </x:c>
      <x:c r="AB45" s="64" t="str">
        <x:v>有效</x:v>
      </x:c>
      <x:c r="AC45" s="64" t="str">
        <x:v>不需要外部依据</x:v>
      </x:c>
      <x:c r="AD45" s="64" t="str">
        <x:v>自动默认</x:v>
      </x:c>
      <x:c r="AE45" s="64" t="str">
        <x:v>正式实验候选</x:v>
      </x:c>
      <x:c r="AF45" s="64" t="str">
        <x:v>待分流</x:v>
      </x:c>
      <x:c r="AG45" s="64"/>
      <x:c r="AH45" s="64"/>
      <x:c r="AI45" s="64"/>
      <x:c r="AJ45" s="64"/>
      <x:c r="AK45" s="64"/>
      <x:c r="AL45" s="64"/>
      <x:c r="AM45" s="64"/>
      <x:c r="AN45" s="48" t="str">
        <x:v>107</x:v>
      </x:c>
      <x:c r="AO45" s="48" t="str">
        <x:v>MAP_正确</x:v>
      </x:c>
      <x:c r="AP45" s="48" t="str">
        <x:v>存在报告证据，但尚未经人工逐项核验；投资复核主要依据报告内金额与算式</x:v>
      </x:c>
      <x:c r="AQ45" s="64"/>
      <x:c r="AR45" s="48" t="str">
        <x:v>environmental_investment</x:v>
      </x:c>
      <x:c r="AS45" s="48" t="str">
        <x:v>L2_application</x:v>
      </x:c>
      <x:c r="AT45" s="48" t="str">
        <x:v>quantitative_verification</x:v>
      </x:c>
      <x:c r="AU45" s="48" t="str">
        <x:v>numerical_accuracy</x:v>
      </x:c>
      <x:c r="AV45" s="48" t="str">
        <x:v>report_grounding；procedural_reasoning</x:v>
      </x:c>
      <x:c r="AW45" s="48" t="str">
        <x:v>low</x:v>
      </x:c>
      <x:c r="AX45" s="48" t="str">
        <x:v>medium</x:v>
      </x:c>
      <x:c r="AY45" s="48" t="str">
        <x:v>cross_section</x:v>
      </x:c>
      <x:c r="AZ45" s="48" t="str">
        <x:v>True</x:v>
      </x:c>
      <x:c r="BA45" s="48"/>
      <x:c r="BB45" s="48" t="str">
        <x:v>auto_default</x:v>
      </x:c>
      <x:c r="BC45" s="48" t="str">
        <x:v>v1</x:v>
      </x:c>
      <x:c r="BD45" s="68"/>
    </x:row>
    <x:row r="46" ht="36" customHeight="1">
      <x:c r="A46" s="47" t="str">
        <x:v>2026-07-24</x:v>
      </x:c>
      <x:c r="B46" s="48" t="str">
        <x:v>PL023</x:v>
      </x:c>
      <x:c r="C46" s="48" t="str">
        <x:v>V01</x:v>
      </x:c>
      <x:c r="D46" s="48" t="str">
        <x:v>PL023_佛山市通能达科技有限公司新建项目</x:v>
      </x:c>
      <x:c r="E46" s="48" t="str">
        <x:v>佛山市通能达科技有限公司新建项目</x:v>
      </x:c>
      <x:c r="F46" s="48" t="str">
        <x:v>PL023_V01_Q03</x:v>
      </x:c>
      <x:c r="G46" s="48" t="str">
        <x:v>环评投资核算</x:v>
      </x:c>
      <x:c r="H46" s="48" t="str">
        <x:v>请根据报告中的总投资、环保投资和环保工程投资明细，判断环保投资核算是否前后一致、比例是否正确。</x:v>
      </x:c>
      <x:c r="I46" s="48" t="str">
        <x:v>环评投资核算判定结论：正确；具体分析：报告填报总投资为300万元、环保投资为25万元、环保投资占比为8.33%。按“环保投资÷总投资×100%”复算为8.33%，与报告填报值一致；表2-11 项目环保工程措施投资一览表中的分项投资合计为25万元，与环保投资一致。因此，环保投资金额、分项合计及占比前后一致，核算正确。</x:v>
      </x:c>
      <x:c r="J46" s="48" t="str">
        <x:v>一、建设项目基本情况；表2-11：总投资300万元、环保投资25万元、占比8.33%；分项合计25万元。来源：解析文本拼接_02_021-040(3).md</x:v>
      </x:c>
      <x:c r="K46" s="48" t="str">
        <x:v>报告原文-环保投资明细表</x:v>
      </x:c>
      <x:c r="L46" s="48" t="str">
        <x:v>2</x:v>
      </x:c>
      <x:c r="M46" s="48" t="str">
        <x:v>2</x:v>
      </x:c>
      <x:c r="N46" s="48" t="str">
        <x:v>False</x:v>
      </x:c>
      <x:c r="O46" s="48" t="str">
        <x:v>正确</x:v>
      </x:c>
      <x:c r="P46" s="48"/>
      <x:c r="Q46" s="48"/>
      <x:c r="R46" s="48"/>
      <x:c r="S46" s="48" t="str">
        <x:v>否</x:v>
      </x:c>
      <x:c r="T46" s="48"/>
      <x:c r="U46" s="48" t="str">
        <x:v>30个PL_环评投资核算QA</x:v>
      </x:c>
      <x:c r="V46" s="48" t="str">
        <x:v>环评投资概算</x:v>
      </x:c>
      <x:c r="W46" s="48" t="str">
        <x:v>正确</x:v>
      </x:c>
      <x:c r="X46" s="48" t="str">
        <x:v>无误</x:v>
      </x:c>
      <x:c r="Y46" s="64"/>
      <x:c r="Z46" s="64" t="str">
        <x:v>未复核</x:v>
      </x:c>
      <x:c r="AA46" s="64" t="str">
        <x:v>部分充分</x:v>
      </x:c>
      <x:c r="AB46" s="64" t="str">
        <x:v>有效</x:v>
      </x:c>
      <x:c r="AC46" s="64" t="str">
        <x:v>不需要外部依据</x:v>
      </x:c>
      <x:c r="AD46" s="64" t="str">
        <x:v>自动默认</x:v>
      </x:c>
      <x:c r="AE46" s="64" t="str">
        <x:v>正式实验候选</x:v>
      </x:c>
      <x:c r="AF46" s="64" t="str">
        <x:v>待分流</x:v>
      </x:c>
      <x:c r="AG46" s="64"/>
      <x:c r="AH46" s="64"/>
      <x:c r="AI46" s="64"/>
      <x:c r="AJ46" s="64"/>
      <x:c r="AK46" s="64"/>
      <x:c r="AL46" s="64"/>
      <x:c r="AM46" s="64"/>
      <x:c r="AN46" s="48" t="str">
        <x:v>121</x:v>
      </x:c>
      <x:c r="AO46" s="48" t="str">
        <x:v>MAP_正确</x:v>
      </x:c>
      <x:c r="AP46" s="48" t="str">
        <x:v>存在报告证据，但尚未经人工逐项核验；投资复核主要依据报告内金额与算式</x:v>
      </x:c>
      <x:c r="AQ46" s="64"/>
      <x:c r="AR46" s="48" t="str">
        <x:v>environmental_investment</x:v>
      </x:c>
      <x:c r="AS46" s="48" t="str">
        <x:v>L2_application</x:v>
      </x:c>
      <x:c r="AT46" s="48" t="str">
        <x:v>quantitative_verification</x:v>
      </x:c>
      <x:c r="AU46" s="48" t="str">
        <x:v>numerical_accuracy</x:v>
      </x:c>
      <x:c r="AV46" s="48" t="str">
        <x:v>report_grounding；procedural_reasoning</x:v>
      </x:c>
      <x:c r="AW46" s="48" t="str">
        <x:v>low</x:v>
      </x:c>
      <x:c r="AX46" s="48" t="str">
        <x:v>medium</x:v>
      </x:c>
      <x:c r="AY46" s="48" t="str">
        <x:v>cross_section</x:v>
      </x:c>
      <x:c r="AZ46" s="48" t="str">
        <x:v>True</x:v>
      </x:c>
      <x:c r="BA46" s="48"/>
      <x:c r="BB46" s="48" t="str">
        <x:v>auto_default</x:v>
      </x:c>
      <x:c r="BC46" s="48" t="str">
        <x:v>v1</x:v>
      </x:c>
      <x:c r="BD46" s="68"/>
    </x:row>
    <x:row r="47" ht="36" customHeight="1">
      <x:c r="A47" s="47" t="str">
        <x:v>2026-07-24</x:v>
      </x:c>
      <x:c r="B47" s="48" t="str">
        <x:v>PL027</x:v>
      </x:c>
      <x:c r="C47" s="48" t="str">
        <x:v>V01</x:v>
      </x:c>
      <x:c r="D47" s="48" t="str">
        <x:v>PL027_佛山市天隆通塑料制品有限公司新建项目</x:v>
      </x:c>
      <x:c r="E47" s="48" t="str">
        <x:v>佛山市天隆通塑料制品有限公司新建项目</x:v>
      </x:c>
      <x:c r="F47" s="48" t="str">
        <x:v>PL027_V01_Q03</x:v>
      </x:c>
      <x:c r="G47" s="48" t="str">
        <x:v>环评投资核算</x:v>
      </x:c>
      <x:c r="H47" s="48" t="str">
        <x:v>请根据报告中的总投资、环保投资和环保工程投资明细，判断环保投资核算是否前后一致、比例是否正确。</x:v>
      </x:c>
      <x:c r="I47" s="48" t="str">
        <x:v>环评投资核算判定结论：正确；具体分析：报告填报总投资为200万元、环保投资为20万元、环保投资占比为10%。按“环保投资÷总投资×100%”复算为10.00%，与报告填报值一致；环保投资情况一览表中的分项投资合计为20万元，与环保投资一致。因此，环保投资金额、分项合计及占比前后一致，核算正确。</x:v>
      </x:c>
      <x:c r="J47" s="48" t="str">
        <x:v>一、建设项目基本情况；环保投资情况一览表：总投资200万元、环保投资20万元、占比10%；分项合计20万元。来源：解析文本拼接_02_021-040(3).md</x:v>
      </x:c>
      <x:c r="K47" s="48" t="str">
        <x:v>报告原文-环保投资明细表</x:v>
      </x:c>
      <x:c r="L47" s="48" t="str">
        <x:v>2</x:v>
      </x:c>
      <x:c r="M47" s="48" t="str">
        <x:v>2</x:v>
      </x:c>
      <x:c r="N47" s="48" t="str">
        <x:v>False</x:v>
      </x:c>
      <x:c r="O47" s="48" t="str">
        <x:v>正确</x:v>
      </x:c>
      <x:c r="P47" s="48"/>
      <x:c r="Q47" s="48"/>
      <x:c r="R47" s="48"/>
      <x:c r="S47" s="48" t="str">
        <x:v>否</x:v>
      </x:c>
      <x:c r="T47" s="48"/>
      <x:c r="U47" s="48" t="str">
        <x:v>30个PL_环评投资核算QA</x:v>
      </x:c>
      <x:c r="V47" s="48" t="str">
        <x:v>环评投资概算</x:v>
      </x:c>
      <x:c r="W47" s="48" t="str">
        <x:v>正确</x:v>
      </x:c>
      <x:c r="X47" s="48" t="str">
        <x:v>无误</x:v>
      </x:c>
      <x:c r="Y47" s="64"/>
      <x:c r="Z47" s="64" t="str">
        <x:v>未复核</x:v>
      </x:c>
      <x:c r="AA47" s="64" t="str">
        <x:v>部分充分</x:v>
      </x:c>
      <x:c r="AB47" s="64" t="str">
        <x:v>有效</x:v>
      </x:c>
      <x:c r="AC47" s="64" t="str">
        <x:v>不需要外部依据</x:v>
      </x:c>
      <x:c r="AD47" s="64" t="str">
        <x:v>自动默认</x:v>
      </x:c>
      <x:c r="AE47" s="64" t="str">
        <x:v>正式实验候选</x:v>
      </x:c>
      <x:c r="AF47" s="64" t="str">
        <x:v>待分流</x:v>
      </x:c>
      <x:c r="AG47" s="64"/>
      <x:c r="AH47" s="64"/>
      <x:c r="AI47" s="64"/>
      <x:c r="AJ47" s="64"/>
      <x:c r="AK47" s="64"/>
      <x:c r="AL47" s="64"/>
      <x:c r="AM47" s="64"/>
      <x:c r="AN47" s="48" t="str">
        <x:v>142</x:v>
      </x:c>
      <x:c r="AO47" s="48" t="str">
        <x:v>MAP_正确</x:v>
      </x:c>
      <x:c r="AP47" s="48" t="str">
        <x:v>存在报告证据，但尚未经人工逐项核验；投资复核主要依据报告内金额与算式</x:v>
      </x:c>
      <x:c r="AQ47" s="64"/>
      <x:c r="AR47" s="48" t="str">
        <x:v>environmental_investment</x:v>
      </x:c>
      <x:c r="AS47" s="48" t="str">
        <x:v>L2_application</x:v>
      </x:c>
      <x:c r="AT47" s="48" t="str">
        <x:v>quantitative_verification</x:v>
      </x:c>
      <x:c r="AU47" s="48" t="str">
        <x:v>numerical_accuracy</x:v>
      </x:c>
      <x:c r="AV47" s="48" t="str">
        <x:v>report_grounding；procedural_reasoning</x:v>
      </x:c>
      <x:c r="AW47" s="48" t="str">
        <x:v>low</x:v>
      </x:c>
      <x:c r="AX47" s="48" t="str">
        <x:v>medium</x:v>
      </x:c>
      <x:c r="AY47" s="48" t="str">
        <x:v>cross_section</x:v>
      </x:c>
      <x:c r="AZ47" s="48" t="str">
        <x:v>True</x:v>
      </x:c>
      <x:c r="BA47" s="48"/>
      <x:c r="BB47" s="48" t="str">
        <x:v>auto_default</x:v>
      </x:c>
      <x:c r="BC47" s="48" t="str">
        <x:v>v1</x:v>
      </x:c>
      <x:c r="BD47" s="68"/>
    </x:row>
    <x:row r="48" ht="36" customHeight="1">
      <x:c r="A48" s="47" t="str">
        <x:v>2026-07-24</x:v>
      </x:c>
      <x:c r="B48" s="48" t="str">
        <x:v>PL030</x:v>
      </x:c>
      <x:c r="C48" s="48" t="str">
        <x:v>V01</x:v>
      </x:c>
      <x:c r="D48" s="48" t="str">
        <x:v>PL030_佛山市瑞易德塑料五金制品有限公司搬迁项目</x:v>
      </x:c>
      <x:c r="E48" s="48" t="str">
        <x:v>佛山市瑞易德塑料五金制品有限公司搬迁项目</x:v>
      </x:c>
      <x:c r="F48" s="48" t="str">
        <x:v>PL030_V01_Q03</x:v>
      </x:c>
      <x:c r="G48" s="48" t="str">
        <x:v>环评投资核算</x:v>
      </x:c>
      <x:c r="H48" s="48" t="str">
        <x:v>请根据报告中的总投资、环保投资和环保工程投资明细，判断环保投资核算是否前后一致、比例是否正确。</x:v>
      </x:c>
      <x:c r="I48" s="48" t="str">
        <x:v>环评投资核算判定结论：正确；具体分析：报告填报总投资为200万元、环保投资为15万元、环保投资占比为7.5%。按“环保投资÷总投资×100%”复算为7.50%，与报告填报值一致；表4-16 环境保护工程措施投资中的分项投资合计为15万元，与环保投资一致。因此，环保投资金额、分项合计及占比前后一致，核算正确。</x:v>
      </x:c>
      <x:c r="J48" s="48" t="str">
        <x:v>一、建设项目基本情况；表4-16：总投资200万元、环保投资15万元、占比7.5%；分项合计15万元。来源：解析文本拼接_02_021-040(3).md</x:v>
      </x:c>
      <x:c r="K48" s="48" t="str">
        <x:v>报告原文-环保投资明细表</x:v>
      </x:c>
      <x:c r="L48" s="48" t="str">
        <x:v>2</x:v>
      </x:c>
      <x:c r="M48" s="48" t="str">
        <x:v>2</x:v>
      </x:c>
      <x:c r="N48" s="48" t="str">
        <x:v>False</x:v>
      </x:c>
      <x:c r="O48" s="48" t="str">
        <x:v>正确</x:v>
      </x:c>
      <x:c r="P48" s="48"/>
      <x:c r="Q48" s="48"/>
      <x:c r="R48" s="48"/>
      <x:c r="S48" s="48" t="str">
        <x:v>否</x:v>
      </x:c>
      <x:c r="T48" s="48"/>
      <x:c r="U48" s="48" t="str">
        <x:v>30个PL_环评投资核算QA</x:v>
      </x:c>
      <x:c r="V48" s="48" t="str">
        <x:v>环评投资概算</x:v>
      </x:c>
      <x:c r="W48" s="48" t="str">
        <x:v>正确</x:v>
      </x:c>
      <x:c r="X48" s="48" t="str">
        <x:v>无误</x:v>
      </x:c>
      <x:c r="Y48" s="64"/>
      <x:c r="Z48" s="64" t="str">
        <x:v>未复核</x:v>
      </x:c>
      <x:c r="AA48" s="64" t="str">
        <x:v>部分充分</x:v>
      </x:c>
      <x:c r="AB48" s="64" t="str">
        <x:v>有效</x:v>
      </x:c>
      <x:c r="AC48" s="64" t="str">
        <x:v>不需要外部依据</x:v>
      </x:c>
      <x:c r="AD48" s="64" t="str">
        <x:v>自动默认</x:v>
      </x:c>
      <x:c r="AE48" s="64" t="str">
        <x:v>正式实验候选</x:v>
      </x:c>
      <x:c r="AF48" s="64" t="str">
        <x:v>待分流</x:v>
      </x:c>
      <x:c r="AG48" s="64"/>
      <x:c r="AH48" s="64"/>
      <x:c r="AI48" s="64"/>
      <x:c r="AJ48" s="64"/>
      <x:c r="AK48" s="64"/>
      <x:c r="AL48" s="64"/>
      <x:c r="AM48" s="64"/>
      <x:c r="AN48" s="48" t="str">
        <x:v>163</x:v>
      </x:c>
      <x:c r="AO48" s="48" t="str">
        <x:v>MAP_正确</x:v>
      </x:c>
      <x:c r="AP48" s="48" t="str">
        <x:v>存在报告证据，但尚未经人工逐项核验；投资复核主要依据报告内金额与算式</x:v>
      </x:c>
      <x:c r="AQ48" s="64"/>
      <x:c r="AR48" s="48" t="str">
        <x:v>environmental_investment</x:v>
      </x:c>
      <x:c r="AS48" s="48" t="str">
        <x:v>L2_application</x:v>
      </x:c>
      <x:c r="AT48" s="48" t="str">
        <x:v>quantitative_verification</x:v>
      </x:c>
      <x:c r="AU48" s="48" t="str">
        <x:v>numerical_accuracy</x:v>
      </x:c>
      <x:c r="AV48" s="48" t="str">
        <x:v>report_grounding；procedural_reasoning</x:v>
      </x:c>
      <x:c r="AW48" s="48" t="str">
        <x:v>low</x:v>
      </x:c>
      <x:c r="AX48" s="48" t="str">
        <x:v>medium</x:v>
      </x:c>
      <x:c r="AY48" s="48" t="str">
        <x:v>cross_section</x:v>
      </x:c>
      <x:c r="AZ48" s="48" t="str">
        <x:v>True</x:v>
      </x:c>
      <x:c r="BA48" s="48"/>
      <x:c r="BB48" s="48" t="str">
        <x:v>auto_default</x:v>
      </x:c>
      <x:c r="BC48" s="48" t="str">
        <x:v>v1</x:v>
      </x:c>
      <x:c r="BD48" s="68"/>
    </x:row>
    <x:row r="49" ht="36" customHeight="1">
      <x:c r="A49" s="50" t="str">
        <x:v>2026-07-24</x:v>
      </x:c>
      <x:c r="B49" s="51" t="str">
        <x:v>PL031</x:v>
      </x:c>
      <x:c r="C49" s="51" t="str">
        <x:v>V01</x:v>
      </x:c>
      <x:c r="D49" s="51" t="str">
        <x:v>PL031_佛山市浩创时代包装制品有限公司新建项目</x:v>
      </x:c>
      <x:c r="E49" s="51" t="str">
        <x:v>佛山市浩创时代包装制品有限公司新建项目</x:v>
      </x:c>
      <x:c r="F49" s="51" t="str">
        <x:v>PL031_V01_Q03</x:v>
      </x:c>
      <x:c r="G49" s="51" t="str">
        <x:v>环评投资核算</x:v>
      </x:c>
      <x:c r="H49" s="51" t="str">
        <x:v>请根据报告中的总投资、环保投资和环保工程投资明细，判断环保投资核算是否前后一致、比例是否正确。</x:v>
      </x:c>
      <x:c r="I49" s="51" t="str">
        <x:v>环评投资核算判定结论：正确；具体分析：报告填报总投资为250万元、环保投资为25万元、环保投资占比为10%。按“环保投资÷总投资×100%”复算为10.00%，与报告填报值一致；项目环保投资一览表中的分项投资合计为25万元，与环保投资一致。因此，环保投资金额、分项合计及占比前后一致，核算正确。</x:v>
      </x:c>
      <x:c r="J49" s="51" t="str">
        <x:v>一、建设项目基本情况；项目环保投资一览表：总投资250万元、环保投资25万元、占比10%；分项合计25万元。来源：解析文本拼接_02_021-040(3).md</x:v>
      </x:c>
      <x:c r="K49" s="51" t="str">
        <x:v>报告原文-环保投资明细表</x:v>
      </x:c>
      <x:c r="L49" s="51" t="str">
        <x:v>2</x:v>
      </x:c>
      <x:c r="M49" s="51" t="str">
        <x:v>2</x:v>
      </x:c>
      <x:c r="N49" s="51" t="str">
        <x:v>False</x:v>
      </x:c>
      <x:c r="O49" s="51" t="str">
        <x:v>正确</x:v>
      </x:c>
      <x:c r="P49" s="51"/>
      <x:c r="Q49" s="51"/>
      <x:c r="R49" s="51"/>
      <x:c r="S49" s="51" t="str">
        <x:v>否</x:v>
      </x:c>
      <x:c r="T49" s="51"/>
      <x:c r="U49" s="51" t="str">
        <x:v>30个PL_环评投资核算QA</x:v>
      </x:c>
      <x:c r="V49" s="51" t="str">
        <x:v>环评投资概算</x:v>
      </x:c>
      <x:c r="W49" s="51" t="str">
        <x:v>正确</x:v>
      </x:c>
      <x:c r="X49" s="51" t="str">
        <x:v>无误</x:v>
      </x:c>
      <x:c r="Y49" s="65"/>
      <x:c r="Z49" s="65" t="str">
        <x:v>未复核</x:v>
      </x:c>
      <x:c r="AA49" s="65" t="str">
        <x:v>部分充分</x:v>
      </x:c>
      <x:c r="AB49" s="65" t="str">
        <x:v>有效</x:v>
      </x:c>
      <x:c r="AC49" s="65" t="str">
        <x:v>不需要外部依据</x:v>
      </x:c>
      <x:c r="AD49" s="65" t="str">
        <x:v>自动默认</x:v>
      </x:c>
      <x:c r="AE49" s="65" t="str">
        <x:v>正式实验候选</x:v>
      </x:c>
      <x:c r="AF49" s="65" t="str">
        <x:v>待分流</x:v>
      </x:c>
      <x:c r="AG49" s="65"/>
      <x:c r="AH49" s="65"/>
      <x:c r="AI49" s="65"/>
      <x:c r="AJ49" s="65"/>
      <x:c r="AK49" s="65"/>
      <x:c r="AL49" s="65"/>
      <x:c r="AM49" s="65"/>
      <x:c r="AN49" s="51" t="str">
        <x:v>170</x:v>
      </x:c>
      <x:c r="AO49" s="51" t="str">
        <x:v>MAP_正确</x:v>
      </x:c>
      <x:c r="AP49" s="51" t="str">
        <x:v>存在报告证据，但尚未经人工逐项核验；投资复核主要依据报告内金额与算式</x:v>
      </x:c>
      <x:c r="AQ49" s="65"/>
      <x:c r="AR49" s="51" t="str">
        <x:v>environmental_investment</x:v>
      </x:c>
      <x:c r="AS49" s="51" t="str">
        <x:v>L2_application</x:v>
      </x:c>
      <x:c r="AT49" s="51" t="str">
        <x:v>quantitative_verification</x:v>
      </x:c>
      <x:c r="AU49" s="51" t="str">
        <x:v>numerical_accuracy</x:v>
      </x:c>
      <x:c r="AV49" s="51" t="str">
        <x:v>report_grounding；procedural_reasoning</x:v>
      </x:c>
      <x:c r="AW49" s="51" t="str">
        <x:v>low</x:v>
      </x:c>
      <x:c r="AX49" s="51" t="str">
        <x:v>medium</x:v>
      </x:c>
      <x:c r="AY49" s="51" t="str">
        <x:v>cross_section</x:v>
      </x:c>
      <x:c r="AZ49" s="51" t="str">
        <x:v>True</x:v>
      </x:c>
      <x:c r="BA49" s="51"/>
      <x:c r="BB49" s="51" t="str">
        <x:v>auto_default</x:v>
      </x:c>
      <x:c r="BC49" s="51" t="str">
        <x:v>v1</x:v>
      </x:c>
      <x:c r="BD49" s="69"/>
    </x:row>
  </x:sheetData>
  <x:conditionalFormatting sqref="AP2:AP49">
    <x:cfRule type="expression" dxfId="18" priority="1">
      <x:formula>LEN(AP2)&gt;0</x:formula>
    </x:cfRule>
  </x:conditionalFormatting>
  <x:conditionalFormatting sqref="AA2:AA49">
    <x:cfRule type="cellIs" dxfId="19" priority="2" operator="equal">
      <x:formula>"不足"</x:formula>
    </x:cfRule>
  </x:conditionalFormatting>
  <x:conditionalFormatting sqref="Z2:Z49">
    <x:cfRule type="cellIs" dxfId="20" priority="3" operator="equal">
      <x:formula>"已冻结"</x:formula>
    </x:cfRule>
  </x:conditionalFormatting>
  <x:dataValidations count="8">
    <x:dataValidation type="list" sqref="Y2:Y49">
      <x:formula1>"无误,存在错误,存在缺漏,证据不足,需人工复核,待判断"</x:formula1>
    </x:dataValidation>
    <x:dataValidation type="list" sqref="Z2:Z49">
      <x:formula1>"未复核,一审完成,二审完成,已裁决,已冻结,排除"</x:formula1>
    </x:dataValidation>
    <x:dataValidation type="list" sqref="AA2:AA49">
      <x:formula1>"充分,部分充分,不足,原始材料缺失,待判断"</x:formula1>
    </x:dataValidation>
    <x:dataValidation type="list" sqref="AB2:AB49">
      <x:formula1>"有效,表述歧义,字段错位,题答不匹配,重复,原始材料缺失,排除,待判断"</x:formula1>
    </x:dataValidation>
    <x:dataValidation type="list" sqref="AC2:AC49">
      <x:formula1>"已核验,部分核验,未核验,不需要外部依据,待判断"</x:formula1>
    </x:dataValidation>
    <x:dataValidation type="list" sqref="AD2:AD49">
      <x:formula1>"自动默认,人工确认,人工覆盖"</x:formula1>
    </x:dataValidation>
    <x:dataValidation type="list" sqref="AE2:AE49">
      <x:formula1>"候选池,趋势实验候选,趋势实验冻结,正式实验候选,正式实验冻结,排除"</x:formula1>
    </x:dataValidation>
    <x:dataValidation type="list" sqref="AF2:AF49">
      <x:formula1>"A_仅待终审,B_证据不足,C_题目或材料问题,D_无需复核候选,待分流"</x:formula1>
    </x:dataValidation>
  </x:dataValidations>
  <x:pageMargins left="0.7" right="0.7" top="0.75" bottom="0.75" header="0.3" footer="0.3"/>
  <x:tableParts count="1">
    <x:tablePart xmlns:r="http://schemas.openxmlformats.org/officeDocument/2006/relationships" r:id="Rfa920e5649324961"/>
  </x:tableParts>
</x:worksheet>
</file>

<file path=xl/worksheets/sheet10.xml><?xml version="1.0" encoding="utf-8"?>
<x:worksheet xmlns:x="http://schemas.openxmlformats.org/spreadsheetml/2006/main">
  <x:sheetFormatPr defaultRowHeight="15"/>
  <x:cols>
    <x:col min="1" max="1" width="35" hidden="0" customWidth="1"/>
    <x:col min="2" max="2" width="35" hidden="0" customWidth="1"/>
    <x:col min="3" max="3" width="35" hidden="0" customWidth="1"/>
  </x:cols>
  <x:sheetData>
    <x:row r="1">
      <x:c r="A1" s="26" t="str">
        <x:v>原始人工判断</x:v>
      </x:c>
      <x:c r="B1" s="26" t="str">
        <x:v>候选映射</x:v>
      </x:c>
      <x:c r="C1" s="26" t="str">
        <x:v>处理原则</x:v>
      </x:c>
    </x:row>
    <x:row r="2">
      <x:c r="A2" s="4" t="str">
        <x:v>正确</x:v>
      </x:c>
      <x:c r="B2" s="4" t="str">
        <x:v>无误</x:v>
      </x:c>
      <x:c r="C2" s="4" t="str">
        <x:v>仅写候选字段</x:v>
      </x:c>
    </x:row>
    <x:row r="3">
      <x:c r="A3" s="4" t="str">
        <x:v>无误</x:v>
      </x:c>
      <x:c r="B3" s="4" t="str">
        <x:v>无误</x:v>
      </x:c>
      <x:c r="C3" s="4" t="str">
        <x:v>仅写候选字段</x:v>
      </x:c>
    </x:row>
    <x:row r="4">
      <x:c r="A4" s="4" t="str">
        <x:v>存在错误</x:v>
      </x:c>
      <x:c r="B4" s="4" t="str">
        <x:v>存在错误</x:v>
      </x:c>
      <x:c r="C4" s="4" t="str">
        <x:v>仅写候选字段</x:v>
      </x:c>
    </x:row>
    <x:row r="5">
      <x:c r="A5" s="4" t="str">
        <x:v>存在缺漏</x:v>
      </x:c>
      <x:c r="B5" s="4" t="str">
        <x:v>存在缺漏</x:v>
      </x:c>
      <x:c r="C5" s="4" t="str">
        <x:v>仅写候选字段</x:v>
      </x:c>
    </x:row>
    <x:row r="6">
      <x:c r="A6" s="4" t="str">
        <x:v>需复核</x:v>
      </x:c>
      <x:c r="B6" s="4" t="str">
        <x:v>需人工复核</x:v>
      </x:c>
      <x:c r="C6" s="4" t="str">
        <x:v>等待人工复核</x:v>
      </x:c>
    </x:row>
    <x:row r="7">
      <x:c r="A7" s="4" t="str">
        <x:v>不正确</x:v>
      </x:c>
      <x:c r="B7" s="4" t="str">
        <x:v>待判断</x:v>
      </x:c>
      <x:c r="C7" s="4" t="str">
        <x:v>人工区分错误或缺漏</x:v>
      </x:c>
    </x:row>
    <x:row r="8">
      <x:c r="A8" s="4" t="str">
        <x:v>需修正</x:v>
      </x:c>
      <x:c r="B8" s="4" t="str">
        <x:v>待判断</x:v>
      </x:c>
      <x:c r="C8" s="4" t="str">
        <x:v>人工区分实质问题或表达优化</x:v>
      </x:c>
    </x:row>
    <x:row r="9">
      <x:c r="A9" s="4" t="str">
        <x:v>无法判断</x:v>
      </x:c>
      <x:c r="B9" s="4" t="str">
        <x:v>待判断</x:v>
      </x:c>
      <x:c r="C9" s="4" t="str">
        <x:v>人工区分证据/材料/未审核</x:v>
      </x:c>
    </x:row>
    <x:row r="10">
      <x:c r="A10" s="4" t="str">
        <x:v>空白</x:v>
      </x:c>
      <x:c r="B10" s="4" t="str">
        <x:v>待判断</x:v>
      </x:c>
      <x:c r="C10" s="4" t="str">
        <x:v>不得自动补填</x:v>
      </x:c>
    </x:row>
    <x:row r="11">
      <x:c r="A11" s="4" t="str">
        <x:v>112</x:v>
      </x:c>
      <x:c r="B11" s="4" t="str">
        <x:v>待判断</x:v>
      </x:c>
      <x:c r="C11" s="4" t="str">
        <x:v>字段错位</x:v>
      </x:c>
    </x:row>
    <x:row r="12">
      <x:c r="A12" s="4" t="str">
        <x:v>长说明</x:v>
      </x:c>
      <x:c r="B12" s="4" t="str">
        <x:v>抽取候选结论</x:v>
      </x:c>
      <x:c r="C12" s="4" t="str">
        <x:v>保留原文且必须人工确认</x:v>
      </x:c>
    </x:row>
  </x:sheetData>
  <x:pageMargins left="0.7" right="0.7" top="0.75" bottom="0.75" header="0.3" footer="0.3"/>
  <x:tableParts count="1">
    <x:tablePart xmlns:r="http://schemas.openxmlformats.org/officeDocument/2006/relationships" r:id="R2a9de2be0dc14c63"/>
  </x:tableParts>
</x:worksheet>
</file>

<file path=xl/worksheets/sheet11.xml><?xml version="1.0" encoding="utf-8"?>
<x:worksheet xmlns:x="http://schemas.openxmlformats.org/spreadsheetml/2006/main">
  <x:sheetFormatPr defaultRowHeight="15"/>
  <x:cols>
    <x:col min="1" max="1" width="24" hidden="0" customWidth="1"/>
    <x:col min="2" max="2" width="100" hidden="0" customWidth="1"/>
  </x:cols>
  <x:sheetData>
    <x:row r="1">
      <x:c r="A1" s="34" t="str">
        <x:v>维度</x:v>
      </x:c>
      <x:c r="B1" s="34" t="str">
        <x:v>枚举/说明</x:v>
      </x:c>
    </x:row>
    <x:row r="2">
      <x:c r="A2" s="4" t="str">
        <x:v>审核领域</x:v>
      </x:c>
      <x:c r="B2" s="4" t="str">
        <x:v>industry_classification / environmental_investment / environmental_quality_data / water_emission_standard / air_emission_standard / noise_emission_standard / solid_waste_standard</x:v>
      </x:c>
    </x:row>
    <x:row r="3">
      <x:c r="A3" s="4" t="str">
        <x:v>认知层级</x:v>
      </x:c>
      <x:c r="B3" s="4" t="str">
        <x:v>L1_understanding / L2_application / L3_analysis</x:v>
      </x:c>
    </x:row>
    <x:row r="4">
      <x:c r="A4" s="4" t="str">
        <x:v>推理类型</x:v>
      </x:c>
      <x:c r="B4" s="4" t="str">
        <x:v>factual_extraction / quantitative_verification / rule_applicability / consistency_comparison / multi_evidence_synthesis</x:v>
      </x:c>
    </x:row>
    <x:row r="5">
      <x:c r="A5" s="4" t="str">
        <x:v>主要功能能力</x:v>
      </x:c>
      <x:c r="B5" s="4" t="str">
        <x:v>report_grounding / basis_grounding / numerical_accuracy / procedural_reasoning / evidence_integration</x:v>
      </x:c>
    </x:row>
    <x:row r="6">
      <x:c r="A6" s="4" t="str">
        <x:v>知识依赖度</x:v>
      </x:c>
      <x:c r="B6" s="4" t="str">
        <x:v>low / medium / high</x:v>
      </x:c>
    </x:row>
    <x:row r="7">
      <x:c r="A7" s="4" t="str">
        <x:v>Workflow依赖度</x:v>
      </x:c>
      <x:c r="B7" s="4" t="str">
        <x:v>low / medium / high</x:v>
      </x:c>
    </x:row>
    <x:row r="8">
      <x:c r="A8" s="4" t="str">
        <x:v>证据跨度</x:v>
      </x:c>
      <x:c r="B8" s="4" t="str">
        <x:v>single_field / single_section / cross_section / report_plus_external</x:v>
      </x:c>
    </x:row>
    <x:row r="9">
      <x:c r="A9" s="4" t="str">
        <x:v>覆盖规则</x:v>
      </x:c>
      <x:c r="B9" s="4" t="str">
        <x:v>18题与正式候选实验前逐题人工确认；人工覆盖必须填写 taxonomy_override_reason；不得为平衡分布篡改分类。</x:v>
      </x:c>
    </x:row>
  </x:sheetData>
  <x:pageMargins left="0.7" right="0.7" top="0.75" bottom="0.75" header="0.3" footer="0.3"/>
  <x:tableParts count="1">
    <x:tablePart xmlns:r="http://schemas.openxmlformats.org/officeDocument/2006/relationships" r:id="R88e9f028483f4d27"/>
  </x:tableParts>
</x:worksheet>
</file>

<file path=xl/worksheets/sheet12.xml><?xml version="1.0" encoding="utf-8"?>
<x:worksheet xmlns:x="http://schemas.openxmlformats.org/spreadsheetml/2006/main">
  <x:sheetFormatPr defaultRowHeight="15"/>
  <x:cols>
    <x:col min="1" max="1" width="30" hidden="0" customWidth="1"/>
    <x:col min="2" max="2" width="30" hidden="0" customWidth="1"/>
    <x:col min="3" max="3" width="30" hidden="0" customWidth="1"/>
  </x:cols>
  <x:sheetData>
    <x:row r="1">
      <x:c r="A1" s="12" t="str">
        <x:v>指标</x:v>
      </x:c>
      <x:c r="B1" s="12" t="str">
        <x:v>数量</x:v>
      </x:c>
      <x:c r="C1" s="12" t="str">
        <x:v>说明</x:v>
      </x:c>
    </x:row>
    <x:row r="2" ht="28" customHeight="1">
      <x:c r="A2" s="2" t="str">
        <x:v>总题数</x:v>
      </x:c>
      <x:c r="B2" s="2" t="n">
        <x:f>COUNTA('01_全部210题'!$F$2:$F$211)</x:f>
        <x:v>210</x:v>
      </x:c>
      <x:c r="C2" s="2" t="str">
        <x:v>应为210</x:v>
      </x:c>
    </x:row>
    <x:row r="3" ht="28" customHeight="1">
      <x:c r="A3" s="2" t="str">
        <x:v>人工终值已填</x:v>
      </x:c>
      <x:c r="B3" s="2" t="n">
        <x:f>COUNTIF('01_全部210题'!$Y$2:$Y$211,"&lt;&gt;")</x:f>
        <x:v>0</x:v>
      </x:c>
      <x:c r="C3" s="2" t="str">
        <x:v>脚本生成时应为0</x:v>
      </x:c>
    </x:row>
    <x:row r="4" ht="28" customHeight="1">
      <x:c r="A4" s="2" t="str">
        <x:v>已冻结</x:v>
      </x:c>
      <x:c r="B4" s="2" t="n">
        <x:f>COUNTIF('01_全部210题'!$Z$2:$Z$211,"已冻结")</x:f>
        <x:v>0</x:v>
      </x:c>
      <x:c r="C4" s="2" t="str">
        <x:v>脚本生成时应为0</x:v>
      </x:c>
    </x:row>
    <x:row r="5" ht="28" customHeight="1">
      <x:c r="A5" s="2" t="str">
        <x:v>异常题</x:v>
      </x:c>
      <x:c r="B5" s="2" t="n">
        <x:f>COUNTIF('01_全部210题'!$AB$2:$AB$211,"&lt;&gt;有效")</x:f>
        <x:v>30</x:v>
      </x:c>
      <x:c r="C5" s="2" t="str">
        <x:v>候选质量非有效</x:v>
      </x:c>
    </x:row>
    <x:row r="6" ht="28" customHeight="1">
      <x:c r="A6" s="2" t="str">
        <x:v>A类</x:v>
      </x:c>
      <x:c r="B6" s="2" t="n">
        <x:f>COUNTIF('01_全部210题'!$AF$2:$AF$211,"A_仅待终审")</x:f>
        <x:v>66</x:v>
      </x:c>
      <x:c r="C6" s="2" t="str">
        <x:v>候选分流</x:v>
      </x:c>
    </x:row>
    <x:row r="7" ht="28" customHeight="1">
      <x:c r="A7" s="2" t="str">
        <x:v>B类</x:v>
      </x:c>
      <x:c r="B7" s="2" t="n">
        <x:f>COUNTIF('01_全部210题'!$AF$2:$AF$211,"B_证据不足")</x:f>
        <x:v>43</x:v>
      </x:c>
      <x:c r="C7" s="2" t="str">
        <x:v>候选分流</x:v>
      </x:c>
    </x:row>
    <x:row r="8" ht="28" customHeight="1">
      <x:c r="A8" s="2" t="str">
        <x:v>C类</x:v>
      </x:c>
      <x:c r="B8" s="2" t="n">
        <x:f>COUNTIF('01_全部210题'!$AF$2:$AF$211,"C_题目或材料问题")</x:f>
        <x:v>30</x:v>
      </x:c>
      <x:c r="C8" s="2" t="str">
        <x:v>候选分流</x:v>
      </x:c>
    </x:row>
    <x:row r="9" ht="28" customHeight="1">
      <x:c r="A9" s="2" t="str">
        <x:v>D类</x:v>
      </x:c>
      <x:c r="B9" s="2" t="n">
        <x:f>COUNTIF('01_全部210题'!$AF$2:$AF$211,"D_无需复核候选")</x:f>
        <x:v>0</x:v>
      </x:c>
      <x:c r="C9" s="2" t="str">
        <x:v>需有终审证据</x:v>
      </x:c>
    </x:row>
    <x:row r="10" ht="28" customHeight="1">
      <x:c r="A10" s="2" t="str">
        <x:v>分类自动默认</x:v>
      </x:c>
      <x:c r="B10" s="2" t="n">
        <x:f>COUNTIF('01_全部210题'!$AD$2:$AD$211,"自动默认")</x:f>
        <x:v>210</x:v>
      </x:c>
      <x:c r="C10" s="2" t="str">
        <x:v>实验前需逐题确认</x:v>
      </x:c>
    </x:row>
  </x:sheetData>
  <x:pageMargins left="0.7" right="0.7" top="0.75" bottom="0.75" header="0.3" footer="0.3"/>
  <x:tableParts count="1">
    <x:tablePart xmlns:r="http://schemas.openxmlformats.org/officeDocument/2006/relationships" r:id="R56b590ee878a4add"/>
  </x:tableParts>
</x:worksheet>
</file>

<file path=xl/worksheets/sheet13.xml><?xml version="1.0" encoding="utf-8"?>
<x:worksheet xmlns:x="http://schemas.openxmlformats.org/spreadsheetml/2006/main">
  <x:sheetFormatPr defaultRowHeight="15"/>
  <x:cols>
    <x:col min="1" max="1" width="35" hidden="0" customWidth="1"/>
    <x:col min="2" max="2" width="35" hidden="0" customWidth="1"/>
    <x:col min="3" max="3" width="35" hidden="0" customWidth="1"/>
    <x:col min="4" max="4" width="35" hidden="0" customWidth="1"/>
  </x:cols>
  <x:sheetData>
    <x:row r="1">
      <x:c r="A1" s="26" t="str">
        <x:v>日期</x:v>
      </x:c>
      <x:c r="B1" s="26" t="str">
        <x:v>版本</x:v>
      </x:c>
      <x:c r="C1" s="26" t="str">
        <x:v>变更</x:v>
      </x:c>
      <x:c r="D1" s="26" t="str">
        <x:v>责任</x:v>
      </x:c>
    </x:row>
    <x:row r="2">
      <x:c r="A2" s="4" t="str">
        <x:v>2026-07-29</x:v>
      </x:c>
      <x:c r="B2" s="4" t="str">
        <x:v>v1</x:v>
      </x:c>
      <x:c r="C2" s="4" t="str">
        <x:v>建立候选映射、异常识别、复核分流与实验候选池</x:v>
      </x:c>
      <x:c r="D2" s="4" t="str">
        <x:v>Codex自动处理（候选）</x:v>
      </x:c>
    </x:row>
    <x:row r="3">
      <x:c r="A3" s="4" t="str">
        <x:v>2026-07-29</x:v>
      </x:c>
      <x:c r="B3" s="4" t="str">
        <x:v>v1</x:v>
      </x:c>
      <x:c r="C3" s="4" t="str">
        <x:v>纠正旧版18题 sample_selection_frozen=true 为未冻结候选</x:v>
      </x:c>
      <x:c r="D3" s="4" t="str">
        <x:v>Codex自动处理</x:v>
      </x:c>
    </x:row>
    <x:row r="4">
      <x:c r="A4" s="100" t="str">
        <x:v>待填写</x:v>
      </x:c>
      <x:c r="B4" s="100" t="str">
        <x:v>待填写</x:v>
      </x:c>
      <x:c r="C4" s="100" t="str">
        <x:v>人工终值、证据、依据、分类、审核及冻结记录</x:v>
      </x:c>
      <x:c r="D4" s="100" t="str">
        <x:v>人工审核者</x:v>
      </x:c>
    </x:row>
  </x:sheetData>
  <x:pageMargins left="0.7" right="0.7" top="0.75" bottom="0.75" header="0.3" footer="0.3"/>
  <x:tableParts count="1">
    <x:tablePart xmlns:r="http://schemas.openxmlformats.org/officeDocument/2006/relationships" r:id="Rb1f342c497a743de"/>
  </x:tableParts>
</x:worksheet>
</file>