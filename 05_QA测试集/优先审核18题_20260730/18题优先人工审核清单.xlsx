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c8458fc53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697d4b1745604e60"/>
    <x:sheet xmlns:r="http://schemas.openxmlformats.org/officeDocument/2006/relationships" name="01_18题审核清单" sheetId="2" r:id="R1d1bd9b918434eab"/>
    <x:sheet xmlns:r="http://schemas.openxmlformats.org/officeDocument/2006/relationships" name="02_报告交付清单" sheetId="3" r:id="Rec822c04c9b0426e"/>
    <x:sheet xmlns:r="http://schemas.openxmlformats.org/officeDocument/2006/relationships" name="03_类别汇总" sheetId="4" r:id="Rfdffe8350d1b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b/>
      <x:sz val="10"/>
      <x:name val="Microsoft YaHei"/>
    </x:font>
    <x:font>
      <x:sz val="1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48ad380f34eb2" /><Relationship Type="http://schemas.openxmlformats.org/officeDocument/2006/relationships/theme" Target="/xl/theme/theme1.xml" Id="R3b1b34025afd4a76" /><Relationship Type="http://schemas.openxmlformats.org/officeDocument/2006/relationships/sharedStrings" Target="/xl/sharedStrings.xml" Id="Rc787a8ea880d40e7" /><Relationship Type="http://schemas.openxmlformats.org/officeDocument/2006/relationships/worksheet" Target="/xl/worksheets/sheet1.xml" Id="R697d4b1745604e60" /><Relationship Type="http://schemas.openxmlformats.org/officeDocument/2006/relationships/worksheet" Target="/xl/worksheets/sheet2.xml" Id="R1d1bd9b918434eab" /><Relationship Type="http://schemas.openxmlformats.org/officeDocument/2006/relationships/worksheet" Target="/xl/worksheets/sheet3.xml" Id="Rec822c04c9b0426e" /><Relationship Type="http://schemas.openxmlformats.org/officeDocument/2006/relationships/worksheet" Target="/xl/worksheets/sheet4.xml" Id="Rfdffe8350d1b4b4a" /></Relationships>
</file>

<file path=xl/tables/table1.xml><?xml version="1.0" encoding="utf-8"?>
<x:table xmlns:x="http://schemas.openxmlformats.org/spreadsheetml/2006/main" id="1" name="PriorityReview18Table" displayName="PriorityReview18Table" ref="A1:X19" headerRowCount="1" totalsRowCount="0" totalsRowShown="0">
  <x:tableColumns count="24">
    <x:tableColumn id="1" name="序号"/>
    <x:tableColumn id="2" name="类别"/>
    <x:tableColumn id="3" name="Question ID"/>
    <x:tableColumn id="4" name="项目ID"/>
    <x:tableColumn id="5" name="项目名称"/>
    <x:tableColumn id="6" name="主要审核内容"/>
    <x:tableColumn id="7" name="Codex当前状态"/>
    <x:tableColumn id="8" name="Codex建议候选结论"/>
    <x:tableColumn id="9" name="问题标签"/>
    <x:tableColumn id="10" name="Codex复核说明"/>
    <x:tableColumn id="11" name="报告文件"/>
    <x:tableColumn id="12" name="报告已交付"/>
    <x:tableColumn id="13" name="审核优先级"/>
    <x:tableColumn id="14" name="人工审核状态"/>
    <x:tableColumn id="15" name="人工最终判断"/>
    <x:tableColumn id="16" name="审核人1"/>
    <x:tableColumn id="17" name="审核日期1"/>
    <x:tableColumn id="18" name="审核人2"/>
    <x:tableColumn id="19" name="审核日期2"/>
    <x:tableColumn id="20" name="裁决人"/>
    <x:tableColumn id="21" name="裁决备注"/>
    <x:tableColumn id="22" name="依据核验状态"/>
    <x:tableColumn id="23" name="分类确认状态"/>
    <x:tableColumn id="24" name="是否冻结金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iveredReportsTable" displayName="DeliveredReportsTable" ref="A1:H12" headerRowCount="1" totalsRowCount="0" totalsRowShown="0">
  <x:tableColumns count="8">
    <x:tableColumn id="1" name="序号"/>
    <x:tableColumn id="2" name="项目ID"/>
    <x:tableColumn id="3" name="项目名称"/>
    <x:tableColumn id="4" name="交付报告文件"/>
    <x:tableColumn id="5" name="文件类型"/>
    <x:tableColumn id="6" name="文件大小(MB)"/>
    <x:tableColumn id="7" name="来源类别"/>
    <x:tableColumn id="8" name="对应问答数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SummaryTable" displayName="CategorySummaryTable" ref="A1:C6" headerRowCount="1" totalsRowCount="0" totalsRowShown="0">
  <x:tableColumns count="3">
    <x:tableColumn id="1" name="类别"/>
    <x:tableColumn id="2" name="问答数量"/>
    <x:tableColumn id="3" name="涉及项目数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56f44147fb4a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b0ed037ab34f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939fc88de344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30" customHeight="1">
      <x:c r="A1" s="4" t="str">
        <x:v>18题优先人工审核工作簿</x:v>
      </x:c>
      <x:c r="B1" s="4" t="str"/>
    </x:row>
    <x:row r="3">
      <x:c r="A3" s="15" t="str">
        <x:v>项目</x:v>
      </x:c>
      <x:c r="B3" s="15" t="str">
        <x:v>说明</x:v>
      </x:c>
    </x:row>
    <x:row r="4">
      <x:c r="A4" s="16" t="str">
        <x:v>任务定位</x:v>
      </x:c>
      <x:c r="B4" s="17" t="str">
        <x:v>用于形成18道最小趋势实验的人工作为冻结金标候选；Codex意见不是人工终值。</x:v>
      </x:c>
    </x:row>
    <x:row r="5">
      <x:c r="A5" s="16" t="str">
        <x:v>问答对数量</x:v>
      </x:c>
      <x:c r="B5" s="17" t="n">
        <x:v>18</x:v>
      </x:c>
    </x:row>
    <x:row r="6">
      <x:c r="A6" s="16" t="str">
        <x:v>涉及项目数量</x:v>
      </x:c>
      <x:c r="B6" s="17" t="n">
        <x:v>11</x:v>
      </x:c>
    </x:row>
    <x:row r="7">
      <x:c r="A7" s="16" t="str">
        <x:v>报告文件数量</x:v>
      </x:c>
      <x:c r="B7" s="17" t="n">
        <x:v>11</x:v>
      </x:c>
    </x:row>
    <x:row r="8">
      <x:c r="A8" s="16" t="str">
        <x:v>审核要求</x:v>
      </x:c>
      <x:c r="B8" s="17" t="str">
        <x:v>建议双人独立复核；结论冲突时由裁决人处理。</x:v>
      </x:c>
    </x:row>
    <x:row r="9">
      <x:c r="A9" s="16" t="str">
        <x:v>冻结条件</x:v>
      </x:c>
      <x:c r="B9" s="17" t="str">
        <x:v>人工最终判断、两名审核人、审核日期、依据核验和分类确认均完成后再冻结。</x:v>
      </x:c>
    </x:row>
    <x:row r="10">
      <x:c r="A10" s="18" t="str">
        <x:v>报告来源提示</x:v>
      </x:c>
      <x:c r="B10" s="19" t="str">
        <x:v>PL006、PL007、PL008来自完整问答顺序目录；其余来自塑胶行业报告文件目录。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27" hidden="0" customWidth="1"/>
    <x:col min="4" max="4" width="10" hidden="0" customWidth="1"/>
    <x:col min="5" max="5" width="32" hidden="0" customWidth="1"/>
    <x:col min="6" max="6" width="45" hidden="0" customWidth="1"/>
    <x:col min="7" max="7" width="22" hidden="0" customWidth="1"/>
    <x:col min="8" max="8" width="22" hidden="0" customWidth="1"/>
    <x:col min="9" max="9" width="31" hidden="0" customWidth="1"/>
    <x:col min="10" max="10" width="50" hidden="0" customWidth="1"/>
    <x:col min="11" max="11" width="52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32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>
      <x:c r="A1" s="8" t="str">
        <x:v>序号</x:v>
      </x:c>
      <x:c r="B1" s="8" t="str">
        <x:v>类别</x:v>
      </x:c>
      <x:c r="C1" s="8" t="str">
        <x:v>Question ID</x:v>
      </x:c>
      <x:c r="D1" s="8" t="str">
        <x:v>项目ID</x:v>
      </x:c>
      <x:c r="E1" s="8" t="str">
        <x:v>项目名称</x:v>
      </x:c>
      <x:c r="F1" s="8" t="str">
        <x:v>主要审核内容</x:v>
      </x:c>
      <x:c r="G1" s="8" t="str">
        <x:v>Codex当前状态</x:v>
      </x:c>
      <x:c r="H1" s="8" t="str">
        <x:v>Codex建议候选结论</x:v>
      </x:c>
      <x:c r="I1" s="8" t="str">
        <x:v>问题标签</x:v>
      </x:c>
      <x:c r="J1" s="8" t="str">
        <x:v>Codex复核说明</x:v>
      </x:c>
      <x:c r="K1" s="8" t="str">
        <x:v>报告文件</x:v>
      </x:c>
      <x:c r="L1" s="8" t="str">
        <x:v>报告已交付</x:v>
      </x:c>
      <x:c r="M1" s="8" t="str">
        <x:v>审核优先级</x:v>
      </x:c>
      <x:c r="N1" s="8" t="str">
        <x:v>人工审核状态</x:v>
      </x:c>
      <x:c r="O1" s="8" t="str">
        <x:v>人工最终判断</x:v>
      </x:c>
      <x:c r="P1" s="8" t="str">
        <x:v>审核人1</x:v>
      </x:c>
      <x:c r="Q1" s="8" t="str">
        <x:v>审核日期1</x:v>
      </x:c>
      <x:c r="R1" s="8" t="str">
        <x:v>审核人2</x:v>
      </x:c>
      <x:c r="S1" s="8" t="str">
        <x:v>审核日期2</x:v>
      </x:c>
      <x:c r="T1" s="8" t="str">
        <x:v>裁决人</x:v>
      </x:c>
      <x:c r="U1" s="8" t="str">
        <x:v>裁决备注</x:v>
      </x:c>
      <x:c r="V1" s="8" t="str">
        <x:v>依据核验状态</x:v>
      </x:c>
      <x:c r="W1" s="8" t="str">
        <x:v>分类确认状态</x:v>
      </x:c>
      <x:c r="X1" s="8" t="str">
        <x:v>是否冻结金标</x:v>
      </x:c>
    </x:row>
    <x:row r="2" ht="78" customHeight="1">
      <x:c r="A2" s="21" t="n">
        <x:v>1</x:v>
      </x:c>
      <x:c r="B2" s="21" t="str">
        <x:v>环评投资概算</x:v>
      </x:c>
      <x:c r="C2" s="21" t="str">
        <x:v>PL003_V01_Q03</x:v>
      </x:c>
      <x:c r="D2" s="21" t="str">
        <x:v>PL003</x:v>
      </x:c>
      <x:c r="E2" s="21" t="str">
        <x:v>佛山市顺德区康明新材料厂新建项目</x:v>
      </x:c>
      <x:c r="F2" s="22" t="str">
        <x:v>投资金额、环保投资分项合计和占比复算</x:v>
      </x:c>
      <x:c r="G2" s="23" t="str">
        <x:v>通过候选</x:v>
      </x:c>
      <x:c r="H2" s="23" t="str">
        <x:v>无误</x:v>
      </x:c>
      <x:c r="I2" s="23" t="str"/>
      <x:c r="J2" s="23" t="str">
        <x:v>总投资、环保投资、填报占比和分项合计均由证据包支持，并完成独立复算。</x:v>
      </x:c>
      <x:c r="K2" s="23" t="str">
        <x:v>PL003_佛山市顺德区康明新材料厂新建项目_01_核查材料.docx</x:v>
      </x:c>
      <x:c r="L2" s="24" t="str">
        <x:v>是</x:v>
      </x:c>
      <x:c r="M2" s="24" t="str">
        <x:v>P2</x:v>
      </x:c>
      <x:c r="N2" s="25" t="str">
        <x:v>待审核</x:v>
      </x:c>
      <x:c r="O2" s="25" t="str"/>
      <x:c r="P2" s="25" t="str"/>
      <x:c r="Q2" s="25" t="str"/>
      <x:c r="R2" s="25" t="str"/>
      <x:c r="S2" s="25" t="str"/>
      <x:c r="T2" s="25" t="str"/>
      <x:c r="U2" s="26" t="str"/>
      <x:c r="V2" s="25" t="str">
        <x:v>待核验</x:v>
      </x:c>
      <x:c r="W2" s="25" t="str">
        <x:v>待确认</x:v>
      </x:c>
      <x:c r="X2" s="25" t="str">
        <x:v>否</x:v>
      </x:c>
    </x:row>
    <x:row r="3" ht="78" customHeight="1">
      <x:c r="A3" s="21" t="n">
        <x:v>2</x:v>
      </x:c>
      <x:c r="B3" s="21" t="str">
        <x:v>环评投资概算</x:v>
      </x:c>
      <x:c r="C3" s="21" t="str">
        <x:v>PL019_V01_Q03</x:v>
      </x:c>
      <x:c r="D3" s="21" t="str">
        <x:v>PL019</x:v>
      </x:c>
      <x:c r="E3" s="21" t="str">
        <x:v>佛山市智龙科技有限公司迁扩建项目</x:v>
      </x:c>
      <x:c r="F3" s="22" t="str">
        <x:v>投资金额、环保投资分项合计和占比复算</x:v>
      </x:c>
      <x:c r="G3" s="23" t="str">
        <x:v>通过候选</x:v>
      </x:c>
      <x:c r="H3" s="23" t="str">
        <x:v>无误</x:v>
      </x:c>
      <x:c r="I3" s="23" t="str"/>
      <x:c r="J3" s="23" t="str">
        <x:v>总投资、环保投资、填报占比和分项合计均由证据包支持，并完成独立复算。</x:v>
      </x:c>
      <x:c r="K3" s="23" t="str">
        <x:v>PL019_佛山市智龙科技有限公司迁扩建项目_01_受理公告或公示版.pdf</x:v>
      </x:c>
      <x:c r="L3" s="24" t="str">
        <x:v>是</x:v>
      </x:c>
      <x:c r="M3" s="24" t="str">
        <x:v>P2</x:v>
      </x:c>
      <x:c r="N3" s="25" t="str">
        <x:v>待审核</x:v>
      </x:c>
      <x:c r="O3" s="25" t="str"/>
      <x:c r="P3" s="25" t="str"/>
      <x:c r="Q3" s="25" t="str"/>
      <x:c r="R3" s="25" t="str"/>
      <x:c r="S3" s="25" t="str"/>
      <x:c r="T3" s="25" t="str"/>
      <x:c r="U3" s="26" t="str"/>
      <x:c r="V3" s="25" t="str">
        <x:v>待核验</x:v>
      </x:c>
      <x:c r="W3" s="25" t="str">
        <x:v>待确认</x:v>
      </x:c>
      <x:c r="X3" s="25" t="str">
        <x:v>否</x:v>
      </x:c>
    </x:row>
    <x:row r="4" ht="78" customHeight="1">
      <x:c r="A4" s="21" t="n">
        <x:v>3</x:v>
      </x:c>
      <x:c r="B4" s="21" t="str">
        <x:v>环评投资概算</x:v>
      </x:c>
      <x:c r="C4" s="21" t="str">
        <x:v>PL023_V01_Q03</x:v>
      </x:c>
      <x:c r="D4" s="21" t="str">
        <x:v>PL023</x:v>
      </x:c>
      <x:c r="E4" s="21" t="str">
        <x:v>佛山市通能达科技有限公司新建项目</x:v>
      </x:c>
      <x:c r="F4" s="22" t="str">
        <x:v>投资金额、环保投资分项合计和占比复算</x:v>
      </x:c>
      <x:c r="G4" s="23" t="str">
        <x:v>通过候选</x:v>
      </x:c>
      <x:c r="H4" s="23" t="str">
        <x:v>无误</x:v>
      </x:c>
      <x:c r="I4" s="23" t="str"/>
      <x:c r="J4" s="23" t="str">
        <x:v>总投资、环保投资、填报占比和分项合计均由证据包支持，并完成独立复算。</x:v>
      </x:c>
      <x:c r="K4" s="23" t="str">
        <x:v>PL023_佛山市通能达科技有限公司新建项目_01_受理公告或公示版.pdf</x:v>
      </x:c>
      <x:c r="L4" s="24" t="str">
        <x:v>是</x:v>
      </x:c>
      <x:c r="M4" s="24" t="str">
        <x:v>P2</x:v>
      </x:c>
      <x:c r="N4" s="25" t="str">
        <x:v>待审核</x:v>
      </x:c>
      <x:c r="O4" s="25" t="str"/>
      <x:c r="P4" s="25" t="str"/>
      <x:c r="Q4" s="25" t="str"/>
      <x:c r="R4" s="25" t="str"/>
      <x:c r="S4" s="25" t="str"/>
      <x:c r="T4" s="25" t="str"/>
      <x:c r="U4" s="26" t="str"/>
      <x:c r="V4" s="25" t="str">
        <x:v>待核验</x:v>
      </x:c>
      <x:c r="W4" s="25" t="str">
        <x:v>待确认</x:v>
      </x:c>
      <x:c r="X4" s="25" t="str">
        <x:v>否</x:v>
      </x:c>
    </x:row>
    <x:row r="5" ht="78" customHeight="1">
      <x:c r="A5" s="21" t="n">
        <x:v>4</x:v>
      </x:c>
      <x:c r="B5" s="21" t="str">
        <x:v>环评投资概算</x:v>
      </x:c>
      <x:c r="C5" s="21" t="str">
        <x:v>PL031_V01_Q03</x:v>
      </x:c>
      <x:c r="D5" s="21" t="str">
        <x:v>PL031</x:v>
      </x:c>
      <x:c r="E5" s="21" t="str">
        <x:v>佛山市浩创时代包装制品有限公司新建项目</x:v>
      </x:c>
      <x:c r="F5" s="22" t="str">
        <x:v>投资金额、环保投资分项合计和占比复算</x:v>
      </x:c>
      <x:c r="G5" s="23" t="str">
        <x:v>通过候选</x:v>
      </x:c>
      <x:c r="H5" s="23" t="str">
        <x:v>无误</x:v>
      </x:c>
      <x:c r="I5" s="23" t="str"/>
      <x:c r="J5" s="23" t="str">
        <x:v>总投资、环保投资、填报占比和分项合计均由证据包支持，并完成独立复算。</x:v>
      </x:c>
      <x:c r="K5" s="23" t="str">
        <x:v>PL031_佛山市浩创时代包装制品有限公司新建项目_01_受理公告或公示版.pdf</x:v>
      </x:c>
      <x:c r="L5" s="24" t="str">
        <x:v>是</x:v>
      </x:c>
      <x:c r="M5" s="24" t="str">
        <x:v>P2</x:v>
      </x:c>
      <x:c r="N5" s="25" t="str">
        <x:v>待审核</x:v>
      </x:c>
      <x:c r="O5" s="25" t="str"/>
      <x:c r="P5" s="25" t="str"/>
      <x:c r="Q5" s="25" t="str"/>
      <x:c r="R5" s="25" t="str"/>
      <x:c r="S5" s="25" t="str"/>
      <x:c r="T5" s="25" t="str"/>
      <x:c r="U5" s="26" t="str"/>
      <x:c r="V5" s="25" t="str">
        <x:v>待核验</x:v>
      </x:c>
      <x:c r="W5" s="25" t="str">
        <x:v>待确认</x:v>
      </x:c>
      <x:c r="X5" s="25" t="str">
        <x:v>否</x:v>
      </x:c>
    </x:row>
    <x:row r="6" ht="78" customHeight="1">
      <x:c r="A6" s="21" t="n">
        <x:v>5</x:v>
      </x:c>
      <x:c r="B6" s="21" t="str">
        <x:v>噪声排放标准</x:v>
      </x:c>
      <x:c r="C6" s="21" t="str">
        <x:v>PL004_Emission_噪声</x:v>
      </x:c>
      <x:c r="D6" s="21" t="str">
        <x:v>PL004</x:v>
      </x:c>
      <x:c r="E6" s="21" t="str">
        <x:v>恒励新材料科技(佛山)有限公司新建项目</x:v>
      </x:c>
      <x:c r="F6" s="22" t="str">
        <x:v>声功能区类别、厂界标准及昼夜限值</x:v>
      </x:c>
      <x:c r="G6" s="23" t="str">
        <x:v>通过候选</x:v>
      </x:c>
      <x:c r="H6" s="23" t="str">
        <x:v>无误</x:v>
      </x:c>
      <x:c r="I6" s="23" t="str"/>
      <x:c r="J6" s="23" t="str">
        <x:v>证据包同时给出佛山市声环境功能区划、项目片区、3类厂界标准及65/55 dB(A)限值。</x:v>
      </x:c>
      <x:c r="K6" s="23" t="str">
        <x:v>PL004_恒励新材料科技(佛山)有限公司新建项目_01_核查材料.docx</x:v>
      </x:c>
      <x:c r="L6" s="24" t="str">
        <x:v>是</x:v>
      </x:c>
      <x:c r="M6" s="24" t="str">
        <x:v>P2</x:v>
      </x:c>
      <x:c r="N6" s="25" t="str">
        <x:v>待审核</x:v>
      </x:c>
      <x:c r="O6" s="25" t="str"/>
      <x:c r="P6" s="25" t="str"/>
      <x:c r="Q6" s="25" t="str"/>
      <x:c r="R6" s="25" t="str"/>
      <x:c r="S6" s="25" t="str"/>
      <x:c r="T6" s="25" t="str"/>
      <x:c r="U6" s="26" t="str"/>
      <x:c r="V6" s="25" t="str">
        <x:v>待核验</x:v>
      </x:c>
      <x:c r="W6" s="25" t="str">
        <x:v>待确认</x:v>
      </x:c>
      <x:c r="X6" s="25" t="str">
        <x:v>否</x:v>
      </x:c>
    </x:row>
    <x:row r="7" ht="78" customHeight="1">
      <x:c r="A7" s="21" t="n">
        <x:v>6</x:v>
      </x:c>
      <x:c r="B7" s="21" t="str">
        <x:v>噪声排放标准</x:v>
      </x:c>
      <x:c r="C7" s="21" t="str">
        <x:v>PL002_Emission_噪声</x:v>
      </x:c>
      <x:c r="D7" s="21" t="str">
        <x:v>PL002</x:v>
      </x:c>
      <x:c r="E7" s="21" t="str">
        <x:v>佛山市顺德区启卓工程塑料实业有限公司搬迁项目</x:v>
      </x:c>
      <x:c r="F7" s="22" t="str">
        <x:v>声功能区类别、厂界标准及昼夜限值</x:v>
      </x:c>
      <x:c r="G7" s="23" t="str">
        <x:v>证据包不足</x:v>
      </x:c>
      <x:c r="H7" s="23" t="str">
        <x:v>证据不足</x:v>
      </x:c>
      <x:c r="I7" s="23" t="str">
        <x:v>missing_function_zone_evidence</x:v>
      </x:c>
      <x:c r="J7" s="23" t="str">
        <x:v>证据包主要复述报告采用的GB12348类别，未提供足以独立确认该类别的声功能区划依据；因此不能仅凭同一句报告表述确认“选取正确”。</x:v>
      </x:c>
      <x:c r="K7" s="23" t="str">
        <x:v>PL002_佛山市顺德区启卓工程塑料实业有限公司搬迁项目_01_核查材料.docx</x:v>
      </x:c>
      <x:c r="L7" s="24" t="str">
        <x:v>是</x:v>
      </x:c>
      <x:c r="M7" s="24" t="str">
        <x:v>P1</x:v>
      </x:c>
      <x:c r="N7" s="25" t="str">
        <x:v>待审核</x:v>
      </x:c>
      <x:c r="O7" s="25" t="str"/>
      <x:c r="P7" s="25" t="str"/>
      <x:c r="Q7" s="25" t="str"/>
      <x:c r="R7" s="25" t="str"/>
      <x:c r="S7" s="25" t="str"/>
      <x:c r="T7" s="25" t="str"/>
      <x:c r="U7" s="26" t="str"/>
      <x:c r="V7" s="25" t="str">
        <x:v>待核验</x:v>
      </x:c>
      <x:c r="W7" s="25" t="str">
        <x:v>待确认</x:v>
      </x:c>
      <x:c r="X7" s="25" t="str">
        <x:v>否</x:v>
      </x:c>
    </x:row>
    <x:row r="8" ht="78" customHeight="1">
      <x:c r="A8" s="21" t="n">
        <x:v>7</x:v>
      </x:c>
      <x:c r="B8" s="21" t="str">
        <x:v>噪声排放标准</x:v>
      </x:c>
      <x:c r="C8" s="21" t="str">
        <x:v>PL003_Emission_噪声</x:v>
      </x:c>
      <x:c r="D8" s="21" t="str">
        <x:v>PL003</x:v>
      </x:c>
      <x:c r="E8" s="21" t="str">
        <x:v>佛山市顺德区康明新材料厂新建项目</x:v>
      </x:c>
      <x:c r="F8" s="22" t="str">
        <x:v>声功能区类别、厂界标准及昼夜限值</x:v>
      </x:c>
      <x:c r="G8" s="23" t="str">
        <x:v>证据包不足</x:v>
      </x:c>
      <x:c r="H8" s="23" t="str">
        <x:v>证据不足</x:v>
      </x:c>
      <x:c r="I8" s="23" t="str">
        <x:v>missing_function_zone_evidence;missing_limit_evidence</x:v>
      </x:c>
      <x:c r="J8" s="23" t="str">
        <x:v>证据包主要复述报告采用的GB12348类别，未提供足以独立确认该类别的声功能区划依据；因此不能仅凭同一句报告表述确认“选取正确”。 昼夜限值也未在证据包中完整出现。</x:v>
      </x:c>
      <x:c r="K8" s="23" t="str">
        <x:v>PL003_佛山市顺德区康明新材料厂新建项目_01_核查材料.docx</x:v>
      </x:c>
      <x:c r="L8" s="24" t="str">
        <x:v>是</x:v>
      </x:c>
      <x:c r="M8" s="24" t="str">
        <x:v>P1</x:v>
      </x:c>
      <x:c r="N8" s="25" t="str">
        <x:v>待审核</x:v>
      </x:c>
      <x:c r="O8" s="25" t="str"/>
      <x:c r="P8" s="25" t="str"/>
      <x:c r="Q8" s="25" t="str"/>
      <x:c r="R8" s="25" t="str"/>
      <x:c r="S8" s="25" t="str"/>
      <x:c r="T8" s="25" t="str"/>
      <x:c r="U8" s="26" t="str"/>
      <x:c r="V8" s="25" t="str">
        <x:v>待核验</x:v>
      </x:c>
      <x:c r="W8" s="25" t="str">
        <x:v>待确认</x:v>
      </x:c>
      <x:c r="X8" s="25" t="str">
        <x:v>否</x:v>
      </x:c>
    </x:row>
    <x:row r="9" ht="78" customHeight="1">
      <x:c r="A9" s="21" t="n">
        <x:v>8</x:v>
      </x:c>
      <x:c r="B9" s="21" t="str">
        <x:v>水污染物排放标准</x:v>
      </x:c>
      <x:c r="C9" s="21" t="str">
        <x:v>PL002_Emission_水污</x:v>
      </x:c>
      <x:c r="D9" s="21" t="str">
        <x:v>PL002</x:v>
      </x:c>
      <x:c r="E9" s="21" t="str">
        <x:v>佛山市顺德区启卓工程塑料实业有限公司搬迁项目</x:v>
      </x:c>
      <x:c r="F9" s="22" t="str">
        <x:v>污水厂对应关系、企业排口/尾水标准、版本及证据外表述</x:v>
      </x:c>
      <x:c r="G9" s="23" t="str">
        <x:v>基本通过_需补外部依据</x:v>
      </x:c>
      <x:c r="H9" s="23" t="str">
        <x:v>需人工复核</x:v>
      </x:c>
      <x:c r="I9" s="23" t="str">
        <x:v>wwtp_mapping_unverified;basis_version_scope</x:v>
      </x:c>
      <x:c r="J9" s="23" t="str">
        <x:v>企业排口—污水处理厂—尾水标准的层次与证据包基本一致；但污水处理厂纳管范围、尾水受纳关系及GB18918现行修改单尚缺逐项目官方依据。</x:v>
      </x:c>
      <x:c r="K9" s="23" t="str">
        <x:v>PL002_佛山市顺德区启卓工程塑料实业有限公司搬迁项目_01_核查材料.docx</x:v>
      </x:c>
      <x:c r="L9" s="24" t="str">
        <x:v>是</x:v>
      </x:c>
      <x:c r="M9" s="24" t="str">
        <x:v>P2</x:v>
      </x:c>
      <x:c r="N9" s="25" t="str">
        <x:v>待审核</x:v>
      </x:c>
      <x:c r="O9" s="25" t="str"/>
      <x:c r="P9" s="25" t="str"/>
      <x:c r="Q9" s="25" t="str"/>
      <x:c r="R9" s="25" t="str"/>
      <x:c r="S9" s="25" t="str"/>
      <x:c r="T9" s="25" t="str"/>
      <x:c r="U9" s="26" t="str"/>
      <x:c r="V9" s="25" t="str">
        <x:v>待核验</x:v>
      </x:c>
      <x:c r="W9" s="25" t="str">
        <x:v>待确认</x:v>
      </x:c>
      <x:c r="X9" s="25" t="str">
        <x:v>否</x:v>
      </x:c>
    </x:row>
    <x:row r="10" ht="78" customHeight="1">
      <x:c r="A10" s="21" t="n">
        <x:v>9</x:v>
      </x:c>
      <x:c r="B10" s="21" t="str">
        <x:v>水污染物排放标准</x:v>
      </x:c>
      <x:c r="C10" s="21" t="str">
        <x:v>PL003_Emission_水污</x:v>
      </x:c>
      <x:c r="D10" s="21" t="str">
        <x:v>PL003</x:v>
      </x:c>
      <x:c r="E10" s="21" t="str">
        <x:v>佛山市顺德区康明新材料厂新建项目</x:v>
      </x:c>
      <x:c r="F10" s="22" t="str">
        <x:v>污水厂对应关系、企业排口/尾水标准、版本及证据外表述</x:v>
      </x:c>
      <x:c r="G10" s="23" t="str">
        <x:v>待人工复核</x:v>
      </x:c>
      <x:c r="H10" s="23" t="str">
        <x:v>需人工复核</x:v>
      </x:c>
      <x:c r="I10" s="23" t="str">
        <x:v>rural_treatment_facility_applicability;external_mapping_unverified</x:v>
      </x:c>
      <x:c r="J10" s="23" t="str">
        <x:v>农村生活污水处理站是否适用GB18918一级B及其现行尾水要求，不能仅由报告自述确定。</x:v>
      </x:c>
      <x:c r="K10" s="23" t="str">
        <x:v>PL003_佛山市顺德区康明新材料厂新建项目_01_核查材料.docx</x:v>
      </x:c>
      <x:c r="L10" s="24" t="str">
        <x:v>是</x:v>
      </x:c>
      <x:c r="M10" s="24" t="str">
        <x:v>P1</x:v>
      </x:c>
      <x:c r="N10" s="25" t="str">
        <x:v>待审核</x:v>
      </x:c>
      <x:c r="O10" s="25" t="str"/>
      <x:c r="P10" s="25" t="str"/>
      <x:c r="Q10" s="25" t="str"/>
      <x:c r="R10" s="25" t="str"/>
      <x:c r="S10" s="25" t="str"/>
      <x:c r="T10" s="25" t="str"/>
      <x:c r="U10" s="26" t="str"/>
      <x:c r="V10" s="25" t="str">
        <x:v>待核验</x:v>
      </x:c>
      <x:c r="W10" s="25" t="str">
        <x:v>待确认</x:v>
      </x:c>
      <x:c r="X10" s="25" t="str">
        <x:v>否</x:v>
      </x:c>
    </x:row>
    <x:row r="11" ht="78" customHeight="1">
      <x:c r="A11" s="21" t="n">
        <x:v>10</x:v>
      </x:c>
      <x:c r="B11" s="21" t="str">
        <x:v>水污染物排放标准</x:v>
      </x:c>
      <x:c r="C11" s="21" t="str">
        <x:v>PL004_Emission_水污</x:v>
      </x:c>
      <x:c r="D11" s="21" t="str">
        <x:v>PL004</x:v>
      </x:c>
      <x:c r="E11" s="21" t="str">
        <x:v>恒励新材料科技(佛山)有限公司新建项目</x:v>
      </x:c>
      <x:c r="F11" s="22" t="str">
        <x:v>污水厂对应关系、企业排口/尾水标准、版本及证据外表述</x:v>
      </x:c>
      <x:c r="G11" s="23" t="str">
        <x:v>基本通过_需补外部依据</x:v>
      </x:c>
      <x:c r="H11" s="23" t="str">
        <x:v>需人工复核</x:v>
      </x:c>
      <x:c r="I11" s="23" t="str">
        <x:v>wwtp_mapping_unverified;basis_version_scope;answer_adds_claim_outside_evidence</x:v>
      </x:c>
      <x:c r="J11" s="23" t="str">
        <x:v>企业排口—污水处理厂—尾水标准的层次与证据包基本一致；但污水处理厂纳管范围、尾水受纳关系及GB18918现行修改单尚缺逐项目官方依据。 答案还加入冷却水/回用处理判断，但当前证据字段未提供相应原文。</x:v>
      </x:c>
      <x:c r="K11" s="23" t="str">
        <x:v>PL004_恒励新材料科技(佛山)有限公司新建项目_01_核查材料.docx</x:v>
      </x:c>
      <x:c r="L11" s="24" t="str">
        <x:v>是</x:v>
      </x:c>
      <x:c r="M11" s="24" t="str">
        <x:v>P2</x:v>
      </x:c>
      <x:c r="N11" s="25" t="str">
        <x:v>待审核</x:v>
      </x:c>
      <x:c r="O11" s="25" t="str"/>
      <x:c r="P11" s="25" t="str"/>
      <x:c r="Q11" s="25" t="str"/>
      <x:c r="R11" s="25" t="str"/>
      <x:c r="S11" s="25" t="str"/>
      <x:c r="T11" s="25" t="str"/>
      <x:c r="U11" s="26" t="str"/>
      <x:c r="V11" s="25" t="str">
        <x:v>待核验</x:v>
      </x:c>
      <x:c r="W11" s="25" t="str">
        <x:v>待确认</x:v>
      </x:c>
      <x:c r="X11" s="25" t="str">
        <x:v>否</x:v>
      </x:c>
    </x:row>
    <x:row r="12" ht="78" customHeight="1">
      <x:c r="A12" s="21" t="n">
        <x:v>11</x:v>
      </x:c>
      <x:c r="B12" s="21" t="str">
        <x:v>水污染物排放标准</x:v>
      </x:c>
      <x:c r="C12" s="21" t="str">
        <x:v>PL008_Emission_水污</x:v>
      </x:c>
      <x:c r="D12" s="21" t="str">
        <x:v>PL008</x:v>
      </x:c>
      <x:c r="E12" s="21" t="str">
        <x:v>佛山市顺德区亚马逊涂料有限公司迁扩建项目</x:v>
      </x:c>
      <x:c r="F12" s="22" t="str">
        <x:v>污水厂对应关系、企业排口/尾水标准、版本及证据外表述</x:v>
      </x:c>
      <x:c r="G12" s="23" t="str">
        <x:v>基本通过_需补外部依据</x:v>
      </x:c>
      <x:c r="H12" s="23" t="str">
        <x:v>需人工复核</x:v>
      </x:c>
      <x:c r="I12" s="23" t="str">
        <x:v>wwtp_mapping_unverified;basis_version_scope;standard_name_or_number_typo</x:v>
      </x:c>
      <x:c r="J12" s="23" t="str">
        <x:v>企业排口—污水处理厂—尾水标准的层次与证据包基本一致；但污水处理厂纳管范围、尾水受纳关系及GB18918现行修改单尚缺逐项目官方依据。 报告标准名称或编号存在可辨识的书写瑕疵，答案已指出但仍需修订报告。</x:v>
      </x:c>
      <x:c r="K12" s="23" t="str">
        <x:v>PL008_佛山市顺德区亚马逊涂料有限公司迁扩建项目_01_修改评估意见.docx</x:v>
      </x:c>
      <x:c r="L12" s="24" t="str">
        <x:v>是</x:v>
      </x:c>
      <x:c r="M12" s="24" t="str">
        <x:v>P2</x:v>
      </x:c>
      <x:c r="N12" s="25" t="str">
        <x:v>待审核</x:v>
      </x:c>
      <x:c r="O12" s="25" t="str"/>
      <x:c r="P12" s="25" t="str"/>
      <x:c r="Q12" s="25" t="str"/>
      <x:c r="R12" s="25" t="str"/>
      <x:c r="S12" s="25" t="str"/>
      <x:c r="T12" s="25" t="str"/>
      <x:c r="U12" s="26" t="str"/>
      <x:c r="V12" s="25" t="str">
        <x:v>待核验</x:v>
      </x:c>
      <x:c r="W12" s="25" t="str">
        <x:v>待确认</x:v>
      </x:c>
      <x:c r="X12" s="25" t="str">
        <x:v>否</x:v>
      </x:c>
    </x:row>
    <x:row r="13" ht="78" customHeight="1">
      <x:c r="A13" s="21" t="n">
        <x:v>12</x:v>
      </x:c>
      <x:c r="B13" s="21" t="str">
        <x:v>大气污染物排放标准</x:v>
      </x:c>
      <x:c r="C13" s="21" t="str">
        <x:v>PL002_Emission_大气</x:v>
      </x:c>
      <x:c r="D13" s="21" t="str">
        <x:v>PL002</x:v>
      </x:c>
      <x:c r="E13" s="21" t="str">
        <x:v>佛山市顺德区启卓工程塑料实业有限公司搬迁项目</x:v>
      </x:c>
      <x:c r="F13" s="22" t="str">
        <x:v>工序—污染物—排放形式—标准覆盖，排气筒高度及限值</x:v>
      </x:c>
      <x:c r="G13" s="23" t="str">
        <x:v>证据包不足</x:v>
      </x:c>
      <x:c r="H13" s="23" t="str">
        <x:v>证据不足</x:v>
      </x:c>
      <x:c r="I13" s="23" t="str">
        <x:v>pollution_source_coverage_not_evidenced</x:v>
      </x:c>
      <x:c r="J13" s="23" t="str">
        <x:v>证据仅给出挤出/抽检非甲烷总烃标准，不能支撑答案对粉尘、臭气和厂区内VOCs“全部覆盖”的结论。</x:v>
      </x:c>
      <x:c r="K13" s="23" t="str">
        <x:v>PL002_佛山市顺德区启卓工程塑料实业有限公司搬迁项目_01_核查材料.docx</x:v>
      </x:c>
      <x:c r="L13" s="24" t="str">
        <x:v>是</x:v>
      </x:c>
      <x:c r="M13" s="24" t="str">
        <x:v>P1</x:v>
      </x:c>
      <x:c r="N13" s="25" t="str">
        <x:v>待审核</x:v>
      </x:c>
      <x:c r="O13" s="25" t="str"/>
      <x:c r="P13" s="25" t="str"/>
      <x:c r="Q13" s="25" t="str"/>
      <x:c r="R13" s="25" t="str"/>
      <x:c r="S13" s="25" t="str"/>
      <x:c r="T13" s="25" t="str"/>
      <x:c r="U13" s="26" t="str"/>
      <x:c r="V13" s="25" t="str">
        <x:v>待核验</x:v>
      </x:c>
      <x:c r="W13" s="25" t="str">
        <x:v>待确认</x:v>
      </x:c>
      <x:c r="X13" s="25" t="str">
        <x:v>否</x:v>
      </x:c>
    </x:row>
    <x:row r="14" ht="78" customHeight="1">
      <x:c r="A14" s="21" t="n">
        <x:v>13</x:v>
      </x:c>
      <x:c r="B14" s="21" t="str">
        <x:v>大气污染物排放标准</x:v>
      </x:c>
      <x:c r="C14" s="21" t="str">
        <x:v>PL008_Emission_大气</x:v>
      </x:c>
      <x:c r="D14" s="21" t="str">
        <x:v>PL008</x:v>
      </x:c>
      <x:c r="E14" s="21" t="str">
        <x:v>佛山市顺德区亚马逊涂料有限公司迁扩建项目</x:v>
      </x:c>
      <x:c r="F14" s="22" t="str">
        <x:v>工序—污染物—排放形式—标准覆盖，排气筒高度及限值</x:v>
      </x:c>
      <x:c r="G14" s="23" t="str">
        <x:v>基本通过_需补外部依据</x:v>
      </x:c>
      <x:c r="H14" s="23" t="str">
        <x:v>需人工复核</x:v>
      </x:c>
      <x:c r="I14" s="23" t="str">
        <x:v>some_external_limits_not_officially_linked</x:v>
      </x:c>
      <x:c r="J14" s="23" t="str">
        <x:v>工序—污染物—排放形式—标准的对应关系与证据包基本一致；但部分DB44/27限值、行业标准表格或项目污染源完整性仍需正式文本/完整工程分析闭环。</x:v>
      </x:c>
      <x:c r="K14" s="23" t="str">
        <x:v>PL008_佛山市顺德区亚马逊涂料有限公司迁扩建项目_01_修改评估意见.docx</x:v>
      </x:c>
      <x:c r="L14" s="24" t="str">
        <x:v>是</x:v>
      </x:c>
      <x:c r="M14" s="24" t="str">
        <x:v>P2</x:v>
      </x:c>
      <x:c r="N14" s="25" t="str">
        <x:v>待审核</x:v>
      </x:c>
      <x:c r="O14" s="25" t="str"/>
      <x:c r="P14" s="25" t="str"/>
      <x:c r="Q14" s="25" t="str"/>
      <x:c r="R14" s="25" t="str"/>
      <x:c r="S14" s="25" t="str"/>
      <x:c r="T14" s="25" t="str"/>
      <x:c r="U14" s="26" t="str"/>
      <x:c r="V14" s="25" t="str">
        <x:v>待核验</x:v>
      </x:c>
      <x:c r="W14" s="25" t="str">
        <x:v>待确认</x:v>
      </x:c>
      <x:c r="X14" s="25" t="str">
        <x:v>否</x:v>
      </x:c>
    </x:row>
    <x:row r="15" ht="78" customHeight="1">
      <x:c r="A15" s="21" t="n">
        <x:v>14</x:v>
      </x:c>
      <x:c r="B15" s="21" t="str">
        <x:v>大气污染物排放标准</x:v>
      </x:c>
      <x:c r="C15" s="21" t="str">
        <x:v>PL028_Emission_大气</x:v>
      </x:c>
      <x:c r="D15" s="21" t="str">
        <x:v>PL028</x:v>
      </x:c>
      <x:c r="E15" s="21" t="str">
        <x:v>佛山市顺德区振峰塑料模具制造有限公司分车间新建项目</x:v>
      </x:c>
      <x:c r="F15" s="22" t="str">
        <x:v>工序—污染物—排放形式—标准覆盖，排气筒高度及限值</x:v>
      </x:c>
      <x:c r="G15" s="23" t="str">
        <x:v>证据包不足</x:v>
      </x:c>
      <x:c r="H15" s="23" t="str">
        <x:v>证据不足</x:v>
      </x:c>
      <x:c r="I15" s="23" t="str">
        <x:v>answer_adds_pollutants_limits_and_stack_height</x:v>
      </x:c>
      <x:c r="J15" s="23" t="str">
        <x:v>答案加入特征污染物、具体限值和24m排气筒折算等关键信息，但当前证据字段未完整提供这些事实。</x:v>
      </x:c>
      <x:c r="K15" s="23" t="str">
        <x:v>PL028_佛山市顺德区振峰塑料模具制造有限公司分车间新建项目_01_受理公告或公示版.pdf</x:v>
      </x:c>
      <x:c r="L15" s="24" t="str">
        <x:v>是</x:v>
      </x:c>
      <x:c r="M15" s="24" t="str">
        <x:v>P1</x:v>
      </x:c>
      <x:c r="N15" s="25" t="str">
        <x:v>待审核</x:v>
      </x:c>
      <x:c r="O15" s="25" t="str"/>
      <x:c r="P15" s="25" t="str"/>
      <x:c r="Q15" s="25" t="str"/>
      <x:c r="R15" s="25" t="str"/>
      <x:c r="S15" s="25" t="str"/>
      <x:c r="T15" s="25" t="str"/>
      <x:c r="U15" s="26" t="str"/>
      <x:c r="V15" s="25" t="str">
        <x:v>待核验</x:v>
      </x:c>
      <x:c r="W15" s="25" t="str">
        <x:v>待确认</x:v>
      </x:c>
      <x:c r="X15" s="25" t="str">
        <x:v>否</x:v>
      </x:c>
    </x:row>
    <x:row r="16" ht="78" customHeight="1">
      <x:c r="A16" s="21" t="n">
        <x:v>15</x:v>
      </x:c>
      <x:c r="B16" s="21" t="str">
        <x:v>固体废物控制标准</x:v>
      </x:c>
      <x:c r="C16" s="21" t="str">
        <x:v>PL001_Emission_固体</x:v>
      </x:c>
      <x:c r="D16" s="21" t="str">
        <x:v>PL001</x:v>
      </x:c>
      <x:c r="E16" s="21" t="str">
        <x:v>佛山市亮正新材料有限公司新建项目</x:v>
      </x:c>
      <x:c r="F16" s="22" t="str">
        <x:v>过期目录、旧标准、标准缺漏及标准适用范围</x:v>
      </x:c>
      <x:c r="G16" s="23" t="str">
        <x:v>存在错误</x:v>
      </x:c>
      <x:c r="H16" s="23" t="str">
        <x:v>存在错误</x:v>
      </x:c>
      <x:c r="I16" s="23" t="str">
        <x:v>obsolete_hazardous_waste_catalog_2021</x:v>
      </x:c>
      <x:c r="J16" s="23" t="str">
        <x:v>证据引用《国家危险废物名录（2021年版）》；2025年版自2025-01-01施行并同时废止2021年版。</x:v>
      </x:c>
      <x:c r="K16" s="23" t="str">
        <x:v>PL001_佛山市亮正新材料有限公司新建项目_01_核查材料.docx</x:v>
      </x:c>
      <x:c r="L16" s="24" t="str">
        <x:v>是</x:v>
      </x:c>
      <x:c r="M16" s="24" t="str">
        <x:v>P1</x:v>
      </x:c>
      <x:c r="N16" s="25" t="str">
        <x:v>待审核</x:v>
      </x:c>
      <x:c r="O16" s="25" t="str"/>
      <x:c r="P16" s="25" t="str"/>
      <x:c r="Q16" s="25" t="str"/>
      <x:c r="R16" s="25" t="str"/>
      <x:c r="S16" s="25" t="str"/>
      <x:c r="T16" s="25" t="str"/>
      <x:c r="U16" s="26" t="str"/>
      <x:c r="V16" s="25" t="str">
        <x:v>待核验</x:v>
      </x:c>
      <x:c r="W16" s="25" t="str">
        <x:v>待确认</x:v>
      </x:c>
      <x:c r="X16" s="25" t="str">
        <x:v>否</x:v>
      </x:c>
    </x:row>
    <x:row r="17" ht="78" customHeight="1">
      <x:c r="A17" s="21" t="n">
        <x:v>16</x:v>
      </x:c>
      <x:c r="B17" s="21" t="str">
        <x:v>固体废物控制标准</x:v>
      </x:c>
      <x:c r="C17" s="21" t="str">
        <x:v>PL006_Emission_固体</x:v>
      </x:c>
      <x:c r="D17" s="21" t="str">
        <x:v>PL006</x:v>
      </x:c>
      <x:c r="E17" s="21" t="str">
        <x:v>佛山市顺德区乐鲸科技有限公司年产五金拉手300万个新建项目</x:v>
      </x:c>
      <x:c r="F17" s="22" t="str">
        <x:v>过期目录、旧标准、标准缺漏及标准适用范围</x:v>
      </x:c>
      <x:c r="G17" s="23" t="str">
        <x:v>存在缺漏</x:v>
      </x:c>
      <x:c r="H17" s="23" t="str">
        <x:v>存在缺漏</x:v>
      </x:c>
      <x:c r="I17" s="23" t="str">
        <x:v>missing_solid_waste_standard</x:v>
      </x:c>
      <x:c r="J17" s="23" t="str">
        <x:v>证据明确未检出/未引用固废控制标准，或仅描述暂存处置措施；原答案却统一声称标准编制完整。</x:v>
      </x:c>
      <x:c r="K17" s="23" t="str">
        <x:v>PL006_佛山市顺德区乐鲸科技有限公司年产五金拉手300万个新建项目_01_修改评估意见.docx</x:v>
      </x:c>
      <x:c r="L17" s="24" t="str">
        <x:v>是</x:v>
      </x:c>
      <x:c r="M17" s="24" t="str">
        <x:v>P1</x:v>
      </x:c>
      <x:c r="N17" s="25" t="str">
        <x:v>待审核</x:v>
      </x:c>
      <x:c r="O17" s="25" t="str"/>
      <x:c r="P17" s="25" t="str"/>
      <x:c r="Q17" s="25" t="str"/>
      <x:c r="R17" s="25" t="str"/>
      <x:c r="S17" s="25" t="str"/>
      <x:c r="T17" s="25" t="str"/>
      <x:c r="U17" s="26" t="str"/>
      <x:c r="V17" s="25" t="str">
        <x:v>待核验</x:v>
      </x:c>
      <x:c r="W17" s="25" t="str">
        <x:v>待确认</x:v>
      </x:c>
      <x:c r="X17" s="25" t="str">
        <x:v>否</x:v>
      </x:c>
    </x:row>
    <x:row r="18" ht="78" customHeight="1">
      <x:c r="A18" s="21" t="n">
        <x:v>17</x:v>
      </x:c>
      <x:c r="B18" s="21" t="str">
        <x:v>固体废物控制标准</x:v>
      </x:c>
      <x:c r="C18" s="21" t="str">
        <x:v>PL007_Emission_固体</x:v>
      </x:c>
      <x:c r="D18" s="21" t="str">
        <x:v>PL007</x:v>
      </x:c>
      <x:c r="E18" s="21" t="str">
        <x:v>广东云晟新材料有限公司年产水性涂料2400吨新建项目</x:v>
      </x:c>
      <x:c r="F18" s="22" t="str">
        <x:v>过期目录、旧标准、标准缺漏及标准适用范围</x:v>
      </x:c>
      <x:c r="G18" s="23" t="str">
        <x:v>存在错误</x:v>
      </x:c>
      <x:c r="H18" s="23" t="str">
        <x:v>存在错误</x:v>
      </x:c>
      <x:c r="I18" s="23" t="str">
        <x:v>obsolete_GB18597_2001</x:v>
      </x:c>
      <x:c r="J18" s="23" t="str">
        <x:v>报告仍引用GB18597-2001及2013修改单；GB18597-2023自2023-07-01实施并替代旧版。</x:v>
      </x:c>
      <x:c r="K18" s="23" t="str">
        <x:v>PL007_广东云晟新材料有限公司年产水性涂料2400吨新建项目_01_修改评估意见.docx</x:v>
      </x:c>
      <x:c r="L18" s="24" t="str">
        <x:v>是</x:v>
      </x:c>
      <x:c r="M18" s="24" t="str">
        <x:v>P1</x:v>
      </x:c>
      <x:c r="N18" s="25" t="str">
        <x:v>待审核</x:v>
      </x:c>
      <x:c r="O18" s="25" t="str"/>
      <x:c r="P18" s="25" t="str"/>
      <x:c r="Q18" s="25" t="str"/>
      <x:c r="R18" s="25" t="str"/>
      <x:c r="S18" s="25" t="str"/>
      <x:c r="T18" s="25" t="str"/>
      <x:c r="U18" s="26" t="str"/>
      <x:c r="V18" s="25" t="str">
        <x:v>待核验</x:v>
      </x:c>
      <x:c r="W18" s="25" t="str">
        <x:v>待确认</x:v>
      </x:c>
      <x:c r="X18" s="25" t="str">
        <x:v>否</x:v>
      </x:c>
    </x:row>
    <x:row r="19" ht="78" customHeight="1">
      <x:c r="A19" s="21" t="n">
        <x:v>18</x:v>
      </x:c>
      <x:c r="B19" s="21" t="str">
        <x:v>固体废物控制标准</x:v>
      </x:c>
      <x:c r="C19" s="21" t="str">
        <x:v>PL008_Emission_固体</x:v>
      </x:c>
      <x:c r="D19" s="21" t="str">
        <x:v>PL008</x:v>
      </x:c>
      <x:c r="E19" s="21" t="str">
        <x:v>佛山市顺德区亚马逊涂料有限公司迁扩建项目</x:v>
      </x:c>
      <x:c r="F19" s="22" t="str">
        <x:v>过期目录、旧标准、标准缺漏及标准适用范围</x:v>
      </x:c>
      <x:c r="G19" s="23" t="str">
        <x:v>基本通过_需轻微修正</x:v>
      </x:c>
      <x:c r="H19" s="23" t="str">
        <x:v>需人工复核</x:v>
      </x:c>
      <x:c r="I19" s="23" t="str">
        <x:v>standard_title_or_scope_needs_correction</x:v>
      </x:c>
      <x:c r="J19" s="23" t="str">
        <x:v>危险废物与一般工业固废标准均有依据，但报告/答案对GB18599-2020名称或适用范围表述需按正式文本修订。</x:v>
      </x:c>
      <x:c r="K19" s="23" t="str">
        <x:v>PL008_佛山市顺德区亚马逊涂料有限公司迁扩建项目_01_修改评估意见.docx</x:v>
      </x:c>
      <x:c r="L19" s="24" t="str">
        <x:v>是</x:v>
      </x:c>
      <x:c r="M19" s="24" t="str">
        <x:v>P2</x:v>
      </x:c>
      <x:c r="N19" s="25" t="str">
        <x:v>待审核</x:v>
      </x:c>
      <x:c r="O19" s="25" t="str"/>
      <x:c r="P19" s="25" t="str"/>
      <x:c r="Q19" s="25" t="str"/>
      <x:c r="R19" s="25" t="str"/>
      <x:c r="S19" s="25" t="str"/>
      <x:c r="T19" s="25" t="str"/>
      <x:c r="U19" s="26" t="str"/>
      <x:c r="V19" s="25" t="str">
        <x:v>待核验</x:v>
      </x:c>
      <x:c r="W19" s="25" t="str">
        <x:v>待确认</x:v>
      </x:c>
      <x:c r="X19" s="25" t="str">
        <x:v>否</x:v>
      </x:c>
    </x:row>
  </x:sheetData>
  <x:conditionalFormatting sqref="G2:G19">
    <x:cfRule type="containsText" dxfId="0" priority="1" operator="containsText" text="通过候选"/>
    <x:cfRule type="containsText" dxfId="1" priority="2" operator="containsText" text="存在错误"/>
    <x:cfRule type="containsText" dxfId="2" priority="3" operator="containsText" text="存在缺漏"/>
    <x:cfRule type="containsText" dxfId="3" priority="4" operator="containsText" text="证据包不足"/>
  </x:conditionalFormatting>
  <x:conditionalFormatting sqref="M2:M19">
    <x:cfRule type="cellIs" dxfId="4" priority="5" operator="equal">
      <x:formula>"P1"</x:formula>
    </x:cfRule>
  </x:conditionalFormatting>
  <x:dataValidations count="5">
    <x:dataValidation type="list" sqref="N2:N19">
      <x:formula1>"待审核,审核中,双人复核完成,待裁决,已裁决"</x:formula1>
    </x:dataValidation>
    <x:dataValidation type="list" sqref="O2:O19">
      <x:formula1>"无误,存在错误,存在缺漏,证据不足,需人工复核"</x:formula1>
    </x:dataValidation>
    <x:dataValidation type="list" sqref="V2:V19">
      <x:formula1>"待核验,已核验,不需要外部依据,核验失败"</x:formula1>
    </x:dataValidation>
    <x:dataValidation type="list" sqref="W2:W19">
      <x:formula1>"待确认,人工确认,人工覆盖"</x:formula1>
    </x:dataValidation>
    <x:dataValidation type="list" sqref="X2:X19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56f44147fb4a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38" hidden="0" customWidth="1"/>
    <x:col min="4" max="4" width="68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</x:cols>
  <x:sheetData>
    <x:row r="1">
      <x:c r="A1" s="8" t="str">
        <x:v>序号</x:v>
      </x:c>
      <x:c r="B1" s="8" t="str">
        <x:v>项目ID</x:v>
      </x:c>
      <x:c r="C1" s="8" t="str">
        <x:v>项目名称</x:v>
      </x:c>
      <x:c r="D1" s="8" t="str">
        <x:v>交付报告文件</x:v>
      </x:c>
      <x:c r="E1" s="8" t="str">
        <x:v>文件类型</x:v>
      </x:c>
      <x:c r="F1" s="8" t="str">
        <x:v>文件大小(MB)</x:v>
      </x:c>
      <x:c r="G1" s="8" t="str">
        <x:v>来源类别</x:v>
      </x:c>
      <x:c r="H1" s="8" t="str">
        <x:v>对应问答数量</x:v>
      </x:c>
    </x:row>
    <x:row r="2" ht="36" customHeight="1">
      <x:c r="A2" s="20" t="n">
        <x:v>1</x:v>
      </x:c>
      <x:c r="B2" s="20" t="str">
        <x:v>PL001</x:v>
      </x:c>
      <x:c r="C2" s="14" t="str">
        <x:v>佛山市亮正新材料有限公司新建项目</x:v>
      </x:c>
      <x:c r="D2" s="14" t="str">
        <x:v>PL001_佛山市亮正新材料有限公司新建项目_01_核查材料.docx</x:v>
      </x:c>
      <x:c r="E2" s="14" t="str">
        <x:v>DOCX</x:v>
      </x:c>
      <x:c r="F2" s="28" t="n">
        <x:v>25.377954483032227</x:v>
      </x:c>
      <x:c r="G2" s="14" t="str">
        <x:v>塑胶行业报告文件目录</x:v>
      </x:c>
      <x:c r="H2" s="20" t="n">
        <x:f>COUNTIF('01_18题审核清单'!$D$2:$D$19,B2)</x:f>
        <x:v>1</x:v>
      </x:c>
    </x:row>
    <x:row r="3" ht="36" customHeight="1">
      <x:c r="A3" s="20" t="n">
        <x:v>2</x:v>
      </x:c>
      <x:c r="B3" s="20" t="str">
        <x:v>PL002</x:v>
      </x:c>
      <x:c r="C3" s="14" t="str">
        <x:v>佛山市顺德区启卓工程塑料实业有限公司搬迁项目</x:v>
      </x:c>
      <x:c r="D3" s="14" t="str">
        <x:v>PL002_佛山市顺德区启卓工程塑料实业有限公司搬迁项目_01_核查材料.docx</x:v>
      </x:c>
      <x:c r="E3" s="14" t="str">
        <x:v>DOCX</x:v>
      </x:c>
      <x:c r="F3" s="28" t="n">
        <x:v>20.176260948181152</x:v>
      </x:c>
      <x:c r="G3" s="14" t="str">
        <x:v>塑胶行业报告文件目录</x:v>
      </x:c>
      <x:c r="H3" s="20" t="n">
        <x:f>COUNTIF('01_18题审核清单'!$D$2:$D$19,B3)</x:f>
        <x:v>3</x:v>
      </x:c>
    </x:row>
    <x:row r="4" ht="36" customHeight="1">
      <x:c r="A4" s="20" t="n">
        <x:v>3</x:v>
      </x:c>
      <x:c r="B4" s="20" t="str">
        <x:v>PL003</x:v>
      </x:c>
      <x:c r="C4" s="14" t="str">
        <x:v>佛山市顺德区康明新材料厂新建项目</x:v>
      </x:c>
      <x:c r="D4" s="14" t="str">
        <x:v>PL003_佛山市顺德区康明新材料厂新建项目_01_核查材料.docx</x:v>
      </x:c>
      <x:c r="E4" s="14" t="str">
        <x:v>DOCX</x:v>
      </x:c>
      <x:c r="F4" s="28" t="n">
        <x:v>27.9291934967041</x:v>
      </x:c>
      <x:c r="G4" s="14" t="str">
        <x:v>塑胶行业报告文件目录</x:v>
      </x:c>
      <x:c r="H4" s="20" t="n">
        <x:f>COUNTIF('01_18题审核清单'!$D$2:$D$19,B4)</x:f>
        <x:v>3</x:v>
      </x:c>
    </x:row>
    <x:row r="5" ht="36" customHeight="1">
      <x:c r="A5" s="20" t="n">
        <x:v>4</x:v>
      </x:c>
      <x:c r="B5" s="20" t="str">
        <x:v>PL004</x:v>
      </x:c>
      <x:c r="C5" s="14" t="str">
        <x:v>恒励新材料科技(佛山)有限公司新建项目</x:v>
      </x:c>
      <x:c r="D5" s="14" t="str">
        <x:v>PL004_恒励新材料科技(佛山)有限公司新建项目_01_核查材料.docx</x:v>
      </x:c>
      <x:c r="E5" s="14" t="str">
        <x:v>DOCX</x:v>
      </x:c>
      <x:c r="F5" s="28" t="n">
        <x:v>12.493592262268066</x:v>
      </x:c>
      <x:c r="G5" s="14" t="str">
        <x:v>塑胶行业报告文件目录</x:v>
      </x:c>
      <x:c r="H5" s="20" t="n">
        <x:f>COUNTIF('01_18题审核清单'!$D$2:$D$19,B5)</x:f>
        <x:v>2</x:v>
      </x:c>
    </x:row>
    <x:row r="6" ht="36" customHeight="1">
      <x:c r="A6" s="20" t="n">
        <x:v>5</x:v>
      </x:c>
      <x:c r="B6" s="20" t="str">
        <x:v>PL006</x:v>
      </x:c>
      <x:c r="C6" s="14" t="str">
        <x:v>佛山市顺德区乐鲸科技有限公司年产五金拉手300万个新建项目</x:v>
      </x:c>
      <x:c r="D6" s="14" t="str">
        <x:v>PL006_佛山市顺德区乐鲸科技有限公司年产五金拉手300万个新建项目_01_修改评估意见.docx</x:v>
      </x:c>
      <x:c r="E6" s="14" t="str">
        <x:v>DOCX</x:v>
      </x:c>
      <x:c r="F6" s="28" t="n">
        <x:v>11.66226577758789</x:v>
      </x:c>
      <x:c r="G6" s="14" t="str">
        <x:v>完整问答顺序目录</x:v>
      </x:c>
      <x:c r="H6" s="20" t="n">
        <x:f>COUNTIF('01_18题审核清单'!$D$2:$D$19,B6)</x:f>
        <x:v>1</x:v>
      </x:c>
    </x:row>
    <x:row r="7" ht="36" customHeight="1">
      <x:c r="A7" s="20" t="n">
        <x:v>6</x:v>
      </x:c>
      <x:c r="B7" s="20" t="str">
        <x:v>PL007</x:v>
      </x:c>
      <x:c r="C7" s="14" t="str">
        <x:v>广东云晟新材料有限公司年产水性涂料2400吨新建项目</x:v>
      </x:c>
      <x:c r="D7" s="14" t="str">
        <x:v>PL007_广东云晟新材料有限公司年产水性涂料2400吨新建项目_01_修改评估意见.docx</x:v>
      </x:c>
      <x:c r="E7" s="14" t="str">
        <x:v>DOCX</x:v>
      </x:c>
      <x:c r="F7" s="28" t="n">
        <x:v>9.982789039611816</x:v>
      </x:c>
      <x:c r="G7" s="14" t="str">
        <x:v>完整问答顺序目录</x:v>
      </x:c>
      <x:c r="H7" s="20" t="n">
        <x:f>COUNTIF('01_18题审核清单'!$D$2:$D$19,B7)</x:f>
        <x:v>1</x:v>
      </x:c>
    </x:row>
    <x:row r="8" ht="36" customHeight="1">
      <x:c r="A8" s="20" t="n">
        <x:v>7</x:v>
      </x:c>
      <x:c r="B8" s="20" t="str">
        <x:v>PL008</x:v>
      </x:c>
      <x:c r="C8" s="14" t="str">
        <x:v>佛山市顺德区亚马逊涂料有限公司迁扩建项目</x:v>
      </x:c>
      <x:c r="D8" s="14" t="str">
        <x:v>PL008_佛山市顺德区亚马逊涂料有限公司迁扩建项目_01_修改评估意见.docx</x:v>
      </x:c>
      <x:c r="E8" s="14" t="str">
        <x:v>DOCX</x:v>
      </x:c>
      <x:c r="F8" s="28" t="n">
        <x:v>23.802340507507324</x:v>
      </x:c>
      <x:c r="G8" s="14" t="str">
        <x:v>完整问答顺序目录</x:v>
      </x:c>
      <x:c r="H8" s="20" t="n">
        <x:f>COUNTIF('01_18题审核清单'!$D$2:$D$19,B8)</x:f>
        <x:v>3</x:v>
      </x:c>
    </x:row>
    <x:row r="9" ht="36" customHeight="1">
      <x:c r="A9" s="20" t="n">
        <x:v>8</x:v>
      </x:c>
      <x:c r="B9" s="20" t="str">
        <x:v>PL019</x:v>
      </x:c>
      <x:c r="C9" s="14" t="str">
        <x:v>佛山市智龙科技有限公司迁扩建项目</x:v>
      </x:c>
      <x:c r="D9" s="14" t="str">
        <x:v>PL019_佛山市智龙科技有限公司迁扩建项目_01_受理公告或公示版.pdf</x:v>
      </x:c>
      <x:c r="E9" s="14" t="str">
        <x:v>PDF</x:v>
      </x:c>
      <x:c r="F9" s="28" t="n">
        <x:v>6.5546369552612305</x:v>
      </x:c>
      <x:c r="G9" s="14" t="str">
        <x:v>塑胶行业报告文件目录</x:v>
      </x:c>
      <x:c r="H9" s="20" t="n">
        <x:f>COUNTIF('01_18题审核清单'!$D$2:$D$19,B9)</x:f>
        <x:v>1</x:v>
      </x:c>
    </x:row>
    <x:row r="10" ht="36" customHeight="1">
      <x:c r="A10" s="20" t="n">
        <x:v>9</x:v>
      </x:c>
      <x:c r="B10" s="20" t="str">
        <x:v>PL023</x:v>
      </x:c>
      <x:c r="C10" s="14" t="str">
        <x:v>佛山市通能达科技有限公司新建项目</x:v>
      </x:c>
      <x:c r="D10" s="14" t="str">
        <x:v>PL023_佛山市通能达科技有限公司新建项目_01_受理公告或公示版.pdf</x:v>
      </x:c>
      <x:c r="E10" s="14" t="str">
        <x:v>PDF</x:v>
      </x:c>
      <x:c r="F10" s="28" t="n">
        <x:v>5.256690979003906</x:v>
      </x:c>
      <x:c r="G10" s="14" t="str">
        <x:v>塑胶行业报告文件目录</x:v>
      </x:c>
      <x:c r="H10" s="20" t="n">
        <x:f>COUNTIF('01_18题审核清单'!$D$2:$D$19,B10)</x:f>
        <x:v>1</x:v>
      </x:c>
    </x:row>
    <x:row r="11" ht="36" customHeight="1">
      <x:c r="A11" s="20" t="n">
        <x:v>10</x:v>
      </x:c>
      <x:c r="B11" s="20" t="str">
        <x:v>PL028</x:v>
      </x:c>
      <x:c r="C11" s="14" t="str">
        <x:v>佛山市顺德区振峰塑料模具制造有限公司分车间新建项目</x:v>
      </x:c>
      <x:c r="D11" s="14" t="str">
        <x:v>PL028_佛山市顺德区振峰塑料模具制造有限公司分车间新建项目_01_受理公告或公示版.pdf</x:v>
      </x:c>
      <x:c r="E11" s="14" t="str">
        <x:v>PDF</x:v>
      </x:c>
      <x:c r="F11" s="28" t="n">
        <x:v>8.592694282531738</x:v>
      </x:c>
      <x:c r="G11" s="14" t="str">
        <x:v>塑胶行业报告文件目录</x:v>
      </x:c>
      <x:c r="H11" s="20" t="n">
        <x:f>COUNTIF('01_18题审核清单'!$D$2:$D$19,B11)</x:f>
        <x:v>1</x:v>
      </x:c>
    </x:row>
    <x:row r="12" ht="36" customHeight="1">
      <x:c r="A12" s="20" t="n">
        <x:v>11</x:v>
      </x:c>
      <x:c r="B12" s="20" t="str">
        <x:v>PL031</x:v>
      </x:c>
      <x:c r="C12" s="14" t="str">
        <x:v>佛山市浩创时代包装制品有限公司新建项目</x:v>
      </x:c>
      <x:c r="D12" s="14" t="str">
        <x:v>PL031_佛山市浩创时代包装制品有限公司新建项目_01_受理公告或公示版.pdf</x:v>
      </x:c>
      <x:c r="E12" s="14" t="str">
        <x:v>PDF</x:v>
      </x:c>
      <x:c r="F12" s="28" t="n">
        <x:v>9.004018783569336</x:v>
      </x:c>
      <x:c r="G12" s="14" t="str">
        <x:v>塑胶行业报告文件目录</x:v>
      </x:c>
      <x:c r="H12" s="20" t="n">
        <x:f>COUNTIF('01_18题审核清单'!$D$2:$D$19,B12)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6b0ed037ab34f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</x:cols>
  <x:sheetData>
    <x:row r="1">
      <x:c r="A1" s="8" t="str">
        <x:v>类别</x:v>
      </x:c>
      <x:c r="B1" s="8" t="str">
        <x:v>问答数量</x:v>
      </x:c>
      <x:c r="C1" s="8" t="str">
        <x:v>涉及项目数量</x:v>
      </x:c>
    </x:row>
    <x:row r="2" ht="28" customHeight="1">
      <x:c r="A2" s="12" t="str">
        <x:v>环评投资概算</x:v>
      </x:c>
      <x:c r="B2" s="12" t="n">
        <x:f>COUNTIF('01_18题审核清单'!$B$2:$B$19,A2)</x:f>
        <x:v>4</x:v>
      </x:c>
      <x:c r="C2" s="12" t="n">
        <x:f>COUNTA(_xlfn.UNIQUE(_xlfn._xlws.FILTER('01_18题审核清单'!$D$2:$D$19,'01_18题审核清单'!$B$2:$B$19=A2)))</x:f>
        <x:v>4</x:v>
      </x:c>
    </x:row>
    <x:row r="3" ht="28" customHeight="1">
      <x:c r="A3" s="12" t="str">
        <x:v>噪声排放标准</x:v>
      </x:c>
      <x:c r="B3" s="12" t="n">
        <x:f>COUNTIF('01_18题审核清单'!$B$2:$B$19,A3)</x:f>
        <x:v>3</x:v>
      </x:c>
      <x:c r="C3" s="12" t="n">
        <x:f>COUNTA(_xlfn.UNIQUE(_xlfn._xlws.FILTER('01_18题审核清单'!$D$2:$D$19,'01_18题审核清单'!$B$2:$B$19=A3)))</x:f>
        <x:v>3</x:v>
      </x:c>
    </x:row>
    <x:row r="4" ht="28" customHeight="1">
      <x:c r="A4" s="12" t="str">
        <x:v>水污染物排放标准</x:v>
      </x:c>
      <x:c r="B4" s="12" t="n">
        <x:f>COUNTIF('01_18题审核清单'!$B$2:$B$19,A4)</x:f>
        <x:v>4</x:v>
      </x:c>
      <x:c r="C4" s="12" t="n">
        <x:f>COUNTA(_xlfn.UNIQUE(_xlfn._xlws.FILTER('01_18题审核清单'!$D$2:$D$19,'01_18题审核清单'!$B$2:$B$19=A4)))</x:f>
        <x:v>4</x:v>
      </x:c>
    </x:row>
    <x:row r="5" ht="28" customHeight="1">
      <x:c r="A5" s="12" t="str">
        <x:v>大气污染物排放标准</x:v>
      </x:c>
      <x:c r="B5" s="12" t="n">
        <x:f>COUNTIF('01_18题审核清单'!$B$2:$B$19,A5)</x:f>
        <x:v>3</x:v>
      </x:c>
      <x:c r="C5" s="12" t="n">
        <x:f>COUNTA(_xlfn.UNIQUE(_xlfn._xlws.FILTER('01_18题审核清单'!$D$2:$D$19,'01_18题审核清单'!$B$2:$B$19=A5)))</x:f>
        <x:v>3</x:v>
      </x:c>
    </x:row>
    <x:row r="6" ht="28" customHeight="1">
      <x:c r="A6" s="12" t="str">
        <x:v>固体废物控制标准</x:v>
      </x:c>
      <x:c r="B6" s="12" t="n">
        <x:f>COUNTIF('01_18题审核清单'!$B$2:$B$19,A6)</x:f>
        <x:v>4</x:v>
      </x:c>
      <x:c r="C6" s="12" t="n">
        <x:f>COUNTA(_xlfn.UNIQUE(_xlfn._xlws.FILTER('01_18题审核清单'!$D$2:$D$19,'01_18题审核清单'!$B$2:$B$19=A6)))</x:f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4b939fc88de3444c"/>
  </x:tableParts>
</x:worksheet>
</file>