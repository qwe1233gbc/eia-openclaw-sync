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f650b3017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a4f9eb47ae4fac"/>
    <x:sheet xmlns:r="http://schemas.openxmlformats.org/officeDocument/2006/relationships" name="Requirement Matrix" sheetId="2" r:id="R513b316ff5d7401b"/>
    <x:sheet xmlns:r="http://schemas.openxmlformats.org/officeDocument/2006/relationships" name="Status Summary" sheetId="3" r:id="Rf3517f259141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1" xfId="0" applyNumberFormat="1" applyFont="1" applyFill="1" applyBorder="1"/>
    <x:xf numFmtId="0" fontId="0" fillId="9" borderId="1" xfId="0" applyNumberFormat="1" applyFont="1" applyFill="1" applyBorder="1"/>
    <x:xf numFmtId="0" fontId="0" fillId="8" borderId="1" xfId="0" applyNumberFormat="1" applyFont="1" applyFill="1" applyBorder="1"/>
    <x:xf numFmtId="0" fontId="0" fillId="7" borderId="1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f7ad345de4912" /><Relationship Type="http://schemas.openxmlformats.org/officeDocument/2006/relationships/theme" Target="/xl/theme/theme1.xml" Id="R87a543ed166b46f1" /><Relationship Type="http://schemas.microsoft.com/office/2022/11/relationships/FeaturePropertyBag" Target="/xl/featurePropertyBag/featurePropertyBag.xml" Id="Rfea29254f9964c79" /><Relationship Type="http://schemas.openxmlformats.org/officeDocument/2006/relationships/sharedStrings" Target="/xl/sharedStrings.xml" Id="Rc4f33ca4009e4420" /><Relationship Type="http://schemas.openxmlformats.org/officeDocument/2006/relationships/worksheet" Target="/xl/worksheets/sheet1.xml" Id="R64a4f9eb47ae4fac" /><Relationship Type="http://schemas.openxmlformats.org/officeDocument/2006/relationships/worksheet" Target="/xl/worksheets/sheet2.xml" Id="R513b316ff5d7401b" /><Relationship Type="http://schemas.openxmlformats.org/officeDocument/2006/relationships/worksheet" Target="/xl/worksheets/sheet3.xml" Id="Rf3517f25914144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>
      <x:c r="A1" s="4" t="str">
        <x:v>21题RAG知识需求矩阵</x:v>
      </x:c>
      <x:c r="B1" s="4" t="str">
        <x:v>21题RAG知识需求矩阵</x:v>
      </x:c>
      <x:c r="C1" s="4" t="str">
        <x:v>21题RAG知识需求矩阵</x:v>
      </x:c>
      <x:c r="D1" s="4" t="str">
        <x:v>21题RAG知识需求矩阵</x:v>
      </x:c>
      <x:c r="E1" s="4" t="str">
        <x:v>21题RAG知识需求矩阵</x:v>
      </x:c>
      <x:c r="F1" s="4" t="str">
        <x:v>21题RAG知识需求矩阵</x:v>
      </x:c>
      <x:c r="G1" s="4" t="str">
        <x:v>21题RAG知识需求矩阵</x:v>
      </x:c>
      <x:c r="H1" s="4" t="str">
        <x:v>21题RAG知识需求矩阵</x:v>
      </x:c>
    </x:row>
    <x:row r="2">
      <x:c r="A2" s="4" t="str">
        <x:v>21题RAG知识需求矩阵</x:v>
      </x:c>
      <x:c r="B2" s="4" t="str">
        <x:v>21题RAG知识需求矩阵</x:v>
      </x:c>
      <x:c r="C2" s="4" t="str">
        <x:v>21题RAG知识需求矩阵</x:v>
      </x:c>
      <x:c r="D2" s="4" t="str">
        <x:v>21题RAG知识需求矩阵</x:v>
      </x:c>
      <x:c r="E2" s="4" t="str">
        <x:v>21题RAG知识需求矩阵</x:v>
      </x:c>
      <x:c r="F2" s="4" t="str">
        <x:v>21题RAG知识需求矩阵</x:v>
      </x:c>
      <x:c r="G2" s="4" t="str">
        <x:v>21题RAG知识需求矩阵</x:v>
      </x:c>
      <x:c r="H2" s="4" t="str">
        <x:v>21题RAG知识需求矩阵</x:v>
      </x:c>
    </x:row>
    <x:row r="4">
      <x:c r="A4" s="9" t="str">
        <x:v>生成日期</x:v>
      </x:c>
      <x:c r="B4" s="10" t="str">
        <x:v>2026-08-04</x:v>
      </x:c>
    </x:row>
    <x:row r="5">
      <x:c r="A5" s="9" t="str">
        <x:v>用途</x:v>
      </x:c>
      <x:c r="B5" s="10" t="str">
        <x:v>逐题反推正式RAG所需外部依据、现有来源状态与补充动作</x:v>
      </x:c>
    </x:row>
    <x:row r="6">
      <x:c r="A6" s="9" t="str">
        <x:v>数据范围</x:v>
      </x:c>
      <x:c r="B6" s="10" t="str">
        <x:v>21道黄色测试问答</x:v>
      </x:c>
    </x:row>
    <x:row r="7">
      <x:c r="A7" s="9" t="str">
        <x:v>生成原则</x:v>
      </x:c>
      <x:c r="B7" s="10" t="str">
        <x:v>正式来源优先；历史适用与现行参考分列；冻结前不读取金标</x:v>
      </x:c>
    </x:row>
    <x:row r="8">
      <x:c r="A8" s="9" t="str">
        <x:v>关键限制</x:v>
      </x:c>
      <x:c r="B8" s="10" t="str">
        <x:v>2022顺德公报与GB/T 18920-2020全文缺失时不得标记完整</x:v>
      </x:c>
    </x:row>
    <x:row r="9">
      <x:c r="A9" s="9" t="str">
        <x:v>状态色</x:v>
      </x:c>
      <x:c r="B9" s="10" t="str">
        <x:v>绿色=完整；黄色=完整但需警告；红色=缺失/不完整；灰色=不需要外部RAG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48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34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34" hidden="0" customWidth="1"/>
    <x:col min="18" max="18" width="16" hidden="0" customWidth="1"/>
    <x:col min="19" max="19" width="16" hidden="0" customWidth="1"/>
    <x:col min="20" max="20" width="48" hidden="0" customWidth="1"/>
  </x:cols>
  <x:sheetData>
    <x:row r="1" ht="42" customHeight="1">
      <x:c r="A1" s="17" t="str">
        <x:v>question_id</x:v>
      </x:c>
      <x:c r="B1" s="17" t="str">
        <x:v>project_id</x:v>
      </x:c>
      <x:c r="C1" s="17" t="str">
        <x:v>audit_category</x:v>
      </x:c>
      <x:c r="D1" s="17" t="str">
        <x:v>question</x:v>
      </x:c>
      <x:c r="E1" s="17" t="str">
        <x:v>report_date_or_review_date</x:v>
      </x:c>
      <x:c r="F1" s="17" t="str">
        <x:v>required_knowledge_type</x:v>
      </x:c>
      <x:c r="G1" s="17" t="str">
        <x:v>required_document_title</x:v>
      </x:c>
      <x:c r="H1" s="17" t="str">
        <x:v>required_document_number</x:v>
      </x:c>
      <x:c r="I1" s="17" t="str">
        <x:v>required_version_or_year</x:v>
      </x:c>
      <x:c r="J1" s="17" t="str">
        <x:v>required_region</x:v>
      </x:c>
      <x:c r="K1" s="17" t="str">
        <x:v>required_clause_or_data</x:v>
      </x:c>
      <x:c r="L1" s="17" t="str">
        <x:v>required_source_ids</x:v>
      </x:c>
      <x:c r="M1" s="17" t="str">
        <x:v>current_source_path</x:v>
      </x:c>
      <x:c r="N1" s="17" t="str">
        <x:v>current_source_type</x:v>
      </x:c>
      <x:c r="O1" s="17" t="str">
        <x:v>current_status</x:v>
      </x:c>
      <x:c r="P1" s="17" t="str">
        <x:v>gap_level</x:v>
      </x:c>
      <x:c r="Q1" s="17" t="str">
        <x:v>supplement_action</x:v>
      </x:c>
      <x:c r="R1" s="17" t="str">
        <x:v>formal_rag_eligible</x:v>
      </x:c>
      <x:c r="S1" s="17" t="str">
        <x:v>manual_review_needed</x:v>
      </x:c>
      <x:c r="T1" s="17" t="str">
        <x:v>notes</x:v>
      </x:c>
    </x:row>
    <x:row r="2">
      <x:c r="A2" s="26" t="str">
        <x:v>PL001_V01_Q01</x:v>
      </x:c>
      <x:c r="B2" s="26" t="str">
        <x:v>PL001</x:v>
      </x:c>
      <x:c r="C2" s="26" t="str">
        <x:v>国民经济行业分类</x:v>
      </x:c>
      <x:c r="D2" s="26" t="str">
        <x:v>请结合项目产品、原辅材料和生产工艺，判断该报告行业类别是否基本合理。</x:v>
      </x:c>
      <x:c r="E2" s="26" t="str">
        <x:v>2018-02</x:v>
      </x:c>
      <x:c r="F2" s="26" t="str">
        <x:v>行业代码、名称、定义、包含/不包含范围</x:v>
      </x:c>
      <x:c r="G2" s="26" t="str">
        <x:v>国民经济行业分类</x:v>
      </x:c>
      <x:c r="H2" s="26" t="str">
        <x:v>GB/T 4754-2017及2019修改内容</x:v>
      </x:c>
      <x:c r="I2" s="26" t="str">
        <x:v>2017+2019修改</x:v>
      </x:c>
      <x:c r="J2" s="26" t="str">
        <x:v>全国</x:v>
      </x:c>
      <x:c r="K2" s="26" t="str">
        <x:v>项目产品、原辅材料、工艺对应行业小类</x:v>
      </x:c>
      <x:c r="L2" s="26" t="str">
        <x:v>IND_GBT4754_2017</x:v>
      </x:c>
      <x:c r="M2" s="26" t="str">
        <x:v>D:\华南理工项目\智慧环评\skill\ABCD实验工作区\04_RAG资料补齐与验证\02_downloaded_or_confirmed_sources\06_industry_classification\national_economic_classification.jsonl</x:v>
      </x:c>
      <x:c r="N2" s="26" t="str">
        <x:v>权威标准结构化转录</x:v>
      </x:c>
      <x:c r="O2" s="29" t="str">
        <x:v>complete_primary_source</x:v>
      </x:c>
      <x:c r="P2" s="26" t="str">
        <x:v>none</x:v>
      </x:c>
      <x:c r="Q2" s="26" t="str">
        <x:v>无需补充；保留来源链</x:v>
      </x:c>
      <x:c r="R2" s="27" t="b">
        <x:v>1</x:v>
      </x:c>
      <x:c r="S2" s="27" t="b">
        <x:v>1</x:v>
      </x:c>
      <x:c r="T2" s="26" t="str">
        <x:v>项目事实来自统一报告JSON，外部RAG仅提供分类定义。</x:v>
      </x:c>
    </x:row>
    <x:row r="3">
      <x:c r="A3" s="24" t="str">
        <x:v>PL001_EnvQuality_Q01</x:v>
      </x:c>
      <x:c r="B3" s="24" t="str">
        <x:v>PL001</x:v>
      </x:c>
      <x:c r="C3" s="24" t="str">
        <x:v>环境质量数据引用</x:v>
      </x:c>
      <x:c r="D3" s="24" t="str">
        <x:v>请根据报告引用的环境质量公报及现状数据，判断大气和地表水环境质量现状数据引用是否准确。</x:v>
      </x:c>
      <x:c r="E3" s="24" t="str">
        <x:v>2018-02</x:v>
      </x:c>
      <x:c r="F3" s="24" t="str">
        <x:v>历史公报原文、空气质量表、地表水断面/水体数据</x:v>
      </x:c>
      <x:c r="G3" s="24" t="str">
        <x:v>2022年度佛山市顺德区生态环境质量状况公报</x:v>
      </x:c>
      <x:c r="H3" s="24" t="str">
        <x:v>佛环顺函〔2023〕26号</x:v>
      </x:c>
      <x:c r="I3" s="24" t="str">
        <x:v>2022年度数据/2023发布</x:v>
      </x:c>
      <x:c r="J3" s="24" t="str">
        <x:v>佛山市顺德区</x:v>
      </x:c>
      <x:c r="K3" s="24" t="str">
        <x:v>大气六项指标及同比变化；断面/水体名称、类别和达标情况</x:v>
      </x:c>
      <x:c r="L3" s="24" t="str">
        <x:v>ENV_SHUNDE_2022;ENV_SHUNDE_2024</x:v>
      </x:c>
      <x:c r="M3" s="24" t="str">
        <x:v>D:\华南理工项目\智慧环评\skill\ABCD实验工作区\04_RAG资料补齐与验证\02_downloaded_or_confirmed_sources\01_environment_bulletins\2022年度佛山市顺德区生态环境状况公报_佛环顺函2023_26号.pdf</x:v>
      </x:c>
      <x:c r="N3" s="24" t="str">
        <x:v>正式公文PDF+较新公报参考</x:v>
      </x:c>
      <x:c r="O3" s="29" t="str">
        <x:v>complete_primary_source</x:v>
      </x:c>
      <x:c r="P3" s="24" t="str">
        <x:v>low</x:v>
      </x:c>
      <x:c r="Q3" s="24" t="str">
        <x:v>无需补充全文；如需最高追溯等级，可补登记官方发布网页URL</x:v>
      </x:c>
      <x:c r="R3" s="25" t="b">
        <x:v>1</x:v>
      </x:c>
      <x:c r="S3" s="25" t="b">
        <x:v>1</x:v>
      </x:c>
      <x:c r="T3" s="24" t="str">
        <x:v>2022公报已补齐；2023/2024公报只作当前参考，不得替代2022历史引用核验。</x:v>
      </x:c>
    </x:row>
    <x:row r="4">
      <x:c r="A4" s="26" t="str">
        <x:v>PL001_Emission_固体</x:v>
      </x:c>
      <x:c r="B4" s="26" t="str">
        <x:v>PL001</x:v>
      </x:c>
      <x:c r="C4" s="26" t="str">
        <x:v>固体废物控制标准</x:v>
      </x:c>
      <x:c r="D4" s="26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E4" s="26" t="str">
        <x:v>2018-02</x:v>
      </x:c>
      <x:c r="F4" s="26" t="str">
        <x:v>固废法律法规、一般固废适用边界、危废贮存与名录、固废鉴别版本</x:v>
      </x:c>
      <x:c r="G4" s="26" t="str">
        <x:v>固废法；广东省固废条例；GB18597；GB18599；危险废物名录；GB34330</x:v>
      </x:c>
      <x:c r="H4" s="26" t="str">
        <x:v>法律；地方条例；GB 18597-2023；GB 18599-2020；2021/2025名录；GB 34330-2017/2025</x:v>
      </x:c>
      <x:c r="I4" s="26" t="str">
        <x:v>历史与2026现行版本并列</x:v>
      </x:c>
      <x:c r="J4" s="26" t="str">
        <x:v>全国/广东省</x:v>
      </x:c>
      <x:c r="K4" s="26" t="str">
        <x:v>一般固废库房/包装贮存适用边界；防渗漏、防雨淋、防扬尘；危废类别与贮存要求</x:v>
      </x:c>
      <x:c r="L4" s="26" t="str">
        <x:v>SOLID_WASTE_LAW_2020;SOLID_GD_REG_2022;SOLID_GB18597_2023;SOLID_GB18599_2020;SOLID_HW2021_HIST;SOLID_HW2025_CURRENT;SOLID_GB34330_2017_HIST;SOLID_GB34330_2025</x:v>
      </x:c>
      <x:c r="M4" s="26" t="str">
        <x:v>D:\华南理工项目\智慧环评\skill\ABCD实验工作区\04_RAG资料补齐与验证\02_downloaded_or_confirmed_sources\04_solid_waste</x:v>
      </x:c>
      <x:c r="N4" s="26" t="str">
        <x:v>法律/条例政府页+官方标准PDF</x:v>
      </x:c>
      <x:c r="O4" s="29" t="str">
        <x:v>complete_primary_source</x:v>
      </x:c>
      <x:c r="P4" s="26" t="str">
        <x:v>low</x:v>
      </x:c>
      <x:c r="Q4" s="26" t="str">
        <x:v>无需新增；审查时按报告日期选择历史版本</x:v>
      </x:c>
      <x:c r="R4" s="27" t="b">
        <x:v>1</x:v>
      </x:c>
      <x:c r="S4" s="27" t="b">
        <x:v>1</x:v>
      </x:c>
      <x:c r="T4" s="26" t="str">
        <x:v>2021名录和GB34330-2017仅作历史核验，2026现行分别为2025名录和GB34330-2025。</x:v>
      </x:c>
    </x:row>
    <x:row r="5">
      <x:c r="A5" s="24" t="str">
        <x:v>PL002_V01_Q01</x:v>
      </x:c>
      <x:c r="B5" s="24" t="str">
        <x:v>PL002</x:v>
      </x:c>
      <x:c r="C5" s="24" t="str">
        <x:v>国民经济行业分类</x:v>
      </x:c>
      <x:c r="D5" s="24" t="str">
        <x:v>请结合项目产品、原辅材料和生产工艺，判断该报告是否适合作为塑胶行业种子问答样本，并判断行业类别是否基本合理。</x:v>
      </x:c>
      <x:c r="E5" s="24" t="str">
        <x:v>2021-01</x:v>
      </x:c>
      <x:c r="F5" s="24" t="str">
        <x:v>行业代码、名称、定义、包含/不包含范围</x:v>
      </x:c>
      <x:c r="G5" s="24" t="str">
        <x:v>国民经济行业分类</x:v>
      </x:c>
      <x:c r="H5" s="24" t="str">
        <x:v>GB/T 4754-2017及2019修改内容</x:v>
      </x:c>
      <x:c r="I5" s="24" t="str">
        <x:v>2017+2019修改</x:v>
      </x:c>
      <x:c r="J5" s="24" t="str">
        <x:v>全国</x:v>
      </x:c>
      <x:c r="K5" s="24" t="str">
        <x:v>项目产品、原辅材料、工艺对应行业小类</x:v>
      </x:c>
      <x:c r="L5" s="24" t="str">
        <x:v>IND_GBT4754_2017</x:v>
      </x:c>
      <x:c r="M5" s="24" t="str">
        <x:v>D:\华南理工项目\智慧环评\skill\ABCD实验工作区\04_RAG资料补齐与验证\02_downloaded_or_confirmed_sources\06_industry_classification\national_economic_classification.jsonl</x:v>
      </x:c>
      <x:c r="N5" s="24" t="str">
        <x:v>权威标准结构化转录</x:v>
      </x:c>
      <x:c r="O5" s="29" t="str">
        <x:v>complete_primary_source</x:v>
      </x:c>
      <x:c r="P5" s="24" t="str">
        <x:v>none</x:v>
      </x:c>
      <x:c r="Q5" s="24" t="str">
        <x:v>无需补充；保留来源链</x:v>
      </x:c>
      <x:c r="R5" s="25" t="b">
        <x:v>1</x:v>
      </x:c>
      <x:c r="S5" s="25" t="b">
        <x:v>1</x:v>
      </x:c>
      <x:c r="T5" s="24" t="str">
        <x:v>项目事实来自统一报告JSON，外部RAG仅提供分类定义。</x:v>
      </x:c>
    </x:row>
    <x:row r="6">
      <x:c r="A6" s="26" t="str">
        <x:v>PL002_EnvQuality_Q01</x:v>
      </x:c>
      <x:c r="B6" s="26" t="str">
        <x:v>PL002</x:v>
      </x:c>
      <x:c r="C6" s="26" t="str">
        <x:v>环境质量数据引用</x:v>
      </x:c>
      <x:c r="D6" s="26" t="str">
        <x:v>请根据报告引用的环境质量公报及现状数据，判断大气和地表水环境质量现状数据引用是否准确。</x:v>
      </x:c>
      <x:c r="E6" s="26" t="str">
        <x:v>2021-01</x:v>
      </x:c>
      <x:c r="F6" s="26" t="str">
        <x:v>历史公报原文、空气质量表、地表水断面/水体数据</x:v>
      </x:c>
      <x:c r="G6" s="26" t="str">
        <x:v>2022年度佛山市顺德区生态环境质量状况公报</x:v>
      </x:c>
      <x:c r="H6" s="26" t="str">
        <x:v>佛环顺函〔2023〕26号</x:v>
      </x:c>
      <x:c r="I6" s="26" t="str">
        <x:v>2022年度数据/2023发布</x:v>
      </x:c>
      <x:c r="J6" s="26" t="str">
        <x:v>佛山市顺德区</x:v>
      </x:c>
      <x:c r="K6" s="26" t="str">
        <x:v>大气六项指标及同比变化；断面/水体名称、类别和达标情况</x:v>
      </x:c>
      <x:c r="L6" s="26" t="str">
        <x:v>ENV_SHUNDE_2022;ENV_SHUNDE_2024</x:v>
      </x:c>
      <x:c r="M6" s="26" t="str">
        <x:v>D:\华南理工项目\智慧环评\skill\ABCD实验工作区\04_RAG资料补齐与验证\02_downloaded_or_confirmed_sources\01_environment_bulletins\2022年度佛山市顺德区生态环境状况公报_佛环顺函2023_26号.pdf</x:v>
      </x:c>
      <x:c r="N6" s="26" t="str">
        <x:v>正式公文PDF+较新公报参考</x:v>
      </x:c>
      <x:c r="O6" s="29" t="str">
        <x:v>complete_primary_source</x:v>
      </x:c>
      <x:c r="P6" s="26" t="str">
        <x:v>low</x:v>
      </x:c>
      <x:c r="Q6" s="26" t="str">
        <x:v>无需补充全文；如需最高追溯等级，可补登记官方发布网页URL</x:v>
      </x:c>
      <x:c r="R6" s="27" t="b">
        <x:v>1</x:v>
      </x:c>
      <x:c r="S6" s="27" t="b">
        <x:v>1</x:v>
      </x:c>
      <x:c r="T6" s="26" t="str">
        <x:v>2022公报已补齐；2023/2024公报只作当前参考，不得替代2022历史引用核验。</x:v>
      </x:c>
    </x:row>
    <x:row r="7">
      <x:c r="A7" s="24" t="str">
        <x:v>PL002_Emission_大气</x:v>
      </x:c>
      <x:c r="B7" s="24" t="str">
        <x:v>PL002</x:v>
      </x:c>
      <x:c r="C7" s="24" t="str">
        <x:v>大气污染物排放标准</x:v>
      </x:c>
      <x:c r="D7" s="2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E7" s="24" t="str">
        <x:v>2021-01</x:v>
      </x:c>
      <x:c r="F7" s="24" t="str">
        <x:v>工序—污染物—有/无组织—厂区/厂界标准匹配</x:v>
      </x:c>
      <x:c r="G7" s="24" t="str">
        <x:v>GB31572及修改单；GB14554；DB44/2367；DB44/27；GB16297；GB37822</x:v>
      </x:c>
      <x:c r="H7" s="24" t="str">
        <x:v>GB 31572-2015；GB 14554-93；DB44/2367-2022；DB44/27-2001；GB 16297-1996；GB 37822-2019</x:v>
      </x:c>
      <x:c r="I7" s="24" t="str">
        <x:v>报告时点版本；GB31572含2024修改内容</x:v>
      </x:c>
      <x:c r="J7" s="24" t="str">
        <x:v>全国/广东省</x:v>
      </x:c>
      <x:c r="K7" s="24" t="str">
        <x:v>挤出/混料等污染源；非甲烷总烃、颗粒物、臭气；排气筒及无组织边界</x:v>
      </x:c>
      <x:c r="L7" s="24" t="str">
        <x:v>AIR_GB31572_2015_MOD;AIR_GB14554_93;AIR_DB44_2367_2022;AIR_DB44_27_2001;AIR_GB16297_1996;AIR_GB37822_2019</x:v>
      </x:c>
      <x:c r="M7" s="24" t="str">
        <x:v>D:\华南理工项目\智慧环评\skill\ABCD实验工作区\04_RAG资料补齐与验证\02_downloaded_or_confirmed_sources\05_air_standards</x:v>
      </x:c>
      <x:c r="N7" s="24" t="str">
        <x:v>正式标准全文转录</x:v>
      </x:c>
      <x:c r="O7" s="29" t="str">
        <x:v>complete_primary_source</x:v>
      </x:c>
      <x:c r="P7" s="24" t="str">
        <x:v>low</x:v>
      </x:c>
      <x:c r="Q7" s="24" t="str">
        <x:v>无需新增；按项目事实筛选，不整包套用</x:v>
      </x:c>
      <x:c r="R7" s="25" t="b">
        <x:v>1</x:v>
      </x:c>
      <x:c r="S7" s="25" t="b">
        <x:v>1</x:v>
      </x:c>
      <x:c r="T7" s="24" t="str">
        <x:v>GB31572的2024修改内容不得倒用于此前报告结论，需分历史适用和当前参考。</x:v>
      </x:c>
    </x:row>
    <x:row r="8">
      <x:c r="A8" s="26" t="str">
        <x:v>PL002_Emission_噪声</x:v>
      </x:c>
      <x:c r="B8" s="26" t="str">
        <x:v>PL002</x:v>
      </x:c>
      <x:c r="C8" s="26" t="str">
        <x:v>噪声排放标准</x:v>
      </x:c>
      <x:c r="D8" s="26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E8" s="26" t="str">
        <x:v>2021-01</x:v>
      </x:c>
      <x:c r="F8" s="26" t="str">
        <x:v>地方声功能区划+厂界噪声限值</x:v>
      </x:c>
      <x:c r="G8" s="26" t="str">
        <x:v>佛山市声环境功能区划；工业企业厂界环境噪声排放标准</x:v>
      </x:c>
      <x:c r="H8" s="26" t="str">
        <x:v>佛环〔2024〕1号；GB 12348-2008</x:v>
      </x:c>
      <x:c r="I8" s="26" t="str">
        <x:v>2024；2008</x:v>
      </x:c>
      <x:c r="J8" s="26" t="str">
        <x:v>佛山市/顺德区</x:v>
      </x:c>
      <x:c r="K8" s="26" t="str">
        <x:v>项目片区编号/边界→功能区类别→昼夜限值</x:v>
      </x:c>
      <x:c r="L8" s="26" t="str">
        <x:v>NOISE_FOSHAN_ZONING_2024;NOISE_GB12348_2008</x:v>
      </x:c>
      <x:c r="M8" s="26" t="str">
        <x:v>D:\华南理工项目\智慧环评\skill\ABCD实验工作区\04_RAG资料补齐与验证\02_downloaded_or_confirmed_sources\03_noise_zoning</x:v>
      </x:c>
      <x:c r="N8" s="26" t="str">
        <x:v>官方区划PDF/JPG+国家标准PDF</x:v>
      </x:c>
      <x:c r="O8" s="29" t="str">
        <x:v>complete_primary_source</x:v>
      </x:c>
      <x:c r="P8" s="26" t="str">
        <x:v>low</x:v>
      </x:c>
      <x:c r="Q8" s="26" t="str">
        <x:v>无需新增；位置到图斑边界需人工复核</x:v>
      </x:c>
      <x:c r="R8" s="27" t="b">
        <x:v>1</x:v>
      </x:c>
      <x:c r="S8" s="27" t="b">
        <x:v>1</x:v>
      </x:c>
      <x:c r="T8" s="26" t="str">
        <x:v>官方区划已补齐，但不能仅凭GB12348限值推断项目所属类别。</x:v>
      </x:c>
    </x:row>
    <x:row r="9">
      <x:c r="A9" s="24" t="str">
        <x:v>PL002_Emission_固体</x:v>
      </x:c>
      <x:c r="B9" s="24" t="str">
        <x:v>PL002</x:v>
      </x:c>
      <x:c r="C9" s="24" t="str">
        <x:v>固体废物控制标准</x:v>
      </x:c>
      <x:c r="D9" s="2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E9" s="24" t="str">
        <x:v>2021-01</x:v>
      </x:c>
      <x:c r="F9" s="24" t="str">
        <x:v>固废法律法规、一般固废适用边界、危废贮存与名录、固废鉴别版本</x:v>
      </x:c>
      <x:c r="G9" s="24" t="str">
        <x:v>固废法；广东省固废条例；GB18597；GB18599；危险废物名录；GB34330</x:v>
      </x:c>
      <x:c r="H9" s="24" t="str">
        <x:v>法律；地方条例；GB 18597-2023；GB 18599-2020；2021/2025名录；GB 34330-2017/2025</x:v>
      </x:c>
      <x:c r="I9" s="24" t="str">
        <x:v>历史与2026现行版本并列</x:v>
      </x:c>
      <x:c r="J9" s="24" t="str">
        <x:v>全国/广东省</x:v>
      </x:c>
      <x:c r="K9" s="24" t="str">
        <x:v>一般固废库房/包装贮存适用边界；防渗漏、防雨淋、防扬尘；危废类别与贮存要求</x:v>
      </x:c>
      <x:c r="L9" s="24" t="str">
        <x:v>SOLID_WASTE_LAW_2020;SOLID_GD_REG_2022;SOLID_GB18597_2023;SOLID_GB18599_2020;SOLID_HW2021_HIST;SOLID_HW2025_CURRENT;SOLID_GB34330_2017_HIST;SOLID_GB34330_2025</x:v>
      </x:c>
      <x:c r="M9" s="24" t="str">
        <x:v>D:\华南理工项目\智慧环评\skill\ABCD实验工作区\04_RAG资料补齐与验证\02_downloaded_or_confirmed_sources\04_solid_waste</x:v>
      </x:c>
      <x:c r="N9" s="24" t="str">
        <x:v>法律/条例政府页+官方标准PDF</x:v>
      </x:c>
      <x:c r="O9" s="29" t="str">
        <x:v>complete_primary_source</x:v>
      </x:c>
      <x:c r="P9" s="24" t="str">
        <x:v>low</x:v>
      </x:c>
      <x:c r="Q9" s="24" t="str">
        <x:v>无需新增；审查时按报告日期选择历史版本</x:v>
      </x:c>
      <x:c r="R9" s="25" t="b">
        <x:v>1</x:v>
      </x:c>
      <x:c r="S9" s="25" t="b">
        <x:v>1</x:v>
      </x:c>
      <x:c r="T9" s="24" t="str">
        <x:v>2021名录和GB34330-2017仅作历史核验，2026现行分别为2025名录和GB34330-2025。</x:v>
      </x:c>
    </x:row>
    <x:row r="10">
      <x:c r="A10" s="26" t="str">
        <x:v>PL003_V01_Q01</x:v>
      </x:c>
      <x:c r="B10" s="26" t="str">
        <x:v>PL003</x:v>
      </x:c>
      <x:c r="C10" s="26" t="str">
        <x:v>国民经济行业分类</x:v>
      </x:c>
      <x:c r="D10" s="26" t="str">
        <x:v>请结合项目产品、原辅材料和生产工艺，判断该报告行业类别是否基本合理。</x:v>
      </x:c>
      <x:c r="E10" s="26" t="str">
        <x:v>2021-02</x:v>
      </x:c>
      <x:c r="F10" s="26" t="str">
        <x:v>行业代码、名称、定义、包含/不包含范围</x:v>
      </x:c>
      <x:c r="G10" s="26" t="str">
        <x:v>国民经济行业分类</x:v>
      </x:c>
      <x:c r="H10" s="26" t="str">
        <x:v>GB/T 4754-2017及2019修改内容</x:v>
      </x:c>
      <x:c r="I10" s="26" t="str">
        <x:v>2017+2019修改</x:v>
      </x:c>
      <x:c r="J10" s="26" t="str">
        <x:v>全国</x:v>
      </x:c>
      <x:c r="K10" s="26" t="str">
        <x:v>项目产品、原辅材料、工艺对应行业小类</x:v>
      </x:c>
      <x:c r="L10" s="26" t="str">
        <x:v>IND_GBT4754_2017</x:v>
      </x:c>
      <x:c r="M10" s="26" t="str">
        <x:v>D:\华南理工项目\智慧环评\skill\ABCD实验工作区\04_RAG资料补齐与验证\02_downloaded_or_confirmed_sources\06_industry_classification\national_economic_classification.jsonl</x:v>
      </x:c>
      <x:c r="N10" s="26" t="str">
        <x:v>权威标准结构化转录</x:v>
      </x:c>
      <x:c r="O10" s="29" t="str">
        <x:v>complete_primary_source</x:v>
      </x:c>
      <x:c r="P10" s="26" t="str">
        <x:v>none</x:v>
      </x:c>
      <x:c r="Q10" s="26" t="str">
        <x:v>无需补充；保留来源链</x:v>
      </x:c>
      <x:c r="R10" s="27" t="b">
        <x:v>1</x:v>
      </x:c>
      <x:c r="S10" s="27" t="b">
        <x:v>1</x:v>
      </x:c>
      <x:c r="T10" s="26" t="str">
        <x:v>项目事实来自统一报告JSON，外部RAG仅提供分类定义。</x:v>
      </x:c>
    </x:row>
    <x:row r="11">
      <x:c r="A11" s="24" t="str">
        <x:v>PL003_V01_Q03</x:v>
      </x:c>
      <x:c r="B11" s="24" t="str">
        <x:v>PL003</x:v>
      </x:c>
      <x:c r="C11" s="24" t="str">
        <x:v>环评投资概算</x:v>
      </x:c>
      <x:c r="D11" s="24" t="str">
        <x:v>请根据报告中的总投资、环保投资和环保工程投资明细，判断环保投资核算是否前后一致、比例是否正确。</x:v>
      </x:c>
      <x:c r="E11" s="24" t="str">
        <x:v>2021-02</x:v>
      </x:c>
      <x:c r="F11" s="24" t="str">
        <x:v>calculation_only</x:v>
      </x:c>
      <x:c r="G11" s="24" t="str">
        <x:v>不需要外部RAG</x:v>
      </x:c>
      <x:c r="H11" s="24" t="str"/>
      <x:c r="I11" s="24" t="str"/>
      <x:c r="J11" s="24" t="str"/>
      <x:c r="K11" s="24" t="str">
        <x:v>总投资、环保投资、分项合计和占比复算</x:v>
      </x:c>
      <x:c r="L11" s="24" t="str"/>
      <x:c r="M11" s="24" t="str"/>
      <x:c r="N11" s="24" t="str">
        <x:v>报告JSON计算</x:v>
      </x:c>
      <x:c r="O11" s="31" t="str">
        <x:v>not_required</x:v>
      </x:c>
      <x:c r="P11" s="24" t="str">
        <x:v>none</x:v>
      </x:c>
      <x:c r="Q11" s="24" t="str">
        <x:v>仅使用报告事实进行算术复核</x:v>
      </x:c>
      <x:c r="R11" s="25" t="b">
        <x:v>0</x:v>
      </x:c>
      <x:c r="S11" s="25" t="b">
        <x:v>0</x:v>
      </x:c>
      <x:c r="T11" s="24" t="str">
        <x:v>不得加入‘环保投资一般不低于5%’等经验阈值。</x:v>
      </x:c>
    </x:row>
    <x:row r="12">
      <x:c r="A12" s="26" t="str">
        <x:v>PL003_Emission_水污</x:v>
      </x:c>
      <x:c r="B12" s="26" t="str">
        <x:v>PL003</x:v>
      </x:c>
      <x:c r="C12" s="26" t="str">
        <x:v>水污染物排放标准</x:v>
      </x:c>
      <x:c r="D12" s="26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E12" s="26" t="str">
        <x:v>2021-02</x:v>
      </x:c>
      <x:c r="F12" s="26" t="str">
        <x:v>企业预处理纳管标准、污水厂尾水标准、较严值衔接</x:v>
      </x:c>
      <x:c r="G12" s="26" t="str">
        <x:v>DB44/26-2001《水污染物排放限值》；GB 18918-2002及2025修改单</x:v>
      </x:c>
      <x:c r="H12" s="26" t="str">
        <x:v>DB44/26-2001；GB 18918-2002</x:v>
      </x:c>
      <x:c r="I12" s="26" t="str">
        <x:v>报告时点版本与2026现行修改单分列</x:v>
      </x:c>
      <x:c r="J12" s="26" t="str">
        <x:v>广东省/全国</x:v>
      </x:c>
      <x:c r="K12" s="26" t="str">
        <x:v>第二时段三级/一级、一级A适用情形、尾水较严值</x:v>
      </x:c>
      <x:c r="L12" s="26" t="str">
        <x:v>WATER_DB44_26_2001;WATER_GB18918_2002;WATER_GB18918_MOD2025</x:v>
      </x:c>
      <x:c r="M12" s="26" t="str">
        <x:v>D:\华南理工项目\智慧环评\skill\ABCD实验工作区\04_RAG资料补齐与验证\02_downloaded_or_confirmed_sources\02_water_standards</x:v>
      </x:c>
      <x:c r="N12" s="26" t="str">
        <x:v>正式标准全文+官方修改单</x:v>
      </x:c>
      <x:c r="O12" s="29" t="str">
        <x:v>complete_primary_source</x:v>
      </x:c>
      <x:c r="P12" s="26" t="str">
        <x:v>low</x:v>
      </x:c>
      <x:c r="Q12" s="26" t="str">
        <x:v>无需新增；检索时区分企业排口与污水厂尾水</x:v>
      </x:c>
      <x:c r="R12" s="27" t="b">
        <x:v>1</x:v>
      </x:c>
      <x:c r="S12" s="27" t="b">
        <x:v>1</x:v>
      </x:c>
      <x:c r="T12" s="26" t="str">
        <x:v>是否要求再生水标准由报告JSON中明确的回用事实触发。</x:v>
      </x:c>
    </x:row>
    <x:row r="13">
      <x:c r="A13" s="24" t="str">
        <x:v>PL003_Emission_噪声</x:v>
      </x:c>
      <x:c r="B13" s="24" t="str">
        <x:v>PL003</x:v>
      </x:c>
      <x:c r="C13" s="24" t="str">
        <x:v>噪声排放标准</x:v>
      </x:c>
      <x:c r="D13" s="2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E13" s="24" t="str">
        <x:v>2021-02</x:v>
      </x:c>
      <x:c r="F13" s="24" t="str">
        <x:v>地方声功能区划+厂界噪声限值</x:v>
      </x:c>
      <x:c r="G13" s="24" t="str">
        <x:v>佛山市声环境功能区划；工业企业厂界环境噪声排放标准</x:v>
      </x:c>
      <x:c r="H13" s="24" t="str">
        <x:v>佛环〔2024〕1号；GB 12348-2008</x:v>
      </x:c>
      <x:c r="I13" s="24" t="str">
        <x:v>2024；2008</x:v>
      </x:c>
      <x:c r="J13" s="24" t="str">
        <x:v>佛山市/顺德区</x:v>
      </x:c>
      <x:c r="K13" s="24" t="str">
        <x:v>项目片区编号/边界→功能区类别→昼夜限值</x:v>
      </x:c>
      <x:c r="L13" s="24" t="str">
        <x:v>NOISE_FOSHAN_ZONING_2024;NOISE_GB12348_2008</x:v>
      </x:c>
      <x:c r="M13" s="24" t="str">
        <x:v>D:\华南理工项目\智慧环评\skill\ABCD实验工作区\04_RAG资料补齐与验证\02_downloaded_or_confirmed_sources\03_noise_zoning</x:v>
      </x:c>
      <x:c r="N13" s="24" t="str">
        <x:v>官方区划PDF/JPG+国家标准PDF</x:v>
      </x:c>
      <x:c r="O13" s="29" t="str">
        <x:v>complete_primary_source</x:v>
      </x:c>
      <x:c r="P13" s="24" t="str">
        <x:v>low</x:v>
      </x:c>
      <x:c r="Q13" s="24" t="str">
        <x:v>无需新增；位置到图斑边界需人工复核</x:v>
      </x:c>
      <x:c r="R13" s="25" t="b">
        <x:v>1</x:v>
      </x:c>
      <x:c r="S13" s="25" t="b">
        <x:v>1</x:v>
      </x:c>
      <x:c r="T13" s="24" t="str">
        <x:v>官方区划已补齐，但不能仅凭GB12348限值推断项目所属类别。</x:v>
      </x:c>
    </x:row>
    <x:row r="14">
      <x:c r="A14" s="26" t="str">
        <x:v>PL003_Emission_固体</x:v>
      </x:c>
      <x:c r="B14" s="26" t="str">
        <x:v>PL003</x:v>
      </x:c>
      <x:c r="C14" s="26" t="str">
        <x:v>固体废物控制标准</x:v>
      </x:c>
      <x:c r="D14" s="26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E14" s="26" t="str">
        <x:v>2021-02</x:v>
      </x:c>
      <x:c r="F14" s="26" t="str">
        <x:v>固废法律法规、一般固废适用边界、危废贮存与名录、固废鉴别版本</x:v>
      </x:c>
      <x:c r="G14" s="26" t="str">
        <x:v>固废法；广东省固废条例；GB18597；GB18599；危险废物名录；GB34330</x:v>
      </x:c>
      <x:c r="H14" s="26" t="str">
        <x:v>法律；地方条例；GB 18597-2023；GB 18599-2020；2021/2025名录；GB 34330-2017/2025</x:v>
      </x:c>
      <x:c r="I14" s="26" t="str">
        <x:v>历史与2026现行版本并列</x:v>
      </x:c>
      <x:c r="J14" s="26" t="str">
        <x:v>全国/广东省</x:v>
      </x:c>
      <x:c r="K14" s="26" t="str">
        <x:v>一般固废库房/包装贮存适用边界；防渗漏、防雨淋、防扬尘；危废类别与贮存要求</x:v>
      </x:c>
      <x:c r="L14" s="26" t="str">
        <x:v>SOLID_WASTE_LAW_2020;SOLID_GD_REG_2022;SOLID_GB18597_2023;SOLID_GB18599_2020;SOLID_HW2021_HIST;SOLID_HW2025_CURRENT;SOLID_GB34330_2017_HIST;SOLID_GB34330_2025</x:v>
      </x:c>
      <x:c r="M14" s="26" t="str">
        <x:v>D:\华南理工项目\智慧环评\skill\ABCD实验工作区\04_RAG资料补齐与验证\02_downloaded_or_confirmed_sources\04_solid_waste</x:v>
      </x:c>
      <x:c r="N14" s="26" t="str">
        <x:v>法律/条例政府页+官方标准PDF</x:v>
      </x:c>
      <x:c r="O14" s="29" t="str">
        <x:v>complete_primary_source</x:v>
      </x:c>
      <x:c r="P14" s="26" t="str">
        <x:v>low</x:v>
      </x:c>
      <x:c r="Q14" s="26" t="str">
        <x:v>无需新增；审查时按报告日期选择历史版本</x:v>
      </x:c>
      <x:c r="R14" s="27" t="b">
        <x:v>1</x:v>
      </x:c>
      <x:c r="S14" s="27" t="b">
        <x:v>1</x:v>
      </x:c>
      <x:c r="T14" s="26" t="str">
        <x:v>2021名录和GB34330-2017仅作历史核验，2026现行分别为2025名录和GB34330-2025。</x:v>
      </x:c>
    </x:row>
    <x:row r="15">
      <x:c r="A15" s="24" t="str">
        <x:v>PL004_V01_Q01</x:v>
      </x:c>
      <x:c r="B15" s="24" t="str">
        <x:v>PL004</x:v>
      </x:c>
      <x:c r="C15" s="24" t="str">
        <x:v>国民经济行业分类</x:v>
      </x:c>
      <x:c r="D15" s="24" t="str">
        <x:v>请结合项目产品、原辅材料和生产工艺，判断该报告行业类别是否基本合理。</x:v>
      </x:c>
      <x:c r="E15" s="24" t="str">
        <x:v>2021-01</x:v>
      </x:c>
      <x:c r="F15" s="24" t="str">
        <x:v>行业代码、名称、定义、包含/不包含范围</x:v>
      </x:c>
      <x:c r="G15" s="24" t="str">
        <x:v>国民经济行业分类</x:v>
      </x:c>
      <x:c r="H15" s="24" t="str">
        <x:v>GB/T 4754-2017及2019修改内容</x:v>
      </x:c>
      <x:c r="I15" s="24" t="str">
        <x:v>2017+2019修改</x:v>
      </x:c>
      <x:c r="J15" s="24" t="str">
        <x:v>全国</x:v>
      </x:c>
      <x:c r="K15" s="24" t="str">
        <x:v>项目产品、原辅材料、工艺对应行业小类</x:v>
      </x:c>
      <x:c r="L15" s="24" t="str">
        <x:v>IND_GBT4754_2017</x:v>
      </x:c>
      <x:c r="M15" s="24" t="str">
        <x:v>D:\华南理工项目\智慧环评\skill\ABCD实验工作区\04_RAG资料补齐与验证\02_downloaded_or_confirmed_sources\06_industry_classification\national_economic_classification.jsonl</x:v>
      </x:c>
      <x:c r="N15" s="24" t="str">
        <x:v>权威标准结构化转录</x:v>
      </x:c>
      <x:c r="O15" s="29" t="str">
        <x:v>complete_primary_source</x:v>
      </x:c>
      <x:c r="P15" s="24" t="str">
        <x:v>none</x:v>
      </x:c>
      <x:c r="Q15" s="24" t="str">
        <x:v>无需补充；保留来源链</x:v>
      </x:c>
      <x:c r="R15" s="25" t="b">
        <x:v>1</x:v>
      </x:c>
      <x:c r="S15" s="25" t="b">
        <x:v>1</x:v>
      </x:c>
      <x:c r="T15" s="24" t="str">
        <x:v>项目事实来自统一报告JSON，外部RAG仅提供分类定义。</x:v>
      </x:c>
    </x:row>
    <x:row r="16">
      <x:c r="A16" s="26" t="str">
        <x:v>PL004_Emission_水污</x:v>
      </x:c>
      <x:c r="B16" s="26" t="str">
        <x:v>PL004</x:v>
      </x:c>
      <x:c r="C16" s="26" t="str">
        <x:v>水污染物排放标准</x:v>
      </x:c>
      <x:c r="D16" s="26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E16" s="26" t="str">
        <x:v>2021-01</x:v>
      </x:c>
      <x:c r="F16" s="26" t="str">
        <x:v>企业预处理纳管标准、污水厂尾水标准、较严值衔接、再生水回用限值</x:v>
      </x:c>
      <x:c r="G16" s="26" t="str">
        <x:v>DB44/26-2001《水污染物排放限值》；GB 18918-2002及2025修改单；GB/T 18920-2020《城市污水再生利用 城市杂用水水质》</x:v>
      </x:c>
      <x:c r="H16" s="26" t="str">
        <x:v>DB44/26-2001；GB 18918-2002；GB/T 18920-2020</x:v>
      </x:c>
      <x:c r="I16" s="26" t="str">
        <x:v>报告时点版本与2026现行修改单分列</x:v>
      </x:c>
      <x:c r="J16" s="26" t="str">
        <x:v>广东省/全国</x:v>
      </x:c>
      <x:c r="K16" s="26" t="str">
        <x:v>第二时段三级/一级、一级A适用情形、尾水较严值、表1冲厕等回用指标</x:v>
      </x:c>
      <x:c r="L16" s="26" t="str">
        <x:v>WATER_DB44_26_2001;WATER_GB18918_2002;WATER_GB18918_MOD2025;WATER_GBT18920_2020_METADATA</x:v>
      </x:c>
      <x:c r="M16" s="26" t="str">
        <x:v>D:\华南理工项目\智慧环评\skill\ABCD实验工作区\04_RAG资料补齐与验证\02_downloaded_or_confirmed_sources\02_water_standards</x:v>
      </x:c>
      <x:c r="N16" s="26" t="str">
        <x:v>正式标准全文+官方修改单；GB/T 18920仅官方元数据</x:v>
      </x:c>
      <x:c r="O16" s="33" t="str">
        <x:v>missing</x:v>
      </x:c>
      <x:c r="P16" s="26" t="str">
        <x:v>critical</x:v>
      </x:c>
      <x:c r="Q16" s="26" t="str">
        <x:v>请用户提供合法取得的GB/T 18920-2020正式全文</x:v>
      </x:c>
      <x:c r="R16" s="27" t="b">
        <x:v>0</x:v>
      </x:c>
      <x:c r="S16" s="27" t="b">
        <x:v>1</x:v>
      </x:c>
      <x:c r="T16" s="26" t="str">
        <x:v>是否要求再生水标准由报告JSON中明确的回用事实触发。</x:v>
      </x:c>
    </x:row>
    <x:row r="17">
      <x:c r="A17" s="24" t="str">
        <x:v>PL004_Emission_噪声</x:v>
      </x:c>
      <x:c r="B17" s="24" t="str">
        <x:v>PL004</x:v>
      </x:c>
      <x:c r="C17" s="24" t="str">
        <x:v>噪声排放标准</x:v>
      </x:c>
      <x:c r="D17" s="2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E17" s="24" t="str">
        <x:v>2021-01</x:v>
      </x:c>
      <x:c r="F17" s="24" t="str">
        <x:v>地方声功能区划+厂界噪声限值</x:v>
      </x:c>
      <x:c r="G17" s="24" t="str">
        <x:v>佛山市声环境功能区划；工业企业厂界环境噪声排放标准</x:v>
      </x:c>
      <x:c r="H17" s="24" t="str">
        <x:v>佛环〔2024〕1号；GB 12348-2008</x:v>
      </x:c>
      <x:c r="I17" s="24" t="str">
        <x:v>2024；2008</x:v>
      </x:c>
      <x:c r="J17" s="24" t="str">
        <x:v>佛山市/顺德区</x:v>
      </x:c>
      <x:c r="K17" s="24" t="str">
        <x:v>项目片区编号/边界→功能区类别→昼夜限值</x:v>
      </x:c>
      <x:c r="L17" s="24" t="str">
        <x:v>NOISE_FOSHAN_ZONING_2024;NOISE_GB12348_2008</x:v>
      </x:c>
      <x:c r="M17" s="24" t="str">
        <x:v>D:\华南理工项目\智慧环评\skill\ABCD实验工作区\04_RAG资料补齐与验证\02_downloaded_or_confirmed_sources\03_noise_zoning</x:v>
      </x:c>
      <x:c r="N17" s="24" t="str">
        <x:v>官方区划PDF/JPG+国家标准PDF</x:v>
      </x:c>
      <x:c r="O17" s="29" t="str">
        <x:v>complete_primary_source</x:v>
      </x:c>
      <x:c r="P17" s="24" t="str">
        <x:v>low</x:v>
      </x:c>
      <x:c r="Q17" s="24" t="str">
        <x:v>无需新增；位置到图斑边界需人工复核</x:v>
      </x:c>
      <x:c r="R17" s="25" t="b">
        <x:v>1</x:v>
      </x:c>
      <x:c r="S17" s="25" t="b">
        <x:v>1</x:v>
      </x:c>
      <x:c r="T17" s="24" t="str">
        <x:v>官方区划已补齐，但不能仅凭GB12348限值推断项目所属类别。</x:v>
      </x:c>
    </x:row>
    <x:row r="18">
      <x:c r="A18" s="26" t="str">
        <x:v>PL004_Emission_固体</x:v>
      </x:c>
      <x:c r="B18" s="26" t="str">
        <x:v>PL004</x:v>
      </x:c>
      <x:c r="C18" s="26" t="str">
        <x:v>固体废物控制标准</x:v>
      </x:c>
      <x:c r="D18" s="26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E18" s="26" t="str">
        <x:v>2021-01</x:v>
      </x:c>
      <x:c r="F18" s="26" t="str">
        <x:v>固废法律法规、一般固废适用边界、危废贮存与名录、固废鉴别版本</x:v>
      </x:c>
      <x:c r="G18" s="26" t="str">
        <x:v>固废法；广东省固废条例；GB18597；GB18599；危险废物名录；GB34330</x:v>
      </x:c>
      <x:c r="H18" s="26" t="str">
        <x:v>法律；地方条例；GB 18597-2023；GB 18599-2020；2021/2025名录；GB 34330-2017/2025</x:v>
      </x:c>
      <x:c r="I18" s="26" t="str">
        <x:v>历史与2026现行版本并列</x:v>
      </x:c>
      <x:c r="J18" s="26" t="str">
        <x:v>全国/广东省</x:v>
      </x:c>
      <x:c r="K18" s="26" t="str">
        <x:v>一般固废库房/包装贮存适用边界；防渗漏、防雨淋、防扬尘；危废类别与贮存要求</x:v>
      </x:c>
      <x:c r="L18" s="26" t="str">
        <x:v>SOLID_WASTE_LAW_2020;SOLID_GD_REG_2022;SOLID_GB18597_2023;SOLID_GB18599_2020;SOLID_HW2021_HIST;SOLID_HW2025_CURRENT;SOLID_GB34330_2017_HIST;SOLID_GB34330_2025</x:v>
      </x:c>
      <x:c r="M18" s="26" t="str">
        <x:v>D:\华南理工项目\智慧环评\skill\ABCD实验工作区\04_RAG资料补齐与验证\02_downloaded_or_confirmed_sources\04_solid_waste</x:v>
      </x:c>
      <x:c r="N18" s="26" t="str">
        <x:v>法律/条例政府页+官方标准PDF</x:v>
      </x:c>
      <x:c r="O18" s="29" t="str">
        <x:v>complete_primary_source</x:v>
      </x:c>
      <x:c r="P18" s="26" t="str">
        <x:v>low</x:v>
      </x:c>
      <x:c r="Q18" s="26" t="str">
        <x:v>无需新增；审查时按报告日期选择历史版本</x:v>
      </x:c>
      <x:c r="R18" s="27" t="b">
        <x:v>1</x:v>
      </x:c>
      <x:c r="S18" s="27" t="b">
        <x:v>1</x:v>
      </x:c>
      <x:c r="T18" s="26" t="str">
        <x:v>2021名录和GB34330-2017仅作历史核验，2026现行分别为2025名录和GB34330-2025。</x:v>
      </x:c>
    </x:row>
    <x:row r="19">
      <x:c r="A19" s="24" t="str">
        <x:v>PL005_Emission_水污</x:v>
      </x:c>
      <x:c r="B19" s="24" t="str">
        <x:v>PL005</x:v>
      </x:c>
      <x:c r="C19" s="24" t="str">
        <x:v>水污染物排放标准</x:v>
      </x:c>
      <x:c r="D19" s="2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E19" s="24" t="str">
        <x:v>2016-04</x:v>
      </x:c>
      <x:c r="F19" s="24" t="str">
        <x:v>企业预处理纳管标准、污水厂尾水标准、较严值衔接、再生水回用限值</x:v>
      </x:c>
      <x:c r="G19" s="24" t="str">
        <x:v>DB44/26-2001《水污染物排放限值》；GB 18918-2002及2025修改单；GB/T 18920-2020《城市污水再生利用 城市杂用水水质》</x:v>
      </x:c>
      <x:c r="H19" s="24" t="str">
        <x:v>DB44/26-2001；GB 18918-2002；GB/T 18920-2020</x:v>
      </x:c>
      <x:c r="I19" s="24" t="str">
        <x:v>报告时点版本与2026现行修改单分列</x:v>
      </x:c>
      <x:c r="J19" s="24" t="str">
        <x:v>广东省/全国</x:v>
      </x:c>
      <x:c r="K19" s="24" t="str">
        <x:v>第二时段三级/一级、一级A适用情形、尾水较严值、表1冲厕等回用指标</x:v>
      </x:c>
      <x:c r="L19" s="24" t="str">
        <x:v>WATER_DB44_26_2001;WATER_GB18918_2002;WATER_GB18918_MOD2025;WATER_GBT18920_2020_METADATA</x:v>
      </x:c>
      <x:c r="M19" s="24" t="str">
        <x:v>D:\华南理工项目\智慧环评\skill\ABCD实验工作区\04_RAG资料补齐与验证\02_downloaded_or_confirmed_sources\02_water_standards</x:v>
      </x:c>
      <x:c r="N19" s="24" t="str">
        <x:v>正式标准全文+官方修改单；GB/T 18920仅官方元数据</x:v>
      </x:c>
      <x:c r="O19" s="33" t="str">
        <x:v>missing</x:v>
      </x:c>
      <x:c r="P19" s="24" t="str">
        <x:v>critical</x:v>
      </x:c>
      <x:c r="Q19" s="24" t="str">
        <x:v>请用户提供合法取得的GB/T 18920-2020正式全文</x:v>
      </x:c>
      <x:c r="R19" s="25" t="b">
        <x:v>0</x:v>
      </x:c>
      <x:c r="S19" s="25" t="b">
        <x:v>1</x:v>
      </x:c>
      <x:c r="T19" s="24" t="str">
        <x:v>是否要求再生水标准由报告JSON中明确的回用事实触发。</x:v>
      </x:c>
    </x:row>
    <x:row r="20">
      <x:c r="A20" s="26" t="str">
        <x:v>PL005_Emission_噪声</x:v>
      </x:c>
      <x:c r="B20" s="26" t="str">
        <x:v>PL005</x:v>
      </x:c>
      <x:c r="C20" s="26" t="str">
        <x:v>噪声排放标准</x:v>
      </x:c>
      <x:c r="D20" s="26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E20" s="26" t="str">
        <x:v>2016-04</x:v>
      </x:c>
      <x:c r="F20" s="26" t="str">
        <x:v>地方声功能区划+厂界噪声限值</x:v>
      </x:c>
      <x:c r="G20" s="26" t="str">
        <x:v>佛山市声环境功能区划；工业企业厂界环境噪声排放标准</x:v>
      </x:c>
      <x:c r="H20" s="26" t="str">
        <x:v>佛环〔2024〕1号；GB 12348-2008</x:v>
      </x:c>
      <x:c r="I20" s="26" t="str">
        <x:v>2024；2008</x:v>
      </x:c>
      <x:c r="J20" s="26" t="str">
        <x:v>佛山市/顺德区</x:v>
      </x:c>
      <x:c r="K20" s="26" t="str">
        <x:v>项目片区编号/边界→功能区类别→昼夜限值</x:v>
      </x:c>
      <x:c r="L20" s="26" t="str">
        <x:v>NOISE_FOSHAN_ZONING_2024;NOISE_GB12348_2008</x:v>
      </x:c>
      <x:c r="M20" s="26" t="str">
        <x:v>D:\华南理工项目\智慧环评\skill\ABCD实验工作区\04_RAG资料补齐与验证\02_downloaded_or_confirmed_sources\03_noise_zoning</x:v>
      </x:c>
      <x:c r="N20" s="26" t="str">
        <x:v>官方区划PDF/JPG+国家标准PDF</x:v>
      </x:c>
      <x:c r="O20" s="29" t="str">
        <x:v>complete_primary_source</x:v>
      </x:c>
      <x:c r="P20" s="26" t="str">
        <x:v>low</x:v>
      </x:c>
      <x:c r="Q20" s="26" t="str">
        <x:v>无需新增；位置到图斑边界需人工复核</x:v>
      </x:c>
      <x:c r="R20" s="27" t="b">
        <x:v>1</x:v>
      </x:c>
      <x:c r="S20" s="27" t="b">
        <x:v>1</x:v>
      </x:c>
      <x:c r="T20" s="26" t="str">
        <x:v>官方区划已补齐，但不能仅凭GB12348限值推断项目所属类别。</x:v>
      </x:c>
    </x:row>
    <x:row r="21">
      <x:c r="A21" s="24" t="str">
        <x:v>PL005_Emission_固体</x:v>
      </x:c>
      <x:c r="B21" s="24" t="str">
        <x:v>PL005</x:v>
      </x:c>
      <x:c r="C21" s="24" t="str">
        <x:v>固体废物控制标准</x:v>
      </x:c>
      <x:c r="D21" s="2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E21" s="24" t="str">
        <x:v>2016-04</x:v>
      </x:c>
      <x:c r="F21" s="24" t="str">
        <x:v>固废法律法规、一般固废适用边界、危废贮存与名录、固废鉴别版本</x:v>
      </x:c>
      <x:c r="G21" s="24" t="str">
        <x:v>固废法；广东省固废条例；GB18597；GB18599；危险废物名录；GB34330</x:v>
      </x:c>
      <x:c r="H21" s="24" t="str">
        <x:v>法律；地方条例；GB 18597-2023；GB 18599-2020；2021/2025名录；GB 34330-2017/2025</x:v>
      </x:c>
      <x:c r="I21" s="24" t="str">
        <x:v>历史与2026现行版本并列</x:v>
      </x:c>
      <x:c r="J21" s="24" t="str">
        <x:v>全国/广东省</x:v>
      </x:c>
      <x:c r="K21" s="24" t="str">
        <x:v>一般固废库房/包装贮存适用边界；防渗漏、防雨淋、防扬尘；危废类别与贮存要求</x:v>
      </x:c>
      <x:c r="L21" s="24" t="str">
        <x:v>SOLID_WASTE_LAW_2020;SOLID_GD_REG_2022;SOLID_GB18597_2023;SOLID_GB18599_2020;SOLID_HW2021_HIST;SOLID_HW2025_CURRENT;SOLID_GB34330_2017_HIST;SOLID_GB34330_2025</x:v>
      </x:c>
      <x:c r="M21" s="24" t="str">
        <x:v>D:\华南理工项目\智慧环评\skill\ABCD实验工作区\04_RAG资料补齐与验证\02_downloaded_or_confirmed_sources\04_solid_waste</x:v>
      </x:c>
      <x:c r="N21" s="24" t="str">
        <x:v>法律/条例政府页+官方标准PDF</x:v>
      </x:c>
      <x:c r="O21" s="29" t="str">
        <x:v>complete_primary_source</x:v>
      </x:c>
      <x:c r="P21" s="24" t="str">
        <x:v>low</x:v>
      </x:c>
      <x:c r="Q21" s="24" t="str">
        <x:v>无需新增；审查时按报告日期选择历史版本</x:v>
      </x:c>
      <x:c r="R21" s="25" t="b">
        <x:v>1</x:v>
      </x:c>
      <x:c r="S21" s="25" t="b">
        <x:v>1</x:v>
      </x:c>
      <x:c r="T21" s="24" t="str">
        <x:v>2021名录和GB34330-2017仅作历史核验，2026现行分别为2025名录和GB34330-2025。</x:v>
      </x:c>
    </x:row>
    <x:row r="22">
      <x:c r="A22" s="26" t="str">
        <x:v>PL006_EnvQuality_Q01</x:v>
      </x:c>
      <x:c r="B22" s="26" t="str">
        <x:v>PL006</x:v>
      </x:c>
      <x:c r="C22" s="26" t="str">
        <x:v>环境质量数据引用</x:v>
      </x:c>
      <x:c r="D22" s="26" t="str">
        <x:v>请根据报告引用的环境质量公报及现状数据，判断大气和地表水环境质量现状数据引用是否准确。</x:v>
      </x:c>
      <x:c r="E22" s="26" t="str">
        <x:v>2024-02</x:v>
      </x:c>
      <x:c r="F22" s="26" t="str">
        <x:v>历史公报原文、空气质量表、地表水断面/水体数据</x:v>
      </x:c>
      <x:c r="G22" s="26" t="str">
        <x:v>2022年度佛山市顺德区生态环境质量状况公报</x:v>
      </x:c>
      <x:c r="H22" s="26" t="str">
        <x:v>佛环顺函〔2023〕26号</x:v>
      </x:c>
      <x:c r="I22" s="26" t="str">
        <x:v>2022年度数据/2023发布</x:v>
      </x:c>
      <x:c r="J22" s="26" t="str">
        <x:v>佛山市顺德区</x:v>
      </x:c>
      <x:c r="K22" s="26" t="str">
        <x:v>大气六项指标及同比变化；断面/水体名称、类别和达标情况</x:v>
      </x:c>
      <x:c r="L22" s="26" t="str">
        <x:v>ENV_SHUNDE_2022;ENV_SHUNDE_2024</x:v>
      </x:c>
      <x:c r="M22" s="26" t="str">
        <x:v>D:\华南理工项目\智慧环评\skill\ABCD实验工作区\04_RAG资料补齐与验证\02_downloaded_or_confirmed_sources\01_environment_bulletins\2022年度佛山市顺德区生态环境状况公报_佛环顺函2023_26号.pdf</x:v>
      </x:c>
      <x:c r="N22" s="26" t="str">
        <x:v>正式公文PDF+较新公报参考</x:v>
      </x:c>
      <x:c r="O22" s="29" t="str">
        <x:v>complete_primary_source</x:v>
      </x:c>
      <x:c r="P22" s="26" t="str">
        <x:v>low</x:v>
      </x:c>
      <x:c r="Q22" s="26" t="str">
        <x:v>无需补充全文；如需最高追溯等级，可补登记官方发布网页URL</x:v>
      </x:c>
      <x:c r="R22" s="27" t="b">
        <x:v>1</x:v>
      </x:c>
      <x:c r="S22" s="27" t="b">
        <x:v>1</x:v>
      </x:c>
      <x:c r="T22" s="26" t="str">
        <x:v>2022公报已补齐；2023/2024公报只作当前参考，不得替代2022历史引用核验。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>
      <x:c r="A1" s="35" t="str">
        <x:v>状态汇总</x:v>
      </x:c>
      <x:c r="B1" s="35" t="str">
        <x:v>状态汇总</x:v>
      </x:c>
      <x:c r="C1" s="35" t="str">
        <x:v>状态汇总</x:v>
      </x:c>
      <x:c r="D1" s="35" t="str">
        <x:v>状态汇总</x:v>
      </x:c>
    </x:row>
    <x:row r="2">
      <x:c r="A2" s="35" t="str">
        <x:v>状态汇总</x:v>
      </x:c>
      <x:c r="B2" s="35" t="str">
        <x:v>状态汇总</x:v>
      </x:c>
      <x:c r="C2" s="35" t="str">
        <x:v>状态汇总</x:v>
      </x:c>
      <x:c r="D2" s="35" t="str">
        <x:v>状态汇总</x:v>
      </x:c>
    </x:row>
    <x:row r="4">
      <x:c r="A4" s="14" t="str">
        <x:v>状态</x:v>
      </x:c>
      <x:c r="B4" s="14" t="str">
        <x:v>数量（公式）</x:v>
      </x:c>
    </x:row>
    <x:row r="5">
      <x:c r="A5" s="40" t="str">
        <x:v>complete_primary_source</x:v>
      </x:c>
      <x:c r="B5" s="8" t="n">
        <x:f>COUNTIF('Requirement Matrix'!O2:O22,A5)</x:f>
        <x:v>18</x:v>
      </x:c>
    </x:row>
    <x:row r="6">
      <x:c r="A6" s="41" t="str">
        <x:v>primary_source_not_indexed</x:v>
      </x:c>
      <x:c r="B6" s="8" t="n">
        <x:f>COUNTIF('Requirement Matrix'!O2:O22,A6)</x:f>
        <x:v>0</x:v>
      </x:c>
    </x:row>
    <x:row r="7">
      <x:c r="A7" s="42" t="str">
        <x:v>derived_only</x:v>
      </x:c>
      <x:c r="B7" s="8" t="n">
        <x:f>COUNTIF('Requirement Matrix'!O2:O22,A7)</x:f>
        <x:v>0</x:v>
      </x:c>
    </x:row>
    <x:row r="8">
      <x:c r="A8" s="41" t="str">
        <x:v>version_uncertain</x:v>
      </x:c>
      <x:c r="B8" s="8" t="n">
        <x:f>COUNTIF('Requirement Matrix'!O2:O22,A8)</x:f>
        <x:v>0</x:v>
      </x:c>
    </x:row>
    <x:row r="9">
      <x:c r="A9" s="42" t="str">
        <x:v>missing</x:v>
      </x:c>
      <x:c r="B9" s="8" t="n">
        <x:f>COUNTIF('Requirement Matrix'!O2:O22,A9)</x:f>
        <x:v>2</x:v>
      </x:c>
    </x:row>
    <x:row r="10">
      <x:c r="A10" s="43" t="str">
        <x:v>not_required</x:v>
      </x:c>
      <x:c r="B10" s="8" t="n">
        <x:f>COUNTIF('Requirement Matrix'!O2:O22,A10)</x:f>
        <x:v>1</x:v>
      </x:c>
    </x:row>
    <x:row r="11">
      <x:c r="A11" s="7" t="str">
        <x:v>合计</x:v>
      </x:c>
      <x:c r="B11" s="7" t="n">
        <x:f>SUM(B5:B10)</x:f>
        <x:v>21</x:v>
      </x:c>
    </x:row>
  </x:sheetData>
  <x:mergeCells>
    <x:mergeCell ref="A1:D2"/>
  </x:mergeCells>
  <x:pageMargins left="0.7" right="0.7" top="0.75" bottom="0.75" header="0.3" footer="0.3"/>
</x:worksheet>
</file>