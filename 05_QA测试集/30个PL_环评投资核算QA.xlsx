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ea1d6eaf6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投资核算QA" sheetId="1" r:id="R0c5485edafbb458d"/>
    <x:sheet xmlns:r="http://schemas.openxmlformats.org/officeDocument/2006/relationships" name="核算明细" sheetId="2" r:id="Rebaf21342394488c"/>
    <x:sheet xmlns:r="http://schemas.openxmlformats.org/officeDocument/2006/relationships" name="说明" sheetId="3" r:id="R403677111035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11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200" fontId="0" fillId="0" borderId="4" xfId="0" applyNumberFormat="1" applyFont="1" applyFill="1" applyBorder="1" applyAlignment="1">
      <x:alignment horizontal="center" vertical="top" wrapText="1"/>
    </x:xf>
    <x:xf numFmtId="200" fontId="0" fillId="0" borderId="2" xfId="0" applyNumberFormat="1" applyFont="1" applyFill="1" applyBorder="1" applyAlignment="1">
      <x:alignment horizontal="center" vertical="top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4" fillId="2" borderId="10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db10322ef4d89" /><Relationship Type="http://schemas.openxmlformats.org/officeDocument/2006/relationships/theme" Target="/xl/theme/theme1.xml" Id="Rfbf0b1c21fe544cc" /><Relationship Type="http://schemas.openxmlformats.org/officeDocument/2006/relationships/sharedStrings" Target="/xl/sharedStrings.xml" Id="R5ef2e39eac974ee1" /><Relationship Type="http://schemas.openxmlformats.org/officeDocument/2006/relationships/worksheet" Target="/xl/worksheets/sheet1.xml" Id="R0c5485edafbb458d" /><Relationship Type="http://schemas.openxmlformats.org/officeDocument/2006/relationships/worksheet" Target="/xl/worksheets/sheet2.xml" Id="Rebaf21342394488c" /><Relationship Type="http://schemas.openxmlformats.org/officeDocument/2006/relationships/worksheet" Target="/xl/worksheets/sheet3.xml" Id="R4036771110354f95" /></Relationships>
</file>

<file path=xl/tables/table1.xml><?xml version="1.0" encoding="utf-8"?>
<x:table xmlns:x="http://schemas.openxmlformats.org/spreadsheetml/2006/main" id="1" name="InvestmentQATable" displayName="InvestmentQATable" ref="A5:H35" headerRowCount="1" totalsRowCount="0" totalsRowShown="0">
  <x:tableColumns count="8">
    <x:tableColumn id="1" name="序号"/>
    <x:tableColumn id="2" name="PL编号"/>
    <x:tableColumn id="3" name="项目名称"/>
    <x:tableColumn id="4" name="问题ID"/>
    <x:tableColumn id="5" name="问题"/>
    <x:tableColumn id="6" name="答案"/>
    <x:tableColumn id="7" name="审核结论"/>
    <x:tableColumn id="8" name="证据与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stmentCalcTable" displayName="InvestmentCalcTable" ref="A3:N33" headerRowCount="1" totalsRowCount="0" totalsRowShown="0">
  <x:tableColumns count="14">
    <x:tableColumn id="1" name="PL编号"/>
    <x:tableColumn id="2" name="项目名称"/>
    <x:tableColumn id="3" name="总投资（万元）"/>
    <x:tableColumn id="4" name="环保投资（万元）"/>
    <x:tableColumn id="5" name="报告占比"/>
    <x:tableColumn id="6" name="分项合计（万元）"/>
    <x:tableColumn id="7" name="基本情况表可核"/>
    <x:tableColumn id="8" name="投资明细表"/>
    <x:tableColumn id="9" name="复算占比"/>
    <x:tableColumn id="10" name="占比误差（百分点）"/>
    <x:tableColumn id="11" name="分项差额（万元）"/>
    <x:tableColumn id="12" name="核算状态"/>
    <x:tableColumn id="13" name="缺失证据"/>
    <x:tableColumn id="14" name="人工复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df1c5577d84d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32c4a4c73346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30" hidden="0" customWidth="1"/>
    <x:col min="4" max="4" width="20" hidden="0" customWidth="1"/>
    <x:col min="5" max="5" width="42" hidden="0" customWidth="1"/>
    <x:col min="6" max="6" width="90" hidden="0" customWidth="1"/>
    <x:col min="7" max="7" width="12" hidden="0" customWidth="1"/>
    <x:col min="8" max="8" width="48" hidden="0" customWidth="1"/>
  </x:cols>
  <x:sheetData>
    <x:row r="1" ht="30" customHeight="1">
      <x:c r="A1" s="4" t="str">
        <x:v>30个PL项目环保投资核算问答对</x:v>
      </x:c>
      <x:c r="B1" s="4"/>
      <x:c r="C1" s="4"/>
      <x:c r="D1" s="4"/>
      <x:c r="E1" s="4"/>
      <x:c r="F1" s="4"/>
      <x:c r="G1" s="4"/>
      <x:c r="H1" s="4"/>
    </x:row>
    <x:row r="2">
      <x:c r="A2" s="13" t="str">
        <x:v>题目数</x:v>
      </x:c>
      <x:c r="B2" s="14" t="n">
        <x:v>30</x:v>
      </x:c>
      <x:c r="C2" s="14" t="str">
        <x:v>核算正确</x:v>
      </x:c>
      <x:c r="D2" s="14" t="n">
        <x:v>9</x:v>
      </x:c>
      <x:c r="E2" s="14" t="str">
        <x:v>需复核</x:v>
      </x:c>
      <x:c r="F2" s="14" t="n">
        <x:v>21</x:v>
      </x:c>
      <x:c r="G2" s="14" t="str">
        <x:v>无法完整判断</x:v>
      </x:c>
      <x:c r="H2" s="15" t="n">
        <x:v>5</x:v>
      </x:c>
    </x:row>
    <x:row r="3" ht="34" customHeight="1">
      <x:c r="A3" s="19" t="str">
        <x:v>核算口径：环保投资占比=环保投资÷总投资×100%；占比绝对误差≤0.1个百分点、分项合计差额≤0.01万元视为一致。公开版脱敏或缺少明细时不补造数据。</x:v>
      </x:c>
      <x:c r="B3" s="19"/>
      <x:c r="C3" s="19"/>
      <x:c r="D3" s="19"/>
      <x:c r="E3" s="19"/>
      <x:c r="F3" s="19"/>
      <x:c r="G3" s="19"/>
      <x:c r="H3" s="19"/>
    </x:row>
    <x:row r="5" ht="28" customHeight="1">
      <x:c r="A5" s="34" t="str">
        <x:v>序号</x:v>
      </x:c>
      <x:c r="B5" s="35" t="str">
        <x:v>PL编号</x:v>
      </x:c>
      <x:c r="C5" s="35" t="str">
        <x:v>项目名称</x:v>
      </x:c>
      <x:c r="D5" s="35" t="str">
        <x:v>问题ID</x:v>
      </x:c>
      <x:c r="E5" s="35" t="str">
        <x:v>问题</x:v>
      </x:c>
      <x:c r="F5" s="35" t="str">
        <x:v>答案</x:v>
      </x:c>
      <x:c r="G5" s="35" t="str">
        <x:v>审核结论</x:v>
      </x:c>
      <x:c r="H5" s="36" t="str">
        <x:v>证据与来源</x:v>
      </x:c>
    </x:row>
    <x:row r="6" ht="82" customHeight="1">
      <x:c r="A6" s="37" t="n">
        <x:v>1</x:v>
      </x:c>
      <x:c r="B6" s="30" t="str">
        <x:v>PL001</x:v>
      </x:c>
      <x:c r="C6" s="28" t="str">
        <x:v>佛山市亮正新材料有限公司新建项目</x:v>
      </x:c>
      <x:c r="D6" s="30" t="str">
        <x:v>PL001_V01_Q03</x:v>
      </x:c>
      <x:c r="E6" s="28" t="str">
        <x:v>请根据报告中的总投资、环保投资和环保工程投资明细，判断环保投资核算是否前后一致、比例是否正确。</x:v>
      </x:c>
      <x:c r="F6" s="28" t="str">
        <x:v>环评投资核算判定结论：需复核；具体分析：报告填报总投资为50万元、环保投资为10万元、环保投资占比为20%。按“环保投资÷总投资×100%”复算为20.00%，与报告填报值一致；但现有解析文本未检索到环保工程投资明细表，无法核对分项合计是否与环保投资一致。因此，占比计算正确，环保投资前后一致性仍需结合原报告投资明细表复核。</x:v>
      </x:c>
      <x:c r="G6" s="30" t="str">
        <x:v>需复核</x:v>
      </x:c>
      <x:c r="H6" s="38" t="str">
        <x:v>一、建设项目基本情况：总投资50万元、环保投资10万元、占比20%。来源：解析文本拼接_01_001-020(4).md</x:v>
      </x:c>
    </x:row>
    <x:row r="7" ht="82" customHeight="1">
      <x:c r="A7" s="39" t="n">
        <x:v>2</x:v>
      </x:c>
      <x:c r="B7" s="31" t="str">
        <x:v>PL002</x:v>
      </x:c>
      <x:c r="C7" s="29" t="str">
        <x:v>佛山市顺德区启卓工程塑料实业有限公司搬迁项目</x:v>
      </x:c>
      <x:c r="D7" s="31" t="str">
        <x:v>PL002_V02_Q03</x:v>
      </x:c>
      <x:c r="E7" s="29" t="str">
        <x:v>请根据报告中的总投资、环保投资和环保工程投资明细，判断环保投资核算是否前后一致、比例是否正确。</x:v>
      </x:c>
      <x:c r="F7" s="29" t="str">
        <x:v>环评投资核算判定结论：需复核；具体分析：报告填报总投资为150万元、环保投资为15万元、环保投资占比为10%。按“环保投资÷总投资×100%”复算为10.00%，与报告填报值一致；但现有解析文本未检索到环保工程投资明细表，无法核对分项合计是否与环保投资一致。因此，占比计算正确，环保投资前后一致性仍需结合原报告投资明细表复核。</x:v>
      </x:c>
      <x:c r="G7" s="31" t="str">
        <x:v>需复核</x:v>
      </x:c>
      <x:c r="H7" s="40" t="str">
        <x:v>一、建设项目基本情况：总投资150万元、环保投资15万元、占比10%。来源：解析文本拼接_01_001-020(4).md</x:v>
      </x:c>
    </x:row>
    <x:row r="8" ht="82" customHeight="1">
      <x:c r="A8" s="39" t="n">
        <x:v>3</x:v>
      </x:c>
      <x:c r="B8" s="31" t="str">
        <x:v>PL003</x:v>
      </x:c>
      <x:c r="C8" s="29" t="str">
        <x:v>佛山市顺德区康明新材料厂新建项目</x:v>
      </x:c>
      <x:c r="D8" s="31" t="str">
        <x:v>PL003_V01_Q03</x:v>
      </x:c>
      <x:c r="E8" s="29" t="str">
        <x:v>请根据报告中的总投资、环保投资和环保工程投资明细，判断环保投资核算是否前后一致、比例是否正确。</x:v>
      </x:c>
      <x:c r="F8" s="29" t="str">
        <x:v>环评投资核算判定结论：正确；具体分析：报告填报总投资为100万元、环保投资为15万元、环保投资占比为15%。按“环保投资÷总投资×100%”复算为15.00%，与报告填报值一致；表2-9 项目环保工程措施投资一览表中的分项投资合计为15万元，与环保投资一致。因此，环保投资金额、分项合计及占比前后一致，核算正确。</x:v>
      </x:c>
      <x:c r="G8" s="31" t="str">
        <x:v>正确</x:v>
      </x:c>
      <x:c r="H8" s="40" t="str">
        <x:v>一、建设项目基本情况；表2-9：总投资100万元、环保投资15万元、占比15%；分项合计15万元。来源：解析文本拼接_01_001-020(4).md</x:v>
      </x:c>
    </x:row>
    <x:row r="9" ht="82" customHeight="1">
      <x:c r="A9" s="39" t="n">
        <x:v>4</x:v>
      </x:c>
      <x:c r="B9" s="31" t="str">
        <x:v>PL004</x:v>
      </x:c>
      <x:c r="C9" s="29" t="str">
        <x:v>恒励新材料科技（佛山）有限公司新建项目</x:v>
      </x:c>
      <x:c r="D9" s="31" t="str">
        <x:v>PL004_V01_Q03</x:v>
      </x:c>
      <x:c r="E9" s="29" t="str">
        <x:v>请根据报告中的总投资、环保投资和环保工程投资明细，判断环保投资核算是否前后一致、比例是否正确。</x:v>
      </x:c>
      <x:c r="F9" s="29" t="str">
        <x:v>环评投资核算判定结论：需复核；具体分析：报告填报总投资为100万元、环保投资为10万元、环保投资占比为10%。按“环保投资÷总投资×100%”复算为10.00%，与报告填报值一致；但现有解析文本未检索到环保工程投资明细表，无法核对分项合计是否与环保投资一致。因此，占比计算正确，环保投资前后一致性仍需结合原报告投资明细表复核。</x:v>
      </x:c>
      <x:c r="G9" s="31" t="str">
        <x:v>需复核</x:v>
      </x:c>
      <x:c r="H9" s="40" t="str">
        <x:v>一、建设项目基本情况：总投资100万元、环保投资10万元、占比10%。来源：解析文本拼接_01_001-020(4).md</x:v>
      </x:c>
    </x:row>
    <x:row r="10" ht="82" customHeight="1">
      <x:c r="A10" s="39" t="n">
        <x:v>5</x:v>
      </x:c>
      <x:c r="B10" s="31" t="str">
        <x:v>PL018</x:v>
      </x:c>
      <x:c r="C10" s="29" t="str">
        <x:v>广东台塑智能科技有限公司新建项目</x:v>
      </x:c>
      <x:c r="D10" s="31" t="str">
        <x:v>PL018_V01_Q03</x:v>
      </x:c>
      <x:c r="E10" s="29" t="str">
        <x:v>请根据报告中的总投资、环保投资和环保工程投资明细，判断环保投资核算是否前后一致、比例是否正确。</x:v>
      </x:c>
      <x:c r="F10" s="29" t="str">
        <x:v>环评投资核算判定结论：需复核；具体分析：报告填报总投资为1000万元、环保投资为30万元、环保投资占比为3%。按“环保投资÷总投资×100%”复算为3.00%，与报告填报值一致；但现有解析文本未检索到环保工程投资明细表，无法核对分项合计是否与环保投资一致。因此，占比计算正确，环保投资前后一致性仍需结合原报告投资明细表复核。</x:v>
      </x:c>
      <x:c r="G10" s="31" t="str">
        <x:v>需复核</x:v>
      </x:c>
      <x:c r="H10" s="40" t="str">
        <x:v>一、建设项目基本情况：总投资1000万元、环保投资30万元、占比3%。来源：解析文本拼接_01_001-020(4).md</x:v>
      </x:c>
    </x:row>
    <x:row r="11" ht="82" customHeight="1">
      <x:c r="A11" s="39" t="n">
        <x:v>6</x:v>
      </x:c>
      <x:c r="B11" s="31" t="str">
        <x:v>PL019</x:v>
      </x:c>
      <x:c r="C11" s="29" t="str">
        <x:v>佛山市智龙科技有限公司迁扩建项目</x:v>
      </x:c>
      <x:c r="D11" s="31" t="str">
        <x:v>PL019_V01_Q03</x:v>
      </x:c>
      <x:c r="E11" s="29" t="str">
        <x:v>请根据报告中的总投资、环保投资和环保工程投资明细，判断环保投资核算是否前后一致、比例是否正确。</x:v>
      </x:c>
      <x:c r="F11" s="29" t="str">
        <x:v>环评投资核算判定结论：正确；具体分析：报告填报总投资为100万元、环保投资为12万元、环保投资占比为12%。按“环保投资÷总投资×100%”复算为12.00%，与报告填报值一致；表2.11 项目环保工程措施投资一览表中的分项投资合计为12万元，与环保投资一致。因此，环保投资金额、分项合计及占比前后一致，核算正确。</x:v>
      </x:c>
      <x:c r="G11" s="31" t="str">
        <x:v>正确</x:v>
      </x:c>
      <x:c r="H11" s="40" t="str">
        <x:v>一、建设项目基本情况；表2.11：总投资100万元、环保投资12万元、占比12%；分项合计12万元。来源：解析文本拼接_01_001-020(4).md</x:v>
      </x:c>
    </x:row>
    <x:row r="12" ht="82" customHeight="1">
      <x:c r="A12" s="39" t="n">
        <x:v>7</x:v>
      </x:c>
      <x:c r="B12" s="31" t="str">
        <x:v>PL020</x:v>
      </x:c>
      <x:c r="C12" s="29" t="str">
        <x:v>佛山市朗信塑料制品有限公司新建项目</x:v>
      </x:c>
      <x:c r="D12" s="31" t="str">
        <x:v>PL020_V01_Q03</x:v>
      </x:c>
      <x:c r="E12" s="29" t="str">
        <x:v>请根据报告中的总投资、环保投资和环保工程投资明细，判断环保投资核算是否前后一致、比例是否正确。</x:v>
      </x:c>
      <x:c r="F12" s="29" t="str">
        <x:v>环评投资核算判定结论：需复核；具体分析：报告填报总投资为100万元、环保投资为15万元、环保投资占比为15%。按“环保投资÷总投资×100%”复算为15.00%，与报告填报值一致；但现有解析文本未检索到环保工程投资明细表，无法核对分项合计是否与环保投资一致。因此，占比计算正确，环保投资前后一致性仍需结合原报告投资明细表复核。</x:v>
      </x:c>
      <x:c r="G12" s="31" t="str">
        <x:v>需复核</x:v>
      </x:c>
      <x:c r="H12" s="40" t="str">
        <x:v>一、建设项目基本情况：总投资100万元、环保投资15万元、占比15%。来源：解析文本拼接_01_001-020(4).md</x:v>
      </x:c>
    </x:row>
    <x:row r="13" ht="82" customHeight="1">
      <x:c r="A13" s="39" t="n">
        <x:v>8</x:v>
      </x:c>
      <x:c r="B13" s="31" t="str">
        <x:v>PL021</x:v>
      </x:c>
      <x:c r="C13" s="29" t="str">
        <x:v>佛山市顺德区共诺电子元件厂搬迁项目</x:v>
      </x:c>
      <x:c r="D13" s="31" t="str">
        <x:v>PL021_V01_Q03</x:v>
      </x:c>
      <x:c r="E13" s="29" t="str">
        <x:v>请根据报告中的总投资、环保投资和环保工程投资明细，判断环保投资核算是否前后一致、比例是否正确。</x:v>
      </x:c>
      <x:c r="F13" s="29" t="str">
        <x:v>环评投资核算判定结论：正确；具体分析：报告填报总投资为250万元、环保投资为10万元、环保投资占比为4%。按“环保投资÷总投资×100%”复算为4.00%，与报告填报值一致；表4-24 环境保护工程措施投资中的分项投资合计为10万元，与环保投资一致。因此，环保投资金额、分项合计及占比前后一致，核算正确。</x:v>
      </x:c>
      <x:c r="G13" s="31" t="str">
        <x:v>正确</x:v>
      </x:c>
      <x:c r="H13" s="40" t="str">
        <x:v>一、建设项目基本情况；表4-24：总投资250万元、环保投资10万元、占比4%；分项合计10万元。来源：解析文本拼接_01_001-020(4).md</x:v>
      </x:c>
    </x:row>
    <x:row r="14" ht="82" customHeight="1">
      <x:c r="A14" s="39" t="n">
        <x:v>9</x:v>
      </x:c>
      <x:c r="B14" s="31" t="str">
        <x:v>PL022</x:v>
      </x:c>
      <x:c r="C14" s="29" t="str">
        <x:v>佛山市锐拓新材料有限公司新建项目</x:v>
      </x:c>
      <x:c r="D14" s="31" t="str">
        <x:v>PL022_V01_Q03</x:v>
      </x:c>
      <x:c r="E14" s="29" t="str">
        <x:v>请根据报告中的总投资、环保投资和环保工程投资明细，判断环保投资核算是否前后一致、比例是否正确。</x:v>
      </x:c>
      <x:c r="F14" s="29" t="str">
        <x:v>环评投资核算判定结论：需复核；具体分析：报告填报总投资为100万元、环保投资为10万元、环保投资占比为10%。按“环保投资÷总投资×100%”复算为10.00%，与报告填报值一致；但现有解析文本未检索到环保工程投资明细表，无法核对分项合计是否与环保投资一致。因此，占比计算正确，环保投资前后一致性仍需结合原报告投资明细表复核。</x:v>
      </x:c>
      <x:c r="G14" s="31" t="str">
        <x:v>需复核</x:v>
      </x:c>
      <x:c r="H14" s="40" t="str">
        <x:v>一、建设项目基本情况：总投资100万元、环保投资10万元、占比10%。来源：解析文本拼接_02_021-040(3).md</x:v>
      </x:c>
    </x:row>
    <x:row r="15" ht="82" customHeight="1">
      <x:c r="A15" s="39" t="n">
        <x:v>10</x:v>
      </x:c>
      <x:c r="B15" s="31" t="str">
        <x:v>PL023</x:v>
      </x:c>
      <x:c r="C15" s="29" t="str">
        <x:v>佛山市通能达科技有限公司新建项目</x:v>
      </x:c>
      <x:c r="D15" s="31" t="str">
        <x:v>PL023_V01_Q03</x:v>
      </x:c>
      <x:c r="E15" s="29" t="str">
        <x:v>请根据报告中的总投资、环保投资和环保工程投资明细，判断环保投资核算是否前后一致、比例是否正确。</x:v>
      </x:c>
      <x:c r="F15" s="29" t="str">
        <x:v>环评投资核算判定结论：正确；具体分析：报告填报总投资为300万元、环保投资为25万元、环保投资占比为8.33%。按“环保投资÷总投资×100%”复算为8.33%，与报告填报值一致；表2-11 项目环保工程措施投资一览表中的分项投资合计为25万元，与环保投资一致。因此，环保投资金额、分项合计及占比前后一致，核算正确。</x:v>
      </x:c>
      <x:c r="G15" s="31" t="str">
        <x:v>正确</x:v>
      </x:c>
      <x:c r="H15" s="40" t="str">
        <x:v>一、建设项目基本情况；表2-11：总投资300万元、环保投资25万元、占比8.33%；分项合计25万元。来源：解析文本拼接_02_021-040(3).md</x:v>
      </x:c>
    </x:row>
    <x:row r="16" ht="82" customHeight="1">
      <x:c r="A16" s="39" t="n">
        <x:v>11</x:v>
      </x:c>
      <x:c r="B16" s="31" t="str">
        <x:v>PL025</x:v>
      </x:c>
      <x:c r="C16" s="29" t="str">
        <x:v>佛山市巨人电器有限公司新建项目</x:v>
      </x:c>
      <x:c r="D16" s="31" t="str">
        <x:v>PL025_V01_Q03</x:v>
      </x:c>
      <x:c r="E16" s="29" t="str">
        <x:v>请根据报告中的总投资、环保投资和环保工程投资明细，判断环保投资核算是否前后一致、比例是否正确。</x:v>
      </x:c>
      <x:c r="F16" s="29" t="str">
        <x:v>环评投资核算判定结论：需复核；具体分析：报告显示环保投资占比为15%，表4-23 环境保护工程措施投资分项合计为15万元。由于基本情况表总投资、环保投资已脱敏，无法按“环保投资÷总投资×100%”复算占比，也无法完整核对基本情况表与环保投资明细是否一致；不得依据占比倒推缺失金额，需查阅未脱敏原报告。</x:v>
      </x:c>
      <x:c r="G16" s="31" t="str">
        <x:v>需复核</x:v>
      </x:c>
      <x:c r="H16" s="40" t="str">
        <x:v>一、建设项目基本情况；表4-23：占比15%；分项合计15万元。来源：解析文本拼接_02_021-040(3).md</x:v>
      </x:c>
    </x:row>
    <x:row r="17" ht="82" customHeight="1">
      <x:c r="A17" s="39" t="n">
        <x:v>12</x:v>
      </x:c>
      <x:c r="B17" s="31" t="str">
        <x:v>PL026</x:v>
      </x:c>
      <x:c r="C17" s="29" t="str">
        <x:v>佛山市黑曜电器科技有限公司新建项目</x:v>
      </x:c>
      <x:c r="D17" s="31" t="str">
        <x:v>PL026_V01_Q03</x:v>
      </x:c>
      <x:c r="E17" s="29" t="str">
        <x:v>请根据报告中的总投资、环保投资和环保工程投资明细，判断环保投资核算是否前后一致、比例是否正确。</x:v>
      </x:c>
      <x:c r="F17" s="29" t="str">
        <x:v>环评投资核算判定结论：需复核；具体分析：报告填报总投资为30万元、环保投资为10万元、环保投资占比为33.3%。按“环保投资÷总投资×100%”复算为33.33%，与报告填报值一致；但现有解析文本未检索到环保工程投资明细表，无法核对分项合计是否与环保投资一致。因此，占比计算正确，环保投资前后一致性仍需结合原报告投资明细表复核。</x:v>
      </x:c>
      <x:c r="G17" s="31" t="str">
        <x:v>需复核</x:v>
      </x:c>
      <x:c r="H17" s="40" t="str">
        <x:v>一、建设项目基本情况：总投资30万元、环保投资10万元、占比33.3%。来源：解析文本拼接_02_021-040(3).md</x:v>
      </x:c>
    </x:row>
    <x:row r="18" ht="82" customHeight="1">
      <x:c r="A18" s="39" t="n">
        <x:v>13</x:v>
      </x:c>
      <x:c r="B18" s="31" t="str">
        <x:v>PL027</x:v>
      </x:c>
      <x:c r="C18" s="29" t="str">
        <x:v>佛山市天隆通塑料制品有限公司新建项目</x:v>
      </x:c>
      <x:c r="D18" s="31" t="str">
        <x:v>PL027_V01_Q03</x:v>
      </x:c>
      <x:c r="E18" s="29" t="str">
        <x:v>请根据报告中的总投资、环保投资和环保工程投资明细，判断环保投资核算是否前后一致、比例是否正确。</x:v>
      </x:c>
      <x:c r="F18" s="29" t="str">
        <x:v>环评投资核算判定结论：正确；具体分析：报告填报总投资为200万元、环保投资为20万元、环保投资占比为10%。按“环保投资÷总投资×100%”复算为10.00%，与报告填报值一致；环保投资情况一览表中的分项投资合计为20万元，与环保投资一致。因此，环保投资金额、分项合计及占比前后一致，核算正确。</x:v>
      </x:c>
      <x:c r="G18" s="31" t="str">
        <x:v>正确</x:v>
      </x:c>
      <x:c r="H18" s="40" t="str">
        <x:v>一、建设项目基本情况；环保投资情况一览表：总投资200万元、环保投资20万元、占比10%；分项合计20万元。来源：解析文本拼接_02_021-040(3).md</x:v>
      </x:c>
    </x:row>
    <x:row r="19" ht="82" customHeight="1">
      <x:c r="A19" s="39" t="n">
        <x:v>14</x:v>
      </x:c>
      <x:c r="B19" s="31" t="str">
        <x:v>PL028</x:v>
      </x:c>
      <x:c r="C19" s="29" t="str">
        <x:v>佛山市顺德区振峰塑料模具制造有限公司分车间新建项目</x:v>
      </x:c>
      <x:c r="D19" s="31" t="str">
        <x:v>PL028_V01_Q03</x:v>
      </x:c>
      <x:c r="E19" s="29" t="str">
        <x:v>请根据报告中的总投资、环保投资和环保工程投资明细，判断环保投资核算是否前后一致、比例是否正确。</x:v>
      </x:c>
      <x:c r="F19" s="29" t="str">
        <x:v>环评投资核算判定结论：需复核；具体分析：表2-11 建设项目环保投资一览表分项合计为20万元。由于基本情况表总投资、环保投资及占比均为空，无法按“环保投资÷总投资×100%”复算占比，也无法完整核对基本情况表与环保投资明细是否一致；不得依据占比倒推缺失金额，需查阅未脱敏原报告。</x:v>
      </x:c>
      <x:c r="G19" s="31" t="str">
        <x:v>需复核</x:v>
      </x:c>
      <x:c r="H19" s="40" t="str">
        <x:v>一、建设项目基本情况；表2-11：分项合计20万元。来源：解析文本拼接_02_021-040(3).md</x:v>
      </x:c>
    </x:row>
    <x:row r="20" ht="82" customHeight="1">
      <x:c r="A20" s="39" t="n">
        <x:v>15</x:v>
      </x:c>
      <x:c r="B20" s="31" t="str">
        <x:v>PL029</x:v>
      </x:c>
      <x:c r="C20" s="29" t="str">
        <x:v>佛山市茂安耀科技有限公司新建项目</x:v>
      </x:c>
      <x:c r="D20" s="31" t="str">
        <x:v>PL029_V01_Q03</x:v>
      </x:c>
      <x:c r="E20" s="29" t="str">
        <x:v>请根据报告中的总投资、环保投资和环保工程投资明细，判断环保投资核算是否前后一致、比例是否正确。</x:v>
      </x:c>
      <x:c r="F20" s="29" t="str">
        <x:v>环评投资核算判定结论：需复核；具体分析：表2-11 建设项目环保投资一览表分项合计为20万元。由于基本情况表总投资、环保投资及占比均为空，无法按“环保投资÷总投资×100%”复算占比，也无法完整核对基本情况表与环保投资明细是否一致；不得依据占比倒推缺失金额，需查阅未脱敏原报告。</x:v>
      </x:c>
      <x:c r="G20" s="31" t="str">
        <x:v>需复核</x:v>
      </x:c>
      <x:c r="H20" s="40" t="str">
        <x:v>一、建设项目基本情况；表2-11：分项合计20万元。来源：解析文本拼接_02_021-040(3).md</x:v>
      </x:c>
    </x:row>
    <x:row r="21" ht="82" customHeight="1">
      <x:c r="A21" s="39" t="n">
        <x:v>16</x:v>
      </x:c>
      <x:c r="B21" s="31" t="str">
        <x:v>PL030</x:v>
      </x:c>
      <x:c r="C21" s="29" t="str">
        <x:v>佛山市瑞易德塑料五金制品有限公司搬迁项目</x:v>
      </x:c>
      <x:c r="D21" s="31" t="str">
        <x:v>PL030_V01_Q03</x:v>
      </x:c>
      <x:c r="E21" s="29" t="str">
        <x:v>请根据报告中的总投资、环保投资和环保工程投资明细，判断环保投资核算是否前后一致、比例是否正确。</x:v>
      </x:c>
      <x:c r="F21" s="29" t="str">
        <x:v>环评投资核算判定结论：正确；具体分析：报告填报总投资为200万元、环保投资为15万元、环保投资占比为7.5%。按“环保投资÷总投资×100%”复算为7.50%，与报告填报值一致；表4-16 环境保护工程措施投资中的分项投资合计为15万元，与环保投资一致。因此，环保投资金额、分项合计及占比前后一致，核算正确。</x:v>
      </x:c>
      <x:c r="G21" s="31" t="str">
        <x:v>正确</x:v>
      </x:c>
      <x:c r="H21" s="40" t="str">
        <x:v>一、建设项目基本情况；表4-16：总投资200万元、环保投资15万元、占比7.5%；分项合计15万元。来源：解析文本拼接_02_021-040(3).md</x:v>
      </x:c>
    </x:row>
    <x:row r="22" ht="82" customHeight="1">
      <x:c r="A22" s="39" t="n">
        <x:v>17</x:v>
      </x:c>
      <x:c r="B22" s="31" t="str">
        <x:v>PL031</x:v>
      </x:c>
      <x:c r="C22" s="29" t="str">
        <x:v>佛山市浩创时代包装制品有限公司新建项目</x:v>
      </x:c>
      <x:c r="D22" s="31" t="str">
        <x:v>PL031_V01_Q03</x:v>
      </x:c>
      <x:c r="E22" s="29" t="str">
        <x:v>请根据报告中的总投资、环保投资和环保工程投资明细，判断环保投资核算是否前后一致、比例是否正确。</x:v>
      </x:c>
      <x:c r="F22" s="29" t="str">
        <x:v>环评投资核算判定结论：正确；具体分析：报告填报总投资为250万元、环保投资为25万元、环保投资占比为10%。按“环保投资÷总投资×100%”复算为10.00%，与报告填报值一致；项目环保投资一览表中的分项投资合计为25万元，与环保投资一致。因此，环保投资金额、分项合计及占比前后一致，核算正确。</x:v>
      </x:c>
      <x:c r="G22" s="31" t="str">
        <x:v>正确</x:v>
      </x:c>
      <x:c r="H22" s="40" t="str">
        <x:v>一、建设项目基本情况；项目环保投资一览表：总投资250万元、环保投资25万元、占比10%；分项合计25万元。来源：解析文本拼接_02_021-040(3).md</x:v>
      </x:c>
    </x:row>
    <x:row r="23" ht="82" customHeight="1">
      <x:c r="A23" s="39" t="n">
        <x:v>18</x:v>
      </x:c>
      <x:c r="B23" s="31" t="str">
        <x:v>PL032</x:v>
      </x:c>
      <x:c r="C23" s="29" t="str">
        <x:v>德旺众新材料科技（佛山）有限公司新建建设项目</x:v>
      </x:c>
      <x:c r="D23" s="31" t="str">
        <x:v>PL032_V01_Q03</x:v>
      </x:c>
      <x:c r="E23" s="29" t="str">
        <x:v>请根据报告中的总投资、环保投资和环保工程投资明细，判断环保投资核算是否前后一致、比例是否正确。</x:v>
      </x:c>
      <x:c r="F23" s="29" t="str">
        <x:v>环评投资核算判定结论：需复核；具体分析：报告显示环保投资占比为15%。由于总投资、环保投资已脱敏，且未检索到环保工程投资明细表，无法按“环保投资÷总投资×100%”复算占比，也无法完整核对基本情况表与环保投资明细是否一致；不得依据占比倒推缺失金额，需查阅未脱敏原报告。</x:v>
      </x:c>
      <x:c r="G23" s="31" t="str">
        <x:v>需复核</x:v>
      </x:c>
      <x:c r="H23" s="40" t="str">
        <x:v>一、建设项目基本情况：占比15%。来源：解析文本拼接_02_021-040(3).md</x:v>
      </x:c>
    </x:row>
    <x:row r="24" ht="82" customHeight="1">
      <x:c r="A24" s="39" t="n">
        <x:v>19</x:v>
      </x:c>
      <x:c r="B24" s="31" t="str">
        <x:v>PL033</x:v>
      </x:c>
      <x:c r="C24" s="29" t="str">
        <x:v>广东施格纳电气有限公司新建项目</x:v>
      </x:c>
      <x:c r="D24" s="31" t="str">
        <x:v>PL033_V01_Q03</x:v>
      </x:c>
      <x:c r="E24" s="29" t="str">
        <x:v>请根据报告中的总投资、环保投资和环保工程投资明细，判断环保投资核算是否前后一致、比例是否正确。</x:v>
      </x:c>
      <x:c r="F24" s="29" t="str">
        <x:v>环评投资核算判定结论：需复核；具体分析：报告填报总投资为1000万元、环保投资为15万元、环保投资占比为1.5%。按“环保投资÷总投资×100%”复算为1.50%，与报告填报值一致；但现有解析文本未检索到环保工程投资明细表，无法核对分项合计是否与环保投资一致。因此，占比计算正确，环保投资前后一致性仍需结合原报告投资明细表复核。</x:v>
      </x:c>
      <x:c r="G24" s="31" t="str">
        <x:v>需复核</x:v>
      </x:c>
      <x:c r="H24" s="40" t="str">
        <x:v>一、建设项目基本情况：总投资1000万元、环保投资15万元、占比1.5%。来源：解析文本拼接_02_021-040(3).md</x:v>
      </x:c>
    </x:row>
    <x:row r="25" ht="82" customHeight="1">
      <x:c r="A25" s="39" t="n">
        <x:v>20</x:v>
      </x:c>
      <x:c r="B25" s="31" t="str">
        <x:v>PL034</x:v>
      </x:c>
      <x:c r="C25" s="29" t="str">
        <x:v>佛山市沃丰德电器有限公司扩建项目</x:v>
      </x:c>
      <x:c r="D25" s="31" t="str">
        <x:v>PL034_V01_Q03</x:v>
      </x:c>
      <x:c r="E25" s="29" t="str">
        <x:v>请根据报告中的总投资、环保投资和环保工程投资明细，判断环保投资核算是否前后一致、比例是否正确。</x:v>
      </x:c>
      <x:c r="F25" s="29" t="str">
        <x:v>环评投资核算判定结论：需复核；具体分析：报告填报总投资为20万元、环保投资为10万元、环保投资占比为50%。按“环保投资÷总投资×100%”复算为50.00%，与报告填报值一致；但现有解析文本未检索到环保工程投资明细表，无法核对分项合计是否与环保投资一致。因此，占比计算正确，环保投资前后一致性仍需结合原报告投资明细表复核。</x:v>
      </x:c>
      <x:c r="G25" s="31" t="str">
        <x:v>需复核</x:v>
      </x:c>
      <x:c r="H25" s="40" t="str">
        <x:v>一、建设项目基本情况：总投资20万元、环保投资10万元、占比50%。来源：解析文本拼接_02_021-040(3).md</x:v>
      </x:c>
    </x:row>
    <x:row r="26" ht="82" customHeight="1">
      <x:c r="A26" s="39" t="n">
        <x:v>21</x:v>
      </x:c>
      <x:c r="B26" s="31" t="str">
        <x:v>PL035</x:v>
      </x:c>
      <x:c r="C26" s="29" t="str">
        <x:v>佛山市顺德区钧锐塑料厂迁建项目</x:v>
      </x:c>
      <x:c r="D26" s="31" t="str">
        <x:v>PL035_V01_Q03</x:v>
      </x:c>
      <x:c r="E26" s="29" t="str">
        <x:v>请根据报告中的总投资、环保投资和环保工程投资明细，判断环保投资核算是否前后一致、比例是否正确。</x:v>
      </x:c>
      <x:c r="F26" s="29" t="str">
        <x:v>环评投资核算判定结论：需复核；具体分析：报告填报总投资为100万元、环保投资为20万元、环保投资占比为20%。按“环保投资÷总投资×100%”复算为20.00%，与报告填报值一致；但现有解析文本未检索到环保工程投资明细表，无法核对分项合计是否与环保投资一致。因此，占比计算正确，环保投资前后一致性仍需结合原报告投资明细表复核。</x:v>
      </x:c>
      <x:c r="G26" s="31" t="str">
        <x:v>需复核</x:v>
      </x:c>
      <x:c r="H26" s="40" t="str">
        <x:v>一、建设项目基本情况：总投资100万元、环保投资20万元、占比20%。来源：解析文本拼接_02_021-040(3).md</x:v>
      </x:c>
    </x:row>
    <x:row r="27" ht="82" customHeight="1">
      <x:c r="A27" s="39" t="n">
        <x:v>22</x:v>
      </x:c>
      <x:c r="B27" s="31" t="str">
        <x:v>PL036</x:v>
      </x:c>
      <x:c r="C27" s="29" t="str">
        <x:v>广东梅州磁性材料有限公司顺德分公司迁扩建项目</x:v>
      </x:c>
      <x:c r="D27" s="31" t="str">
        <x:v>PL036_V01_Q03</x:v>
      </x:c>
      <x:c r="E27" s="29" t="str">
        <x:v>请根据报告中的总投资、环保投资和环保工程投资明细，判断环保投资核算是否前后一致、比例是否正确。</x:v>
      </x:c>
      <x:c r="F27" s="29" t="str">
        <x:v>环评投资核算判定结论：需复核；具体分析：工程分析章节载明总投资为300万元、环保投资为18万元、环保投资占比为6%，复算为6.00%；表2-10 建设项目环保投资一览表中的分项投资合计为18万元，工程分析章节内部核算一致。但公开版基本情况表的投资金额已脱敏或留空，无法核对基本情况表与投资明细表是否完全一致，需查阅未脱敏原件。</x:v>
      </x:c>
      <x:c r="G27" s="31" t="str">
        <x:v>需复核</x:v>
      </x:c>
      <x:c r="H27" s="40" t="str">
        <x:v>二、建设项目工程分析投资说明；表2-10：总投资300万元、环保投资18万元、占比6%；分项合计18万元。来源：解析文本拼接_02_021-040(3).md</x:v>
      </x:c>
    </x:row>
    <x:row r="28" ht="82" customHeight="1">
      <x:c r="A28" s="39" t="n">
        <x:v>23</x:v>
      </x:c>
      <x:c r="B28" s="31" t="str">
        <x:v>PL037</x:v>
      </x:c>
      <x:c r="C28" s="29" t="str">
        <x:v>佛山麦琪科技有限公司建设项目</x:v>
      </x:c>
      <x:c r="D28" s="31" t="str">
        <x:v>PL037_V01_Q03</x:v>
      </x:c>
      <x:c r="E28" s="29" t="str">
        <x:v>请根据报告中的总投资、环保投资和环保工程投资明细，判断环保投资核算是否前后一致、比例是否正确。</x:v>
      </x:c>
      <x:c r="F28" s="29" t="str">
        <x:v>环评投资核算判定结论：需复核；具体分析：报告显示环保投资占比为20%。由于总投资、环保投资为空，且未检索到环保工程投资明细表，无法按“环保投资÷总投资×100%”复算占比，也无法完整核对基本情况表与环保投资明细是否一致；不得依据占比倒推缺失金额，需查阅未脱敏原报告。</x:v>
      </x:c>
      <x:c r="G28" s="31" t="str">
        <x:v>需复核</x:v>
      </x:c>
      <x:c r="H28" s="40" t="str">
        <x:v>一、建设项目基本情况：占比20%。来源：解析文本拼接_02_021-040(3).md</x:v>
      </x:c>
    </x:row>
    <x:row r="29" ht="82" customHeight="1">
      <x:c r="A29" s="39" t="n">
        <x:v>24</x:v>
      </x:c>
      <x:c r="B29" s="31" t="str">
        <x:v>PL038</x:v>
      </x:c>
      <x:c r="C29" s="29" t="str">
        <x:v>佛山市顺德区晟昂电子科技有限公司新建项目</x:v>
      </x:c>
      <x:c r="D29" s="31" t="str">
        <x:v>PL038_V01_Q03</x:v>
      </x:c>
      <x:c r="E29" s="29" t="str">
        <x:v>请根据报告中的总投资、环保投资和环保工程投资明细，判断环保投资核算是否前后一致、比例是否正确。</x:v>
      </x:c>
      <x:c r="F29" s="29" t="str">
        <x:v>环评投资核算判定结论：正确；具体分析：报告填报总投资为200万元、环保投资为10万元、环保投资占比为5%。按“环保投资÷总投资×100%”复算为5.00%，与报告填报值一致；表2-10 项目环保工程措施投资一览表中的分项投资合计为10万元，与环保投资一致。因此，环保投资金额、分项合计及占比前后一致，核算正确。</x:v>
      </x:c>
      <x:c r="G29" s="31" t="str">
        <x:v>正确</x:v>
      </x:c>
      <x:c r="H29" s="40" t="str">
        <x:v>一、建设项目基本情况；表2-10：总投资200万元、环保投资10万元、占比5%；分项合计10万元。来源：解析文本拼接_02_021-040(3).md</x:v>
      </x:c>
    </x:row>
    <x:row r="30" ht="82" customHeight="1">
      <x:c r="A30" s="39" t="n">
        <x:v>25</x:v>
      </x:c>
      <x:c r="B30" s="31" t="str">
        <x:v>PL039</x:v>
      </x:c>
      <x:c r="C30" s="29" t="str">
        <x:v>佛山市锦汇塑料制品有限公司新建项目</x:v>
      </x:c>
      <x:c r="D30" s="31" t="str">
        <x:v>PL039_V01_Q03</x:v>
      </x:c>
      <x:c r="E30" s="29" t="str">
        <x:v>请根据报告中的总投资、环保投资和环保工程投资明细，判断环保投资核算是否前后一致、比例是否正确。</x:v>
      </x:c>
      <x:c r="F30" s="29" t="str">
        <x:v>环评投资核算判定结论：需复核；具体分析：工程分析章节载明总投资为100万元、环保投资为20万元、环保投资占比为20%，复算为20.00%；表2-10 项目环保投资一览表中的分项投资合计为20万元，工程分析章节内部核算一致。但公开版基本情况表的投资金额已脱敏或留空，无法核对基本情况表与投资明细表是否完全一致，需查阅未脱敏原件。</x:v>
      </x:c>
      <x:c r="G30" s="31" t="str">
        <x:v>需复核</x:v>
      </x:c>
      <x:c r="H30" s="40" t="str">
        <x:v>二、建设项目工程分析投资说明；表2-10：总投资100万元、环保投资20万元、占比20%；分项合计20万元。来源：解析文本拼接_02_021-040(3).md</x:v>
      </x:c>
    </x:row>
    <x:row r="31" ht="82" customHeight="1">
      <x:c r="A31" s="39" t="n">
        <x:v>26</x:v>
      </x:c>
      <x:c r="B31" s="31" t="str">
        <x:v>PL040</x:v>
      </x:c>
      <x:c r="C31" s="29" t="str">
        <x:v>佛山市海川塑料制品有限公司新建项目</x:v>
      </x:c>
      <x:c r="D31" s="31" t="str">
        <x:v>PL040_V01_Q03</x:v>
      </x:c>
      <x:c r="E31" s="29" t="str">
        <x:v>请根据报告中的总投资、环保投资和环保工程投资明细，判断环保投资核算是否前后一致、比例是否正确。</x:v>
      </x:c>
      <x:c r="F31" s="29" t="str">
        <x:v>环评投资核算判定结论：需复核；具体分析：工程分析章节载明总投资为100万元、环保投资为10万元、环保投资占比为10%，复算为10.00%；表12 建设项目环保投资一览表中的分项投资合计为10万元，工程分析章节内部核算一致。但公开版基本情况表的投资金额已脱敏或留空，无法核对基本情况表与投资明细表是否完全一致，需查阅未脱敏原件。</x:v>
      </x:c>
      <x:c r="G31" s="31" t="str">
        <x:v>需复核</x:v>
      </x:c>
      <x:c r="H31" s="40" t="str">
        <x:v>二、建设项目工程分析主要指标；表12：总投资100万元、环保投资10万元、占比10%；分项合计10万元。来源：解析文本拼接_02_021-040(3).md</x:v>
      </x:c>
    </x:row>
    <x:row r="32" ht="82" customHeight="1">
      <x:c r="A32" s="39" t="n">
        <x:v>27</x:v>
      </x:c>
      <x:c r="B32" s="31" t="str">
        <x:v>PL041</x:v>
      </x:c>
      <x:c r="C32" s="29" t="str">
        <x:v>佛山市创灏五金塑料有限公司年产塑料制品1250万件迁改扩建项目</x:v>
      </x:c>
      <x:c r="D32" s="31" t="str">
        <x:v>PL041_V01_Q03</x:v>
      </x:c>
      <x:c r="E32" s="29" t="str">
        <x:v>请根据报告中的总投资、环保投资和环保工程投资明细，判断环保投资核算是否前后一致、比例是否正确。</x:v>
      </x:c>
      <x:c r="F32" s="29" t="str">
        <x:v>环评投资核算判定结论：需复核；具体分析：报告填报总投资为200万元、环保投资为10万元、环保投资占比为5%。按“环保投资÷总投资×100%”复算为5.00%，与报告填报值一致；但现有解析文本未检索到环保工程投资明细表，无法核对分项合计是否与环保投资一致。因此，占比计算正确，环保投资前后一致性仍需结合原报告投资明细表复核。</x:v>
      </x:c>
      <x:c r="G32" s="31" t="str">
        <x:v>需复核</x:v>
      </x:c>
      <x:c r="H32" s="40" t="str">
        <x:v>一、建设项目基本情况；二、建设项目工程分析：总投资200万元、环保投资10万元、占比5%。来源：解析文本拼接_02_021-040(3).md</x:v>
      </x:c>
    </x:row>
    <x:row r="33" ht="82" customHeight="1">
      <x:c r="A33" s="39" t="n">
        <x:v>28</x:v>
      </x:c>
      <x:c r="B33" s="31" t="str">
        <x:v>PL042</x:v>
      </x:c>
      <x:c r="C33" s="29" t="str">
        <x:v>佛山市顺德区晨瑞塑胶有限公司迁扩建项目</x:v>
      </x:c>
      <x:c r="D33" s="31" t="str">
        <x:v>PL042_V01_Q03</x:v>
      </x:c>
      <x:c r="E33" s="29" t="str">
        <x:v>请根据报告中的总投资、环保投资和环保工程投资明细，判断环保投资核算是否前后一致、比例是否正确。</x:v>
      </x:c>
      <x:c r="F33" s="29" t="str">
        <x:v>环评投资核算判定结论：正确；具体分析：报告填报总投资为200万元、环保投资为20万元、环保投资占比为10%。按“环保投资÷总投资×100%”复算为10.00%，与报告填报值一致；表2-11 环保投资一览表中的分项投资合计为20万元，与环保投资一致。因此，环保投资金额、分项合计及占比前后一致，核算正确。</x:v>
      </x:c>
      <x:c r="G33" s="31" t="str">
        <x:v>正确</x:v>
      </x:c>
      <x:c r="H33" s="40" t="str">
        <x:v>一、建设项目基本情况；表2-11：总投资200万元、环保投资20万元、占比10%；分项合计20万元。来源：解析文本拼接_02_021-040(3).md</x:v>
      </x:c>
    </x:row>
    <x:row r="34" ht="82" customHeight="1">
      <x:c r="A34" s="39" t="n">
        <x:v>29</x:v>
      </x:c>
      <x:c r="B34" s="31" t="str">
        <x:v>PL043</x:v>
      </x:c>
      <x:c r="C34" s="29" t="str">
        <x:v>佛山市益旭电器有限公司新建项目</x:v>
      </x:c>
      <x:c r="D34" s="31" t="str">
        <x:v>PL043_V01_Q03</x:v>
      </x:c>
      <x:c r="E34" s="29" t="str">
        <x:v>请根据报告中的总投资、环保投资和环保工程投资明细，判断环保投资核算是否前后一致、比例是否正确。</x:v>
      </x:c>
      <x:c r="F34" s="29" t="str">
        <x:v>环评投资核算判定结论：需复核；具体分析：工程分析章节载明总投资为200万元、环保投资为8万元、环保投资占比为4%，复算为4.00%；表2-9 项目环保措施及其投资计划一览表中的分项投资合计为8万元，工程分析章节内部核算一致。但公开版基本情况表的投资金额已脱敏或留空，无法核对基本情况表与投资明细表是否完全一致，需查阅未脱敏原件。</x:v>
      </x:c>
      <x:c r="G34" s="31" t="str">
        <x:v>需复核</x:v>
      </x:c>
      <x:c r="H34" s="40" t="str">
        <x:v>二、建设项目工程分析投资说明；表2-9：总投资200万元、环保投资8万元、占比4%；分项合计8万元。来源：解析文本拼接_03_041-060(3).md</x:v>
      </x:c>
    </x:row>
    <x:row r="35" ht="82" customHeight="1">
      <x:c r="A35" s="39" t="n">
        <x:v>30</x:v>
      </x:c>
      <x:c r="B35" s="31" t="str">
        <x:v>PL044</x:v>
      </x:c>
      <x:c r="C35" s="29" t="str">
        <x:v>佛山市昇汇包装材料有限公司新建项目</x:v>
      </x:c>
      <x:c r="D35" s="31" t="str">
        <x:v>PL044_V01_Q03</x:v>
      </x:c>
      <x:c r="E35" s="29" t="str">
        <x:v>请根据报告中的总投资、环保投资和环保工程投资明细，判断环保投资核算是否前后一致、比例是否正确。</x:v>
      </x:c>
      <x:c r="F35" s="29" t="str">
        <x:v>环评投资核算判定结论：需复核；具体分析：报告填报总投资为100万元、环保投资为10万元、环保投资占比为10%。按“环保投资÷总投资×100%”复算为10.00%，与报告填报值一致；但现有解析文本未检索到环保工程投资明细表，无法核对分项合计是否与环保投资一致。因此，占比计算正确，环保投资前后一致性仍需结合原报告投资明细表复核。</x:v>
      </x:c>
      <x:c r="G35" s="31" t="str">
        <x:v>需复核</x:v>
      </x:c>
      <x:c r="H35" s="40" t="str">
        <x:v>一、建设项目基本情况：总投资100万元、环保投资10万元、占比10%。来源：解析文本拼接_03_041-060(3).md</x:v>
      </x:c>
    </x:row>
  </x:sheetData>
  <x:mergeCells>
    <x:mergeCell ref="A1:H1"/>
    <x:mergeCell ref="A3:H3"/>
  </x:mergeCells>
  <x:conditionalFormatting sqref="G6:G35">
    <x:cfRule type="containsText" dxfId="0" priority="1" operator="containsText" text="正确"/>
    <x:cfRule type="containsText" dxfId="1" priority="2" operator="containsText" text="需复核"/>
  </x:conditionalFormatting>
  <x:pageMargins left="0.7" right="0.7" top="0.75" bottom="0.75" header="0.3" footer="0.3"/>
  <x:tableParts count="1">
    <x:tablePart xmlns:r="http://schemas.openxmlformats.org/officeDocument/2006/relationships" r:id="Rbedf1c5577d84d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4" hidden="0" customWidth="1"/>
    <x:col min="4" max="4" width="15" hidden="0" customWidth="1"/>
    <x:col min="5" max="5" width="12" hidden="0" customWidth="1"/>
    <x:col min="6" max="6" width="16" hidden="0" customWidth="1"/>
    <x:col min="7" max="7" width="15" hidden="0" customWidth="1"/>
    <x:col min="8" max="8" width="38" hidden="0" customWidth="1"/>
    <x:col min="9" max="9" width="12" hidden="0" customWidth="1"/>
    <x:col min="10" max="10" width="18" hidden="0" customWidth="1"/>
    <x:col min="11" max="11" width="16" hidden="0" customWidth="1"/>
    <x:col min="12" max="12" width="14" hidden="0" customWidth="1"/>
    <x:col min="13" max="13" width="42" hidden="0" customWidth="1"/>
    <x:col min="14" max="14" width="12" hidden="0" customWidth="1"/>
  </x:cols>
  <x:sheetData>
    <x:row r="1" ht="30" customHeight="1">
      <x:c r="A1" s="43" t="str">
        <x:v>环保投资核算明细与复算轨迹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3" ht="30" customHeight="1">
      <x:c r="A3" s="23" t="str">
        <x:v>PL编号</x:v>
      </x:c>
      <x:c r="B3" s="23" t="str">
        <x:v>项目名称</x:v>
      </x:c>
      <x:c r="C3" s="23" t="str">
        <x:v>总投资（万元）</x:v>
      </x:c>
      <x:c r="D3" s="23" t="str">
        <x:v>环保投资（万元）</x:v>
      </x:c>
      <x:c r="E3" s="23" t="str">
        <x:v>报告占比</x:v>
      </x:c>
      <x:c r="F3" s="23" t="str">
        <x:v>分项合计（万元）</x:v>
      </x:c>
      <x:c r="G3" s="23" t="str">
        <x:v>基本情况表可核</x:v>
      </x:c>
      <x:c r="H3" s="23" t="str">
        <x:v>投资明细表</x:v>
      </x:c>
      <x:c r="I3" s="23" t="str">
        <x:v>复算占比</x:v>
      </x:c>
      <x:c r="J3" s="23" t="str">
        <x:v>占比误差（百分点）</x:v>
      </x:c>
      <x:c r="K3" s="23" t="str">
        <x:v>分项差额（万元）</x:v>
      </x:c>
      <x:c r="L3" s="23" t="str">
        <x:v>核算状态</x:v>
      </x:c>
      <x:c r="M3" s="23" t="str">
        <x:v>缺失证据</x:v>
      </x:c>
      <x:c r="N3" s="23" t="str">
        <x:v>人工复核</x:v>
      </x:c>
    </x:row>
    <x:row r="4" ht="38" customHeight="1">
      <x:c r="A4" s="30" t="str">
        <x:v>PL001</x:v>
      </x:c>
      <x:c r="B4" s="28" t="str">
        <x:v>佛山市亮正新材料有限公司新建项目</x:v>
      </x:c>
      <x:c r="C4" s="44" t="n">
        <x:v>50</x:v>
      </x:c>
      <x:c r="D4" s="44" t="n">
        <x:v>10</x:v>
      </x:c>
      <x:c r="E4" s="46" t="n">
        <x:v>0.2</x:v>
      </x:c>
      <x:c r="F4" s="44"/>
      <x:c r="G4" s="30" t="str">
        <x:v>是</x:v>
      </x:c>
      <x:c r="H4" s="28" t="str">
        <x:v>未检索到</x:v>
      </x:c>
      <x:c r="I4" s="46" t="n">
        <x:f>IF(OR(C4="",D4="",C4=0),"",D4/C4)</x:f>
        <x:v>0.2</x:v>
      </x:c>
      <x:c r="J4" s="44" t="n">
        <x:f>IF(OR(E4="",I4=""),"",ABS(E4-I4)*100)</x:f>
        <x:v>0</x:v>
      </x:c>
      <x:c r="K4" s="44" t="str">
        <x:f>IF(OR(D4="",F4=""),"",ABS(D4-F4))</x:f>
      </x:c>
      <x:c r="L4" s="30" t="str">
        <x:f>IF(OR(C4="",D4="",E4=""),"无法判断",IF(G4="否","部分匹配",IF(F4="","部分匹配",IF(AND(J4&lt;=0.1,K4&lt;=0.01),"匹配","不匹配"))))</x:f>
        <x:v>部分匹配</x:v>
      </x:c>
      <x:c r="M4" s="30" t="str">
        <x:v>未检索到环保工程投资明细表</x:v>
      </x:c>
      <x:c r="N4" s="30" t="str">
        <x:f>IF(L4="匹配","否","是")</x:f>
        <x:v>是</x:v>
      </x:c>
    </x:row>
    <x:row r="5" ht="38" customHeight="1">
      <x:c r="A5" s="31" t="str">
        <x:v>PL002</x:v>
      </x:c>
      <x:c r="B5" s="29" t="str">
        <x:v>佛山市顺德区启卓工程塑料实业有限公司搬迁项目</x:v>
      </x:c>
      <x:c r="C5" s="45" t="n">
        <x:v>150</x:v>
      </x:c>
      <x:c r="D5" s="45" t="n">
        <x:v>15</x:v>
      </x:c>
      <x:c r="E5" s="47" t="n">
        <x:v>0.1</x:v>
      </x:c>
      <x:c r="F5" s="45"/>
      <x:c r="G5" s="31" t="str">
        <x:v>是</x:v>
      </x:c>
      <x:c r="H5" s="29" t="str">
        <x:v>未检索到</x:v>
      </x:c>
      <x:c r="I5" s="47" t="n">
        <x:f>IF(OR(C5="",D5="",C5=0),"",D5/C5)</x:f>
        <x:v>0.1</x:v>
      </x:c>
      <x:c r="J5" s="45" t="n">
        <x:f>IF(OR(E5="",I5=""),"",ABS(E5-I5)*100)</x:f>
        <x:v>0</x:v>
      </x:c>
      <x:c r="K5" s="45" t="str">
        <x:f>IF(OR(D5="",F5=""),"",ABS(D5-F5))</x:f>
      </x:c>
      <x:c r="L5" s="31" t="str">
        <x:f>IF(OR(C5="",D5="",E5=""),"无法判断",IF(G5="否","部分匹配",IF(F5="","部分匹配",IF(AND(J5&lt;=0.1,K5&lt;=0.01),"匹配","不匹配"))))</x:f>
        <x:v>部分匹配</x:v>
      </x:c>
      <x:c r="M5" s="31" t="str">
        <x:v>未检索到环保工程投资明细表</x:v>
      </x:c>
      <x:c r="N5" s="31" t="str">
        <x:f>IF(L5="匹配","否","是")</x:f>
        <x:v>是</x:v>
      </x:c>
    </x:row>
    <x:row r="6" ht="38" customHeight="1">
      <x:c r="A6" s="31" t="str">
        <x:v>PL003</x:v>
      </x:c>
      <x:c r="B6" s="29" t="str">
        <x:v>佛山市顺德区康明新材料厂新建项目</x:v>
      </x:c>
      <x:c r="C6" s="45" t="n">
        <x:v>100</x:v>
      </x:c>
      <x:c r="D6" s="45" t="n">
        <x:v>15</x:v>
      </x:c>
      <x:c r="E6" s="47" t="n">
        <x:v>0.15</x:v>
      </x:c>
      <x:c r="F6" s="45" t="n">
        <x:v>15</x:v>
      </x:c>
      <x:c r="G6" s="31" t="str">
        <x:v>是</x:v>
      </x:c>
      <x:c r="H6" s="29" t="str">
        <x:v>表2-9 项目环保工程措施投资一览表</x:v>
      </x:c>
      <x:c r="I6" s="47" t="n">
        <x:f>IF(OR(C6="",D6="",C6=0),"",D6/C6)</x:f>
        <x:v>0.15</x:v>
      </x:c>
      <x:c r="J6" s="45" t="n">
        <x:f>IF(OR(E6="",I6=""),"",ABS(E6-I6)*100)</x:f>
        <x:v>0</x:v>
      </x:c>
      <x:c r="K6" s="45" t="n">
        <x:f>IF(OR(D6="",F6=""),"",ABS(D6-F6))</x:f>
        <x:v>0</x:v>
      </x:c>
      <x:c r="L6" s="31" t="str">
        <x:f>IF(OR(C6="",D6="",E6=""),"无法判断",IF(G6="否","部分匹配",IF(F6="","部分匹配",IF(AND(J6&lt;=0.1,K6&lt;=0.01),"匹配","不匹配"))))</x:f>
        <x:v>匹配</x:v>
      </x:c>
      <x:c r="M6" s="31" t="str">
        <x:v>无</x:v>
      </x:c>
      <x:c r="N6" s="31" t="str">
        <x:f>IF(L6="匹配","否","是")</x:f>
        <x:v>否</x:v>
      </x:c>
    </x:row>
    <x:row r="7" ht="38" customHeight="1">
      <x:c r="A7" s="31" t="str">
        <x:v>PL004</x:v>
      </x:c>
      <x:c r="B7" s="29" t="str">
        <x:v>恒励新材料科技（佛山）有限公司新建项目</x:v>
      </x:c>
      <x:c r="C7" s="45" t="n">
        <x:v>100</x:v>
      </x:c>
      <x:c r="D7" s="45" t="n">
        <x:v>10</x:v>
      </x:c>
      <x:c r="E7" s="47" t="n">
        <x:v>0.1</x:v>
      </x:c>
      <x:c r="F7" s="45"/>
      <x:c r="G7" s="31" t="str">
        <x:v>是</x:v>
      </x:c>
      <x:c r="H7" s="29" t="str">
        <x:v>未检索到</x:v>
      </x:c>
      <x:c r="I7" s="47" t="n">
        <x:f>IF(OR(C7="",D7="",C7=0),"",D7/C7)</x:f>
        <x:v>0.1</x:v>
      </x:c>
      <x:c r="J7" s="45" t="n">
        <x:f>IF(OR(E7="",I7=""),"",ABS(E7-I7)*100)</x:f>
        <x:v>0</x:v>
      </x:c>
      <x:c r="K7" s="45" t="str">
        <x:f>IF(OR(D7="",F7=""),"",ABS(D7-F7))</x:f>
      </x:c>
      <x:c r="L7" s="31" t="str">
        <x:f>IF(OR(C7="",D7="",E7=""),"无法判断",IF(G7="否","部分匹配",IF(F7="","部分匹配",IF(AND(J7&lt;=0.1,K7&lt;=0.01),"匹配","不匹配"))))</x:f>
        <x:v>部分匹配</x:v>
      </x:c>
      <x:c r="M7" s="31" t="str">
        <x:v>未检索到环保工程投资明细表</x:v>
      </x:c>
      <x:c r="N7" s="31" t="str">
        <x:f>IF(L7="匹配","否","是")</x:f>
        <x:v>是</x:v>
      </x:c>
    </x:row>
    <x:row r="8" ht="38" customHeight="1">
      <x:c r="A8" s="31" t="str">
        <x:v>PL018</x:v>
      </x:c>
      <x:c r="B8" s="29" t="str">
        <x:v>广东台塑智能科技有限公司新建项目</x:v>
      </x:c>
      <x:c r="C8" s="45" t="n">
        <x:v>1000</x:v>
      </x:c>
      <x:c r="D8" s="45" t="n">
        <x:v>30</x:v>
      </x:c>
      <x:c r="E8" s="47" t="n">
        <x:v>0.03</x:v>
      </x:c>
      <x:c r="F8" s="45"/>
      <x:c r="G8" s="31" t="str">
        <x:v>是</x:v>
      </x:c>
      <x:c r="H8" s="29" t="str">
        <x:v>未检索到</x:v>
      </x:c>
      <x:c r="I8" s="47" t="n">
        <x:f>IF(OR(C8="",D8="",C8=0),"",D8/C8)</x:f>
        <x:v>0.03</x:v>
      </x:c>
      <x:c r="J8" s="45" t="n">
        <x:f>IF(OR(E8="",I8=""),"",ABS(E8-I8)*100)</x:f>
        <x:v>0</x:v>
      </x:c>
      <x:c r="K8" s="45" t="str">
        <x:f>IF(OR(D8="",F8=""),"",ABS(D8-F8))</x:f>
      </x:c>
      <x:c r="L8" s="31" t="str">
        <x:f>IF(OR(C8="",D8="",E8=""),"无法判断",IF(G8="否","部分匹配",IF(F8="","部分匹配",IF(AND(J8&lt;=0.1,K8&lt;=0.01),"匹配","不匹配"))))</x:f>
        <x:v>部分匹配</x:v>
      </x:c>
      <x:c r="M8" s="31" t="str">
        <x:v>未检索到环保工程投资明细表</x:v>
      </x:c>
      <x:c r="N8" s="31" t="str">
        <x:f>IF(L8="匹配","否","是")</x:f>
        <x:v>是</x:v>
      </x:c>
    </x:row>
    <x:row r="9" ht="38" customHeight="1">
      <x:c r="A9" s="31" t="str">
        <x:v>PL019</x:v>
      </x:c>
      <x:c r="B9" s="29" t="str">
        <x:v>佛山市智龙科技有限公司迁扩建项目</x:v>
      </x:c>
      <x:c r="C9" s="45" t="n">
        <x:v>100</x:v>
      </x:c>
      <x:c r="D9" s="45" t="n">
        <x:v>12</x:v>
      </x:c>
      <x:c r="E9" s="47" t="n">
        <x:v>0.12</x:v>
      </x:c>
      <x:c r="F9" s="45" t="n">
        <x:v>12</x:v>
      </x:c>
      <x:c r="G9" s="31" t="str">
        <x:v>是</x:v>
      </x:c>
      <x:c r="H9" s="29" t="str">
        <x:v>表2.11 项目环保工程措施投资一览表</x:v>
      </x:c>
      <x:c r="I9" s="47" t="n">
        <x:f>IF(OR(C9="",D9="",C9=0),"",D9/C9)</x:f>
        <x:v>0.12</x:v>
      </x:c>
      <x:c r="J9" s="45" t="n">
        <x:f>IF(OR(E9="",I9=""),"",ABS(E9-I9)*100)</x:f>
        <x:v>0</x:v>
      </x:c>
      <x:c r="K9" s="45" t="n">
        <x:f>IF(OR(D9="",F9=""),"",ABS(D9-F9))</x:f>
        <x:v>0</x:v>
      </x:c>
      <x:c r="L9" s="31" t="str">
        <x:f>IF(OR(C9="",D9="",E9=""),"无法判断",IF(G9="否","部分匹配",IF(F9="","部分匹配",IF(AND(J9&lt;=0.1,K9&lt;=0.01),"匹配","不匹配"))))</x:f>
        <x:v>匹配</x:v>
      </x:c>
      <x:c r="M9" s="31" t="str">
        <x:v>无</x:v>
      </x:c>
      <x:c r="N9" s="31" t="str">
        <x:f>IF(L9="匹配","否","是")</x:f>
        <x:v>否</x:v>
      </x:c>
    </x:row>
    <x:row r="10" ht="38" customHeight="1">
      <x:c r="A10" s="31" t="str">
        <x:v>PL020</x:v>
      </x:c>
      <x:c r="B10" s="29" t="str">
        <x:v>佛山市朗信塑料制品有限公司新建项目</x:v>
      </x:c>
      <x:c r="C10" s="45" t="n">
        <x:v>100</x:v>
      </x:c>
      <x:c r="D10" s="45" t="n">
        <x:v>15</x:v>
      </x:c>
      <x:c r="E10" s="47" t="n">
        <x:v>0.15</x:v>
      </x:c>
      <x:c r="F10" s="45"/>
      <x:c r="G10" s="31" t="str">
        <x:v>是</x:v>
      </x:c>
      <x:c r="H10" s="29" t="str">
        <x:v>未检索到</x:v>
      </x:c>
      <x:c r="I10" s="47" t="n">
        <x:f>IF(OR(C10="",D10="",C10=0),"",D10/C10)</x:f>
        <x:v>0.15</x:v>
      </x:c>
      <x:c r="J10" s="45" t="n">
        <x:f>IF(OR(E10="",I10=""),"",ABS(E10-I10)*100)</x:f>
        <x:v>0</x:v>
      </x:c>
      <x:c r="K10" s="45" t="str">
        <x:f>IF(OR(D10="",F10=""),"",ABS(D10-F10))</x:f>
      </x:c>
      <x:c r="L10" s="31" t="str">
        <x:f>IF(OR(C10="",D10="",E10=""),"无法判断",IF(G10="否","部分匹配",IF(F10="","部分匹配",IF(AND(J10&lt;=0.1,K10&lt;=0.01),"匹配","不匹配"))))</x:f>
        <x:v>部分匹配</x:v>
      </x:c>
      <x:c r="M10" s="31" t="str">
        <x:v>未检索到环保工程投资明细表</x:v>
      </x:c>
      <x:c r="N10" s="31" t="str">
        <x:f>IF(L10="匹配","否","是")</x:f>
        <x:v>是</x:v>
      </x:c>
    </x:row>
    <x:row r="11" ht="38" customHeight="1">
      <x:c r="A11" s="31" t="str">
        <x:v>PL021</x:v>
      </x:c>
      <x:c r="B11" s="29" t="str">
        <x:v>佛山市顺德区共诺电子元件厂搬迁项目</x:v>
      </x:c>
      <x:c r="C11" s="45" t="n">
        <x:v>250</x:v>
      </x:c>
      <x:c r="D11" s="45" t="n">
        <x:v>10</x:v>
      </x:c>
      <x:c r="E11" s="47" t="n">
        <x:v>0.04</x:v>
      </x:c>
      <x:c r="F11" s="45" t="n">
        <x:v>10</x:v>
      </x:c>
      <x:c r="G11" s="31" t="str">
        <x:v>是</x:v>
      </x:c>
      <x:c r="H11" s="29" t="str">
        <x:v>表4-24 环境保护工程措施投资</x:v>
      </x:c>
      <x:c r="I11" s="47" t="n">
        <x:f>IF(OR(C11="",D11="",C11=0),"",D11/C11)</x:f>
        <x:v>0.04</x:v>
      </x:c>
      <x:c r="J11" s="45" t="n">
        <x:f>IF(OR(E11="",I11=""),"",ABS(E11-I11)*100)</x:f>
        <x:v>0</x:v>
      </x:c>
      <x:c r="K11" s="45" t="n">
        <x:f>IF(OR(D11="",F11=""),"",ABS(D11-F11))</x:f>
        <x:v>0</x:v>
      </x:c>
      <x:c r="L11" s="31" t="str">
        <x:f>IF(OR(C11="",D11="",E11=""),"无法判断",IF(G11="否","部分匹配",IF(F11="","部分匹配",IF(AND(J11&lt;=0.1,K11&lt;=0.01),"匹配","不匹配"))))</x:f>
        <x:v>匹配</x:v>
      </x:c>
      <x:c r="M11" s="31" t="str">
        <x:v>无</x:v>
      </x:c>
      <x:c r="N11" s="31" t="str">
        <x:f>IF(L11="匹配","否","是")</x:f>
        <x:v>否</x:v>
      </x:c>
    </x:row>
    <x:row r="12" ht="38" customHeight="1">
      <x:c r="A12" s="31" t="str">
        <x:v>PL022</x:v>
      </x:c>
      <x:c r="B12" s="29" t="str">
        <x:v>佛山市锐拓新材料有限公司新建项目</x:v>
      </x:c>
      <x:c r="C12" s="45" t="n">
        <x:v>100</x:v>
      </x:c>
      <x:c r="D12" s="45" t="n">
        <x:v>10</x:v>
      </x:c>
      <x:c r="E12" s="47" t="n">
        <x:v>0.1</x:v>
      </x:c>
      <x:c r="F12" s="45"/>
      <x:c r="G12" s="31" t="str">
        <x:v>是</x:v>
      </x:c>
      <x:c r="H12" s="29" t="str">
        <x:v>未检索到</x:v>
      </x:c>
      <x:c r="I12" s="47" t="n">
        <x:f>IF(OR(C12="",D12="",C12=0),"",D12/C12)</x:f>
        <x:v>0.1</x:v>
      </x:c>
      <x:c r="J12" s="45" t="n">
        <x:f>IF(OR(E12="",I12=""),"",ABS(E12-I12)*100)</x:f>
        <x:v>0</x:v>
      </x:c>
      <x:c r="K12" s="45" t="str">
        <x:f>IF(OR(D12="",F12=""),"",ABS(D12-F12))</x:f>
      </x:c>
      <x:c r="L12" s="31" t="str">
        <x:f>IF(OR(C12="",D12="",E12=""),"无法判断",IF(G12="否","部分匹配",IF(F12="","部分匹配",IF(AND(J12&lt;=0.1,K12&lt;=0.01),"匹配","不匹配"))))</x:f>
        <x:v>部分匹配</x:v>
      </x:c>
      <x:c r="M12" s="31" t="str">
        <x:v>未检索到环保工程投资明细表</x:v>
      </x:c>
      <x:c r="N12" s="31" t="str">
        <x:f>IF(L12="匹配","否","是")</x:f>
        <x:v>是</x:v>
      </x:c>
    </x:row>
    <x:row r="13" ht="38" customHeight="1">
      <x:c r="A13" s="31" t="str">
        <x:v>PL023</x:v>
      </x:c>
      <x:c r="B13" s="29" t="str">
        <x:v>佛山市通能达科技有限公司新建项目</x:v>
      </x:c>
      <x:c r="C13" s="45" t="n">
        <x:v>300</x:v>
      </x:c>
      <x:c r="D13" s="45" t="n">
        <x:v>25</x:v>
      </x:c>
      <x:c r="E13" s="47" t="n">
        <x:v>0.0833</x:v>
      </x:c>
      <x:c r="F13" s="45" t="n">
        <x:v>25</x:v>
      </x:c>
      <x:c r="G13" s="31" t="str">
        <x:v>是</x:v>
      </x:c>
      <x:c r="H13" s="29" t="str">
        <x:v>表2-11 项目环保工程措施投资一览表</x:v>
      </x:c>
      <x:c r="I13" s="47" t="n">
        <x:f>IF(OR(C13="",D13="",C13=0),"",D13/C13)</x:f>
        <x:v>0.08333333333333333</x:v>
      </x:c>
      <x:c r="J13" s="45" t="n">
        <x:f>IF(OR(E13="",I13=""),"",ABS(E13-I13)*100)</x:f>
        <x:v>0.0033333333333329662</x:v>
      </x:c>
      <x:c r="K13" s="45" t="n">
        <x:f>IF(OR(D13="",F13=""),"",ABS(D13-F13))</x:f>
        <x:v>0</x:v>
      </x:c>
      <x:c r="L13" s="31" t="str">
        <x:f>IF(OR(C13="",D13="",E13=""),"无法判断",IF(G13="否","部分匹配",IF(F13="","部分匹配",IF(AND(J13&lt;=0.1,K13&lt;=0.01),"匹配","不匹配"))))</x:f>
        <x:v>匹配</x:v>
      </x:c>
      <x:c r="M13" s="31" t="str">
        <x:v>无</x:v>
      </x:c>
      <x:c r="N13" s="31" t="str">
        <x:f>IF(L13="匹配","否","是")</x:f>
        <x:v>否</x:v>
      </x:c>
    </x:row>
    <x:row r="14" ht="38" customHeight="1">
      <x:c r="A14" s="31" t="str">
        <x:v>PL025</x:v>
      </x:c>
      <x:c r="B14" s="29" t="str">
        <x:v>佛山市巨人电器有限公司新建项目</x:v>
      </x:c>
      <x:c r="C14" s="45"/>
      <x:c r="D14" s="45"/>
      <x:c r="E14" s="47" t="n">
        <x:v>0.15</x:v>
      </x:c>
      <x:c r="F14" s="45" t="n">
        <x:v>15</x:v>
      </x:c>
      <x:c r="G14" s="31" t="str">
        <x:v>否</x:v>
      </x:c>
      <x:c r="H14" s="29" t="str">
        <x:v>表4-23 环境保护工程措施投资</x:v>
      </x:c>
      <x:c r="I14" s="47" t="str">
        <x:f>IF(OR(C14="",D14="",C14=0),"",D14/C14)</x:f>
      </x:c>
      <x:c r="J14" s="45" t="str">
        <x:f>IF(OR(E14="",I14=""),"",ABS(E14-I14)*100)</x:f>
      </x:c>
      <x:c r="K14" s="45" t="str">
        <x:f>IF(OR(D14="",F14=""),"",ABS(D14-F14))</x:f>
      </x:c>
      <x:c r="L14" s="31" t="str">
        <x:f>IF(OR(C14="",D14="",E14=""),"无法判断",IF(G14="否","部分匹配",IF(F14="","部分匹配",IF(AND(J14&lt;=0.1,K14&lt;=0.01),"匹配","不匹配"))))</x:f>
        <x:v>无法判断</x:v>
      </x:c>
      <x:c r="M14" s="31" t="str">
        <x:v>基本情况表总投资、环保投资已脱敏</x:v>
      </x:c>
      <x:c r="N14" s="31" t="str">
        <x:f>IF(L14="匹配","否","是")</x:f>
        <x:v>是</x:v>
      </x:c>
    </x:row>
    <x:row r="15" ht="38" customHeight="1">
      <x:c r="A15" s="31" t="str">
        <x:v>PL026</x:v>
      </x:c>
      <x:c r="B15" s="29" t="str">
        <x:v>佛山市黑曜电器科技有限公司新建项目</x:v>
      </x:c>
      <x:c r="C15" s="45" t="n">
        <x:v>30</x:v>
      </x:c>
      <x:c r="D15" s="45" t="n">
        <x:v>10</x:v>
      </x:c>
      <x:c r="E15" s="47" t="n">
        <x:v>0.33299999999999996</x:v>
      </x:c>
      <x:c r="F15" s="45"/>
      <x:c r="G15" s="31" t="str">
        <x:v>是</x:v>
      </x:c>
      <x:c r="H15" s="29" t="str">
        <x:v>未检索到</x:v>
      </x:c>
      <x:c r="I15" s="47" t="n">
        <x:f>IF(OR(C15="",D15="",C15=0),"",D15/C15)</x:f>
        <x:v>0.3333333333333333</x:v>
      </x:c>
      <x:c r="J15" s="45" t="n">
        <x:f>IF(OR(E15="",I15=""),"",ABS(E15-I15)*100)</x:f>
        <x:v>0.03333333333333521</x:v>
      </x:c>
      <x:c r="K15" s="45" t="str">
        <x:f>IF(OR(D15="",F15=""),"",ABS(D15-F15))</x:f>
      </x:c>
      <x:c r="L15" s="31" t="str">
        <x:f>IF(OR(C15="",D15="",E15=""),"无法判断",IF(G15="否","部分匹配",IF(F15="","部分匹配",IF(AND(J15&lt;=0.1,K15&lt;=0.01),"匹配","不匹配"))))</x:f>
        <x:v>部分匹配</x:v>
      </x:c>
      <x:c r="M15" s="31" t="str">
        <x:v>未检索到环保工程投资明细表</x:v>
      </x:c>
      <x:c r="N15" s="31" t="str">
        <x:f>IF(L15="匹配","否","是")</x:f>
        <x:v>是</x:v>
      </x:c>
    </x:row>
    <x:row r="16" ht="38" customHeight="1">
      <x:c r="A16" s="31" t="str">
        <x:v>PL027</x:v>
      </x:c>
      <x:c r="B16" s="29" t="str">
        <x:v>佛山市天隆通塑料制品有限公司新建项目</x:v>
      </x:c>
      <x:c r="C16" s="45" t="n">
        <x:v>200</x:v>
      </x:c>
      <x:c r="D16" s="45" t="n">
        <x:v>20</x:v>
      </x:c>
      <x:c r="E16" s="47" t="n">
        <x:v>0.1</x:v>
      </x:c>
      <x:c r="F16" s="45" t="n">
        <x:v>20</x:v>
      </x:c>
      <x:c r="G16" s="31" t="str">
        <x:v>是</x:v>
      </x:c>
      <x:c r="H16" s="29" t="str">
        <x:v>环保投资情况一览表</x:v>
      </x:c>
      <x:c r="I16" s="47" t="n">
        <x:f>IF(OR(C16="",D16="",C16=0),"",D16/C16)</x:f>
        <x:v>0.1</x:v>
      </x:c>
      <x:c r="J16" s="45" t="n">
        <x:f>IF(OR(E16="",I16=""),"",ABS(E16-I16)*100)</x:f>
        <x:v>0</x:v>
      </x:c>
      <x:c r="K16" s="45" t="n">
        <x:f>IF(OR(D16="",F16=""),"",ABS(D16-F16))</x:f>
        <x:v>0</x:v>
      </x:c>
      <x:c r="L16" s="31" t="str">
        <x:f>IF(OR(C16="",D16="",E16=""),"无法判断",IF(G16="否","部分匹配",IF(F16="","部分匹配",IF(AND(J16&lt;=0.1,K16&lt;=0.01),"匹配","不匹配"))))</x:f>
        <x:v>匹配</x:v>
      </x:c>
      <x:c r="M16" s="31" t="str">
        <x:v>无</x:v>
      </x:c>
      <x:c r="N16" s="31" t="str">
        <x:f>IF(L16="匹配","否","是")</x:f>
        <x:v>否</x:v>
      </x:c>
    </x:row>
    <x:row r="17" ht="38" customHeight="1">
      <x:c r="A17" s="31" t="str">
        <x:v>PL028</x:v>
      </x:c>
      <x:c r="B17" s="29" t="str">
        <x:v>佛山市顺德区振峰塑料模具制造有限公司分车间新建项目</x:v>
      </x:c>
      <x:c r="C17" s="45"/>
      <x:c r="D17" s="45"/>
      <x:c r="E17" s="47"/>
      <x:c r="F17" s="45" t="n">
        <x:v>20</x:v>
      </x:c>
      <x:c r="G17" s="31" t="str">
        <x:v>否</x:v>
      </x:c>
      <x:c r="H17" s="29" t="str">
        <x:v>表2-11 建设项目环保投资一览表</x:v>
      </x:c>
      <x:c r="I17" s="47" t="str">
        <x:f>IF(OR(C17="",D17="",C17=0),"",D17/C17)</x:f>
      </x:c>
      <x:c r="J17" s="45" t="str">
        <x:f>IF(OR(E17="",I17=""),"",ABS(E17-I17)*100)</x:f>
      </x:c>
      <x:c r="K17" s="45" t="str">
        <x:f>IF(OR(D17="",F17=""),"",ABS(D17-F17))</x:f>
      </x:c>
      <x:c r="L17" s="31" t="str">
        <x:f>IF(OR(C17="",D17="",E17=""),"无法判断",IF(G17="否","部分匹配",IF(F17="","部分匹配",IF(AND(J17&lt;=0.1,K17&lt;=0.01),"匹配","不匹配"))))</x:f>
        <x:v>无法判断</x:v>
      </x:c>
      <x:c r="M17" s="31" t="str">
        <x:v>基本情况表总投资、环保投资及占比均为空</x:v>
      </x:c>
      <x:c r="N17" s="31" t="str">
        <x:f>IF(L17="匹配","否","是")</x:f>
        <x:v>是</x:v>
      </x:c>
    </x:row>
    <x:row r="18" ht="38" customHeight="1">
      <x:c r="A18" s="31" t="str">
        <x:v>PL029</x:v>
      </x:c>
      <x:c r="B18" s="29" t="str">
        <x:v>佛山市茂安耀科技有限公司新建项目</x:v>
      </x:c>
      <x:c r="C18" s="45"/>
      <x:c r="D18" s="45"/>
      <x:c r="E18" s="47"/>
      <x:c r="F18" s="45" t="n">
        <x:v>20</x:v>
      </x:c>
      <x:c r="G18" s="31" t="str">
        <x:v>否</x:v>
      </x:c>
      <x:c r="H18" s="29" t="str">
        <x:v>表2-11 建设项目环保投资一览表</x:v>
      </x:c>
      <x:c r="I18" s="47" t="str">
        <x:f>IF(OR(C18="",D18="",C18=0),"",D18/C18)</x:f>
      </x:c>
      <x:c r="J18" s="45" t="str">
        <x:f>IF(OR(E18="",I18=""),"",ABS(E18-I18)*100)</x:f>
      </x:c>
      <x:c r="K18" s="45" t="str">
        <x:f>IF(OR(D18="",F18=""),"",ABS(D18-F18))</x:f>
      </x:c>
      <x:c r="L18" s="31" t="str">
        <x:f>IF(OR(C18="",D18="",E18=""),"无法判断",IF(G18="否","部分匹配",IF(F18="","部分匹配",IF(AND(J18&lt;=0.1,K18&lt;=0.01),"匹配","不匹配"))))</x:f>
        <x:v>无法判断</x:v>
      </x:c>
      <x:c r="M18" s="31" t="str">
        <x:v>基本情况表总投资、环保投资及占比均为空</x:v>
      </x:c>
      <x:c r="N18" s="31" t="str">
        <x:f>IF(L18="匹配","否","是")</x:f>
        <x:v>是</x:v>
      </x:c>
    </x:row>
    <x:row r="19" ht="38" customHeight="1">
      <x:c r="A19" s="31" t="str">
        <x:v>PL030</x:v>
      </x:c>
      <x:c r="B19" s="29" t="str">
        <x:v>佛山市瑞易德塑料五金制品有限公司搬迁项目</x:v>
      </x:c>
      <x:c r="C19" s="45" t="n">
        <x:v>200</x:v>
      </x:c>
      <x:c r="D19" s="45" t="n">
        <x:v>15</x:v>
      </x:c>
      <x:c r="E19" s="47" t="n">
        <x:v>0.075</x:v>
      </x:c>
      <x:c r="F19" s="45" t="n">
        <x:v>15</x:v>
      </x:c>
      <x:c r="G19" s="31" t="str">
        <x:v>是</x:v>
      </x:c>
      <x:c r="H19" s="29" t="str">
        <x:v>表4-16 环境保护工程措施投资</x:v>
      </x:c>
      <x:c r="I19" s="47" t="n">
        <x:f>IF(OR(C19="",D19="",C19=0),"",D19/C19)</x:f>
        <x:v>0.075</x:v>
      </x:c>
      <x:c r="J19" s="45" t="n">
        <x:f>IF(OR(E19="",I19=""),"",ABS(E19-I19)*100)</x:f>
        <x:v>0</x:v>
      </x:c>
      <x:c r="K19" s="45" t="n">
        <x:f>IF(OR(D19="",F19=""),"",ABS(D19-F19))</x:f>
        <x:v>0</x:v>
      </x:c>
      <x:c r="L19" s="31" t="str">
        <x:f>IF(OR(C19="",D19="",E19=""),"无法判断",IF(G19="否","部分匹配",IF(F19="","部分匹配",IF(AND(J19&lt;=0.1,K19&lt;=0.01),"匹配","不匹配"))))</x:f>
        <x:v>匹配</x:v>
      </x:c>
      <x:c r="M19" s="31" t="str">
        <x:v>无</x:v>
      </x:c>
      <x:c r="N19" s="31" t="str">
        <x:f>IF(L19="匹配","否","是")</x:f>
        <x:v>否</x:v>
      </x:c>
    </x:row>
    <x:row r="20" ht="38" customHeight="1">
      <x:c r="A20" s="31" t="str">
        <x:v>PL031</x:v>
      </x:c>
      <x:c r="B20" s="29" t="str">
        <x:v>佛山市浩创时代包装制品有限公司新建项目</x:v>
      </x:c>
      <x:c r="C20" s="45" t="n">
        <x:v>250</x:v>
      </x:c>
      <x:c r="D20" s="45" t="n">
        <x:v>25</x:v>
      </x:c>
      <x:c r="E20" s="47" t="n">
        <x:v>0.1</x:v>
      </x:c>
      <x:c r="F20" s="45" t="n">
        <x:v>25</x:v>
      </x:c>
      <x:c r="G20" s="31" t="str">
        <x:v>是</x:v>
      </x:c>
      <x:c r="H20" s="29" t="str">
        <x:v>项目环保投资一览表</x:v>
      </x:c>
      <x:c r="I20" s="47" t="n">
        <x:f>IF(OR(C20="",D20="",C20=0),"",D20/C20)</x:f>
        <x:v>0.1</x:v>
      </x:c>
      <x:c r="J20" s="45" t="n">
        <x:f>IF(OR(E20="",I20=""),"",ABS(E20-I20)*100)</x:f>
        <x:v>0</x:v>
      </x:c>
      <x:c r="K20" s="45" t="n">
        <x:f>IF(OR(D20="",F20=""),"",ABS(D20-F20))</x:f>
        <x:v>0</x:v>
      </x:c>
      <x:c r="L20" s="31" t="str">
        <x:f>IF(OR(C20="",D20="",E20=""),"无法判断",IF(G20="否","部分匹配",IF(F20="","部分匹配",IF(AND(J20&lt;=0.1,K20&lt;=0.01),"匹配","不匹配"))))</x:f>
        <x:v>匹配</x:v>
      </x:c>
      <x:c r="M20" s="31" t="str">
        <x:v>无</x:v>
      </x:c>
      <x:c r="N20" s="31" t="str">
        <x:f>IF(L20="匹配","否","是")</x:f>
        <x:v>否</x:v>
      </x:c>
    </x:row>
    <x:row r="21" ht="38" customHeight="1">
      <x:c r="A21" s="31" t="str">
        <x:v>PL032</x:v>
      </x:c>
      <x:c r="B21" s="29" t="str">
        <x:v>德旺众新材料科技（佛山）有限公司新建建设项目</x:v>
      </x:c>
      <x:c r="C21" s="45"/>
      <x:c r="D21" s="45"/>
      <x:c r="E21" s="47" t="n">
        <x:v>0.15</x:v>
      </x:c>
      <x:c r="F21" s="45"/>
      <x:c r="G21" s="31" t="str">
        <x:v>否</x:v>
      </x:c>
      <x:c r="H21" s="29" t="str">
        <x:v>未检索到</x:v>
      </x:c>
      <x:c r="I21" s="47" t="str">
        <x:f>IF(OR(C21="",D21="",C21=0),"",D21/C21)</x:f>
      </x:c>
      <x:c r="J21" s="45" t="str">
        <x:f>IF(OR(E21="",I21=""),"",ABS(E21-I21)*100)</x:f>
      </x:c>
      <x:c r="K21" s="45" t="str">
        <x:f>IF(OR(D21="",F21=""),"",ABS(D21-F21))</x:f>
      </x:c>
      <x:c r="L21" s="31" t="str">
        <x:f>IF(OR(C21="",D21="",E21=""),"无法判断",IF(G21="否","部分匹配",IF(F21="","部分匹配",IF(AND(J21&lt;=0.1,K21&lt;=0.01),"匹配","不匹配"))))</x:f>
        <x:v>无法判断</x:v>
      </x:c>
      <x:c r="M21" s="31" t="str">
        <x:v>总投资、环保投资已脱敏，且未检索到环保工程投资明细表</x:v>
      </x:c>
      <x:c r="N21" s="31" t="str">
        <x:f>IF(L21="匹配","否","是")</x:f>
        <x:v>是</x:v>
      </x:c>
    </x:row>
    <x:row r="22" ht="38" customHeight="1">
      <x:c r="A22" s="31" t="str">
        <x:v>PL033</x:v>
      </x:c>
      <x:c r="B22" s="29" t="str">
        <x:v>广东施格纳电气有限公司新建项目</x:v>
      </x:c>
      <x:c r="C22" s="45" t="n">
        <x:v>1000</x:v>
      </x:c>
      <x:c r="D22" s="45" t="n">
        <x:v>15</x:v>
      </x:c>
      <x:c r="E22" s="47" t="n">
        <x:v>0.015</x:v>
      </x:c>
      <x:c r="F22" s="45"/>
      <x:c r="G22" s="31" t="str">
        <x:v>是</x:v>
      </x:c>
      <x:c r="H22" s="29" t="str">
        <x:v>未检索到</x:v>
      </x:c>
      <x:c r="I22" s="47" t="n">
        <x:f>IF(OR(C22="",D22="",C22=0),"",D22/C22)</x:f>
        <x:v>0.015</x:v>
      </x:c>
      <x:c r="J22" s="45" t="n">
        <x:f>IF(OR(E22="",I22=""),"",ABS(E22-I22)*100)</x:f>
        <x:v>0</x:v>
      </x:c>
      <x:c r="K22" s="45" t="str">
        <x:f>IF(OR(D22="",F22=""),"",ABS(D22-F22))</x:f>
      </x:c>
      <x:c r="L22" s="31" t="str">
        <x:f>IF(OR(C22="",D22="",E22=""),"无法判断",IF(G22="否","部分匹配",IF(F22="","部分匹配",IF(AND(J22&lt;=0.1,K22&lt;=0.01),"匹配","不匹配"))))</x:f>
        <x:v>部分匹配</x:v>
      </x:c>
      <x:c r="M22" s="31" t="str">
        <x:v>未检索到环保工程投资明细表</x:v>
      </x:c>
      <x:c r="N22" s="31" t="str">
        <x:f>IF(L22="匹配","否","是")</x:f>
        <x:v>是</x:v>
      </x:c>
    </x:row>
    <x:row r="23" ht="38" customHeight="1">
      <x:c r="A23" s="31" t="str">
        <x:v>PL034</x:v>
      </x:c>
      <x:c r="B23" s="29" t="str">
        <x:v>佛山市沃丰德电器有限公司扩建项目</x:v>
      </x:c>
      <x:c r="C23" s="45" t="n">
        <x:v>20</x:v>
      </x:c>
      <x:c r="D23" s="45" t="n">
        <x:v>10</x:v>
      </x:c>
      <x:c r="E23" s="47" t="n">
        <x:v>0.5</x:v>
      </x:c>
      <x:c r="F23" s="45"/>
      <x:c r="G23" s="31" t="str">
        <x:v>是</x:v>
      </x:c>
      <x:c r="H23" s="29" t="str">
        <x:v>未检索到</x:v>
      </x:c>
      <x:c r="I23" s="47" t="n">
        <x:f>IF(OR(C23="",D23="",C23=0),"",D23/C23)</x:f>
        <x:v>0.5</x:v>
      </x:c>
      <x:c r="J23" s="45" t="n">
        <x:f>IF(OR(E23="",I23=""),"",ABS(E23-I23)*100)</x:f>
        <x:v>0</x:v>
      </x:c>
      <x:c r="K23" s="45" t="str">
        <x:f>IF(OR(D23="",F23=""),"",ABS(D23-F23))</x:f>
      </x:c>
      <x:c r="L23" s="31" t="str">
        <x:f>IF(OR(C23="",D23="",E23=""),"无法判断",IF(G23="否","部分匹配",IF(F23="","部分匹配",IF(AND(J23&lt;=0.1,K23&lt;=0.01),"匹配","不匹配"))))</x:f>
        <x:v>部分匹配</x:v>
      </x:c>
      <x:c r="M23" s="31" t="str">
        <x:v>未检索到环保工程投资明细表</x:v>
      </x:c>
      <x:c r="N23" s="31" t="str">
        <x:f>IF(L23="匹配","否","是")</x:f>
        <x:v>是</x:v>
      </x:c>
    </x:row>
    <x:row r="24" ht="38" customHeight="1">
      <x:c r="A24" s="31" t="str">
        <x:v>PL035</x:v>
      </x:c>
      <x:c r="B24" s="29" t="str">
        <x:v>佛山市顺德区钧锐塑料厂迁建项目</x:v>
      </x:c>
      <x:c r="C24" s="45" t="n">
        <x:v>100</x:v>
      </x:c>
      <x:c r="D24" s="45" t="n">
        <x:v>20</x:v>
      </x:c>
      <x:c r="E24" s="47" t="n">
        <x:v>0.2</x:v>
      </x:c>
      <x:c r="F24" s="45"/>
      <x:c r="G24" s="31" t="str">
        <x:v>是</x:v>
      </x:c>
      <x:c r="H24" s="29" t="str">
        <x:v>未检索到</x:v>
      </x:c>
      <x:c r="I24" s="47" t="n">
        <x:f>IF(OR(C24="",D24="",C24=0),"",D24/C24)</x:f>
        <x:v>0.2</x:v>
      </x:c>
      <x:c r="J24" s="45" t="n">
        <x:f>IF(OR(E24="",I24=""),"",ABS(E24-I24)*100)</x:f>
        <x:v>0</x:v>
      </x:c>
      <x:c r="K24" s="45" t="str">
        <x:f>IF(OR(D24="",F24=""),"",ABS(D24-F24))</x:f>
      </x:c>
      <x:c r="L24" s="31" t="str">
        <x:f>IF(OR(C24="",D24="",E24=""),"无法判断",IF(G24="否","部分匹配",IF(F24="","部分匹配",IF(AND(J24&lt;=0.1,K24&lt;=0.01),"匹配","不匹配"))))</x:f>
        <x:v>部分匹配</x:v>
      </x:c>
      <x:c r="M24" s="31" t="str">
        <x:v>未检索到环保工程投资明细表</x:v>
      </x:c>
      <x:c r="N24" s="31" t="str">
        <x:f>IF(L24="匹配","否","是")</x:f>
        <x:v>是</x:v>
      </x:c>
    </x:row>
    <x:row r="25" ht="38" customHeight="1">
      <x:c r="A25" s="31" t="str">
        <x:v>PL036</x:v>
      </x:c>
      <x:c r="B25" s="29" t="str">
        <x:v>广东梅州磁性材料有限公司顺德分公司迁扩建项目</x:v>
      </x:c>
      <x:c r="C25" s="45" t="n">
        <x:v>300</x:v>
      </x:c>
      <x:c r="D25" s="45" t="n">
        <x:v>18</x:v>
      </x:c>
      <x:c r="E25" s="47" t="n">
        <x:v>0.06</x:v>
      </x:c>
      <x:c r="F25" s="45" t="n">
        <x:v>18</x:v>
      </x:c>
      <x:c r="G25" s="31" t="str">
        <x:v>否</x:v>
      </x:c>
      <x:c r="H25" s="29" t="str">
        <x:v>表2-10 建设项目环保投资一览表</x:v>
      </x:c>
      <x:c r="I25" s="47" t="n">
        <x:f>IF(OR(C25="",D25="",C25=0),"",D25/C25)</x:f>
        <x:v>0.06</x:v>
      </x:c>
      <x:c r="J25" s="45" t="n">
        <x:f>IF(OR(E25="",I25=""),"",ABS(E25-I25)*100)</x:f>
        <x:v>0</x:v>
      </x:c>
      <x:c r="K25" s="45" t="n">
        <x:f>IF(OR(D25="",F25=""),"",ABS(D25-F25))</x:f>
        <x:v>0</x:v>
      </x:c>
      <x:c r="L25" s="31" t="str">
        <x:f>IF(OR(C25="",D25="",E25=""),"无法判断",IF(G25="否","部分匹配",IF(F25="","部分匹配",IF(AND(J25&lt;=0.1,K25&lt;=0.01),"匹配","不匹配"))))</x:f>
        <x:v>部分匹配</x:v>
      </x:c>
      <x:c r="M25" s="31" t="str">
        <x:v>基本情况表投资字段为空，数值来自工程分析章节</x:v>
      </x:c>
      <x:c r="N25" s="31" t="str">
        <x:f>IF(L25="匹配","否","是")</x:f>
        <x:v>是</x:v>
      </x:c>
    </x:row>
    <x:row r="26" ht="38" customHeight="1">
      <x:c r="A26" s="31" t="str">
        <x:v>PL037</x:v>
      </x:c>
      <x:c r="B26" s="29" t="str">
        <x:v>佛山麦琪科技有限公司建设项目</x:v>
      </x:c>
      <x:c r="C26" s="45"/>
      <x:c r="D26" s="45"/>
      <x:c r="E26" s="47" t="n">
        <x:v>0.2</x:v>
      </x:c>
      <x:c r="F26" s="45"/>
      <x:c r="G26" s="31" t="str">
        <x:v>否</x:v>
      </x:c>
      <x:c r="H26" s="29" t="str">
        <x:v>未检索到</x:v>
      </x:c>
      <x:c r="I26" s="47" t="str">
        <x:f>IF(OR(C26="",D26="",C26=0),"",D26/C26)</x:f>
      </x:c>
      <x:c r="J26" s="45" t="str">
        <x:f>IF(OR(E26="",I26=""),"",ABS(E26-I26)*100)</x:f>
      </x:c>
      <x:c r="K26" s="45" t="str">
        <x:f>IF(OR(D26="",F26=""),"",ABS(D26-F26))</x:f>
      </x:c>
      <x:c r="L26" s="31" t="str">
        <x:f>IF(OR(C26="",D26="",E26=""),"无法判断",IF(G26="否","部分匹配",IF(F26="","部分匹配",IF(AND(J26&lt;=0.1,K26&lt;=0.01),"匹配","不匹配"))))</x:f>
        <x:v>无法判断</x:v>
      </x:c>
      <x:c r="M26" s="31" t="str">
        <x:v>总投资、环保投资为空，且未检索到环保工程投资明细表</x:v>
      </x:c>
      <x:c r="N26" s="31" t="str">
        <x:f>IF(L26="匹配","否","是")</x:f>
        <x:v>是</x:v>
      </x:c>
    </x:row>
    <x:row r="27" ht="38" customHeight="1">
      <x:c r="A27" s="31" t="str">
        <x:v>PL038</x:v>
      </x:c>
      <x:c r="B27" s="29" t="str">
        <x:v>佛山市顺德区晟昂电子科技有限公司新建项目</x:v>
      </x:c>
      <x:c r="C27" s="45" t="n">
        <x:v>200</x:v>
      </x:c>
      <x:c r="D27" s="45" t="n">
        <x:v>10</x:v>
      </x:c>
      <x:c r="E27" s="47" t="n">
        <x:v>0.05</x:v>
      </x:c>
      <x:c r="F27" s="45" t="n">
        <x:v>10</x:v>
      </x:c>
      <x:c r="G27" s="31" t="str">
        <x:v>是</x:v>
      </x:c>
      <x:c r="H27" s="29" t="str">
        <x:v>表2-10 项目环保工程措施投资一览表</x:v>
      </x:c>
      <x:c r="I27" s="47" t="n">
        <x:f>IF(OR(C27="",D27="",C27=0),"",D27/C27)</x:f>
        <x:v>0.05</x:v>
      </x:c>
      <x:c r="J27" s="45" t="n">
        <x:f>IF(OR(E27="",I27=""),"",ABS(E27-I27)*100)</x:f>
        <x:v>0</x:v>
      </x:c>
      <x:c r="K27" s="45" t="n">
        <x:f>IF(OR(D27="",F27=""),"",ABS(D27-F27))</x:f>
        <x:v>0</x:v>
      </x:c>
      <x:c r="L27" s="31" t="str">
        <x:f>IF(OR(C27="",D27="",E27=""),"无法判断",IF(G27="否","部分匹配",IF(F27="","部分匹配",IF(AND(J27&lt;=0.1,K27&lt;=0.01),"匹配","不匹配"))))</x:f>
        <x:v>匹配</x:v>
      </x:c>
      <x:c r="M27" s="31" t="str">
        <x:v>无</x:v>
      </x:c>
      <x:c r="N27" s="31" t="str">
        <x:f>IF(L27="匹配","否","是")</x:f>
        <x:v>否</x:v>
      </x:c>
    </x:row>
    <x:row r="28" ht="38" customHeight="1">
      <x:c r="A28" s="31" t="str">
        <x:v>PL039</x:v>
      </x:c>
      <x:c r="B28" s="29" t="str">
        <x:v>佛山市锦汇塑料制品有限公司新建项目</x:v>
      </x:c>
      <x:c r="C28" s="45" t="n">
        <x:v>100</x:v>
      </x:c>
      <x:c r="D28" s="45" t="n">
        <x:v>20</x:v>
      </x:c>
      <x:c r="E28" s="47" t="n">
        <x:v>0.2</x:v>
      </x:c>
      <x:c r="F28" s="45" t="n">
        <x:v>20</x:v>
      </x:c>
      <x:c r="G28" s="31" t="str">
        <x:v>否</x:v>
      </x:c>
      <x:c r="H28" s="29" t="str">
        <x:v>表2-10 项目环保投资一览表</x:v>
      </x:c>
      <x:c r="I28" s="47" t="n">
        <x:f>IF(OR(C28="",D28="",C28=0),"",D28/C28)</x:f>
        <x:v>0.2</x:v>
      </x:c>
      <x:c r="J28" s="45" t="n">
        <x:f>IF(OR(E28="",I28=""),"",ABS(E28-I28)*100)</x:f>
        <x:v>0</x:v>
      </x:c>
      <x:c r="K28" s="45" t="n">
        <x:f>IF(OR(D28="",F28=""),"",ABS(D28-F28))</x:f>
        <x:v>0</x:v>
      </x:c>
      <x:c r="L28" s="31" t="str">
        <x:f>IF(OR(C28="",D28="",E28=""),"无法判断",IF(G28="否","部分匹配",IF(F28="","部分匹配",IF(AND(J28&lt;=0.1,K28&lt;=0.01),"匹配","不匹配"))))</x:f>
        <x:v>部分匹配</x:v>
      </x:c>
      <x:c r="M28" s="31" t="str">
        <x:v>基本情况表金额已脱敏，数值来自工程分析章节</x:v>
      </x:c>
      <x:c r="N28" s="31" t="str">
        <x:f>IF(L28="匹配","否","是")</x:f>
        <x:v>是</x:v>
      </x:c>
    </x:row>
    <x:row r="29" ht="38" customHeight="1">
      <x:c r="A29" s="31" t="str">
        <x:v>PL040</x:v>
      </x:c>
      <x:c r="B29" s="29" t="str">
        <x:v>佛山市海川塑料制品有限公司新建项目</x:v>
      </x:c>
      <x:c r="C29" s="45" t="n">
        <x:v>100</x:v>
      </x:c>
      <x:c r="D29" s="45" t="n">
        <x:v>10</x:v>
      </x:c>
      <x:c r="E29" s="47" t="n">
        <x:v>0.1</x:v>
      </x:c>
      <x:c r="F29" s="45" t="n">
        <x:v>10</x:v>
      </x:c>
      <x:c r="G29" s="31" t="str">
        <x:v>否</x:v>
      </x:c>
      <x:c r="H29" s="29" t="str">
        <x:v>表12 建设项目环保投资一览表</x:v>
      </x:c>
      <x:c r="I29" s="47" t="n">
        <x:f>IF(OR(C29="",D29="",C29=0),"",D29/C29)</x:f>
        <x:v>0.1</x:v>
      </x:c>
      <x:c r="J29" s="45" t="n">
        <x:f>IF(OR(E29="",I29=""),"",ABS(E29-I29)*100)</x:f>
        <x:v>0</x:v>
      </x:c>
      <x:c r="K29" s="45" t="n">
        <x:f>IF(OR(D29="",F29=""),"",ABS(D29-F29))</x:f>
        <x:v>0</x:v>
      </x:c>
      <x:c r="L29" s="31" t="str">
        <x:f>IF(OR(C29="",D29="",E29=""),"无法判断",IF(G29="否","部分匹配",IF(F29="","部分匹配",IF(AND(J29&lt;=0.1,K29&lt;=0.01),"匹配","不匹配"))))</x:f>
        <x:v>部分匹配</x:v>
      </x:c>
      <x:c r="M29" s="31" t="str">
        <x:v>基本情况表金额已脱敏，数值来自工程分析章节</x:v>
      </x:c>
      <x:c r="N29" s="31" t="str">
        <x:f>IF(L29="匹配","否","是")</x:f>
        <x:v>是</x:v>
      </x:c>
    </x:row>
    <x:row r="30" ht="38" customHeight="1">
      <x:c r="A30" s="31" t="str">
        <x:v>PL041</x:v>
      </x:c>
      <x:c r="B30" s="29" t="str">
        <x:v>佛山市创灏五金塑料有限公司年产塑料制品1250万件迁改扩建项目</x:v>
      </x:c>
      <x:c r="C30" s="45" t="n">
        <x:v>200</x:v>
      </x:c>
      <x:c r="D30" s="45" t="n">
        <x:v>10</x:v>
      </x:c>
      <x:c r="E30" s="47" t="n">
        <x:v>0.05</x:v>
      </x:c>
      <x:c r="F30" s="45"/>
      <x:c r="G30" s="31" t="str">
        <x:v>是</x:v>
      </x:c>
      <x:c r="H30" s="29" t="str">
        <x:v>未检索到</x:v>
      </x:c>
      <x:c r="I30" s="47" t="n">
        <x:f>IF(OR(C30="",D30="",C30=0),"",D30/C30)</x:f>
        <x:v>0.05</x:v>
      </x:c>
      <x:c r="J30" s="45" t="n">
        <x:f>IF(OR(E30="",I30=""),"",ABS(E30-I30)*100)</x:f>
        <x:v>0</x:v>
      </x:c>
      <x:c r="K30" s="45" t="str">
        <x:f>IF(OR(D30="",F30=""),"",ABS(D30-F30))</x:f>
      </x:c>
      <x:c r="L30" s="31" t="str">
        <x:f>IF(OR(C30="",D30="",E30=""),"无法判断",IF(G30="否","部分匹配",IF(F30="","部分匹配",IF(AND(J30&lt;=0.1,K30&lt;=0.01),"匹配","不匹配"))))</x:f>
        <x:v>部分匹配</x:v>
      </x:c>
      <x:c r="M30" s="31" t="str">
        <x:v>未检索到环保工程投资明细表</x:v>
      </x:c>
      <x:c r="N30" s="31" t="str">
        <x:f>IF(L30="匹配","否","是")</x:f>
        <x:v>是</x:v>
      </x:c>
    </x:row>
    <x:row r="31" ht="38" customHeight="1">
      <x:c r="A31" s="31" t="str">
        <x:v>PL042</x:v>
      </x:c>
      <x:c r="B31" s="29" t="str">
        <x:v>佛山市顺德区晨瑞塑胶有限公司迁扩建项目</x:v>
      </x:c>
      <x:c r="C31" s="45" t="n">
        <x:v>200</x:v>
      </x:c>
      <x:c r="D31" s="45" t="n">
        <x:v>20</x:v>
      </x:c>
      <x:c r="E31" s="47" t="n">
        <x:v>0.1</x:v>
      </x:c>
      <x:c r="F31" s="45" t="n">
        <x:v>20</x:v>
      </x:c>
      <x:c r="G31" s="31" t="str">
        <x:v>是</x:v>
      </x:c>
      <x:c r="H31" s="29" t="str">
        <x:v>表2-11 环保投资一览表</x:v>
      </x:c>
      <x:c r="I31" s="47" t="n">
        <x:f>IF(OR(C31="",D31="",C31=0),"",D31/C31)</x:f>
        <x:v>0.1</x:v>
      </x:c>
      <x:c r="J31" s="45" t="n">
        <x:f>IF(OR(E31="",I31=""),"",ABS(E31-I31)*100)</x:f>
        <x:v>0</x:v>
      </x:c>
      <x:c r="K31" s="45" t="n">
        <x:f>IF(OR(D31="",F31=""),"",ABS(D31-F31))</x:f>
        <x:v>0</x:v>
      </x:c>
      <x:c r="L31" s="31" t="str">
        <x:f>IF(OR(C31="",D31="",E31=""),"无法判断",IF(G31="否","部分匹配",IF(F31="","部分匹配",IF(AND(J31&lt;=0.1,K31&lt;=0.01),"匹配","不匹配"))))</x:f>
        <x:v>匹配</x:v>
      </x:c>
      <x:c r="M31" s="31" t="str">
        <x:v>无</x:v>
      </x:c>
      <x:c r="N31" s="31" t="str">
        <x:f>IF(L31="匹配","否","是")</x:f>
        <x:v>否</x:v>
      </x:c>
    </x:row>
    <x:row r="32" ht="38" customHeight="1">
      <x:c r="A32" s="31" t="str">
        <x:v>PL043</x:v>
      </x:c>
      <x:c r="B32" s="29" t="str">
        <x:v>佛山市益旭电器有限公司新建项目</x:v>
      </x:c>
      <x:c r="C32" s="45" t="n">
        <x:v>200</x:v>
      </x:c>
      <x:c r="D32" s="45" t="n">
        <x:v>8</x:v>
      </x:c>
      <x:c r="E32" s="47" t="n">
        <x:v>0.04</x:v>
      </x:c>
      <x:c r="F32" s="45" t="n">
        <x:v>8</x:v>
      </x:c>
      <x:c r="G32" s="31" t="str">
        <x:v>否</x:v>
      </x:c>
      <x:c r="H32" s="29" t="str">
        <x:v>表2-9 项目环保措施及其投资计划一览表</x:v>
      </x:c>
      <x:c r="I32" s="47" t="n">
        <x:f>IF(OR(C32="",D32="",C32=0),"",D32/C32)</x:f>
        <x:v>0.04</x:v>
      </x:c>
      <x:c r="J32" s="45" t="n">
        <x:f>IF(OR(E32="",I32=""),"",ABS(E32-I32)*100)</x:f>
        <x:v>0</x:v>
      </x:c>
      <x:c r="K32" s="45" t="n">
        <x:f>IF(OR(D32="",F32=""),"",ABS(D32-F32))</x:f>
        <x:v>0</x:v>
      </x:c>
      <x:c r="L32" s="31" t="str">
        <x:f>IF(OR(C32="",D32="",E32=""),"无法判断",IF(G32="否","部分匹配",IF(F32="","部分匹配",IF(AND(J32&lt;=0.1,K32&lt;=0.01),"匹配","不匹配"))))</x:f>
        <x:v>部分匹配</x:v>
      </x:c>
      <x:c r="M32" s="31" t="str">
        <x:v>基本情况表金额已脱敏，数值来自工程分析章节</x:v>
      </x:c>
      <x:c r="N32" s="31" t="str">
        <x:f>IF(L32="匹配","否","是")</x:f>
        <x:v>是</x:v>
      </x:c>
    </x:row>
    <x:row r="33" ht="38" customHeight="1">
      <x:c r="A33" s="31" t="str">
        <x:v>PL044</x:v>
      </x:c>
      <x:c r="B33" s="29" t="str">
        <x:v>佛山市昇汇包装材料有限公司新建项目</x:v>
      </x:c>
      <x:c r="C33" s="45" t="n">
        <x:v>100</x:v>
      </x:c>
      <x:c r="D33" s="45" t="n">
        <x:v>10</x:v>
      </x:c>
      <x:c r="E33" s="47" t="n">
        <x:v>0.1</x:v>
      </x:c>
      <x:c r="F33" s="45"/>
      <x:c r="G33" s="31" t="str">
        <x:v>是</x:v>
      </x:c>
      <x:c r="H33" s="29" t="str">
        <x:v>未检索到</x:v>
      </x:c>
      <x:c r="I33" s="47" t="n">
        <x:f>IF(OR(C33="",D33="",C33=0),"",D33/C33)</x:f>
        <x:v>0.1</x:v>
      </x:c>
      <x:c r="J33" s="45" t="n">
        <x:f>IF(OR(E33="",I33=""),"",ABS(E33-I33)*100)</x:f>
        <x:v>0</x:v>
      </x:c>
      <x:c r="K33" s="45" t="str">
        <x:f>IF(OR(D33="",F33=""),"",ABS(D33-F33))</x:f>
      </x:c>
      <x:c r="L33" s="31" t="str">
        <x:f>IF(OR(C33="",D33="",E33=""),"无法判断",IF(G33="否","部分匹配",IF(F33="","部分匹配",IF(AND(J33&lt;=0.1,K33&lt;=0.01),"匹配","不匹配"))))</x:f>
        <x:v>部分匹配</x:v>
      </x:c>
      <x:c r="M33" s="31" t="str">
        <x:v>未检索到环保工程投资明细表</x:v>
      </x:c>
      <x:c r="N33" s="31" t="str">
        <x:f>IF(L33="匹配","否","是")</x:f>
        <x:v>是</x:v>
      </x:c>
    </x:row>
  </x:sheetData>
  <x:mergeCells>
    <x:mergeCell ref="A1:N1"/>
  </x:mergeCells>
  <x:conditionalFormatting sqref="L4:L33">
    <x:cfRule type="expression" dxfId="2" priority="1">
      <x:formula>$L4="匹配"</x:formula>
    </x:cfRule>
    <x:cfRule type="expression" dxfId="3" priority="2">
      <x:formula>$L4="部分匹配"</x:formula>
    </x:cfRule>
    <x:cfRule type="expression" dxfId="4" priority="3">
      <x:formula>$L4="无法判断"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32c4a4c73346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</x:cols>
  <x:sheetData>
    <x:row r="1" ht="26" customHeight="1">
      <x:c r="A1" s="53" t="str">
        <x:v>字段</x:v>
      </x:c>
      <x:c r="B1" s="53" t="str">
        <x:v>说明</x:v>
      </x:c>
    </x:row>
    <x:row r="2" ht="38" customHeight="1">
      <x:c r="A2" s="56" t="str">
        <x:v>处理范围</x:v>
      </x:c>
      <x:c r="B2" s="54" t="str">
        <x:v>仅处理原工作簿中问题ID单元格标黄的30个PL项目。</x:v>
      </x:c>
    </x:row>
    <x:row r="3" ht="38" customHeight="1">
      <x:c r="A3" s="56" t="str">
        <x:v>固定问题</x:v>
      </x:c>
      <x:c r="B3" s="54" t="str">
        <x:v>请根据报告中的总投资、环保投资和环保工程投资明细，判断环保投资核算是否前后一致、比例是否正确。</x:v>
      </x:c>
    </x:row>
    <x:row r="4" ht="38" customHeight="1">
      <x:c r="A4" s="56" t="str">
        <x:v>计算规则</x:v>
      </x:c>
      <x:c r="B4" s="54" t="str">
        <x:v>环保投资占比=环保投资÷总投资×100%。</x:v>
      </x:c>
    </x:row>
    <x:row r="5" ht="38" customHeight="1">
      <x:c r="A5" s="56" t="str">
        <x:v>允许误差</x:v>
      </x:c>
      <x:c r="B5" s="54" t="str">
        <x:v>占比绝对误差≤0.1个百分点；分项合计与环保投资差额≤0.01万元。</x:v>
      </x:c>
    </x:row>
    <x:row r="6" ht="38" customHeight="1">
      <x:c r="A6" s="56" t="str">
        <x:v>匹配</x:v>
      </x:c>
      <x:c r="B6" s="54" t="str">
        <x:v>总投资、环保投资、占比和分项合计均可核，且复算一致。</x:v>
      </x:c>
    </x:row>
    <x:row r="7" ht="38" customHeight="1">
      <x:c r="A7" s="56" t="str">
        <x:v>部分匹配</x:v>
      </x:c>
      <x:c r="B7" s="54" t="str">
        <x:v>占比核算自洽，但投资明细缺失；或公开版基本情况表金额脱敏，无法完成跨表核对。</x:v>
      </x:c>
    </x:row>
    <x:row r="8" ht="38" customHeight="1">
      <x:c r="A8" s="56" t="str">
        <x:v>无法判断</x:v>
      </x:c>
      <x:c r="B8" s="54" t="str">
        <x:v>缺少总投资、环保投资或占比中的关键字段，不依据占比倒推缺失金额。</x:v>
      </x:c>
    </x:row>
  </x:sheetData>
  <x:pageMargins left="0.7" right="0.7" top="0.75" bottom="0.75" header="0.3" footer="0.3"/>
</x:worksheet>
</file>