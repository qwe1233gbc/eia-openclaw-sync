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ee281449c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efe8ef6621143b7"/>
    <x:sheet xmlns:r="http://schemas.openxmlformats.org/officeDocument/2006/relationships" name="Source Registry" sheetId="2" r:id="R4d33e98d748843fa"/>
    <x:sheet xmlns:r="http://schemas.openxmlformats.org/officeDocument/2006/relationships" name="Version Risks" sheetId="3" r:id="Rbf42a68106d44e3e"/>
    <x:sheet xmlns:r="http://schemas.openxmlformats.org/officeDocument/2006/relationships" name="Status Summary" sheetId="4" r:id="R607b4ca98ab540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e5bd65a33c4492" /><Relationship Type="http://schemas.openxmlformats.org/officeDocument/2006/relationships/theme" Target="/xl/theme/theme1.xml" Id="Rab5b52ef768b4b7e" /><Relationship Type="http://schemas.microsoft.com/office/2022/11/relationships/FeaturePropertyBag" Target="/xl/featurePropertyBag/featurePropertyBag.xml" Id="Rf1c6557306a349cb" /><Relationship Type="http://schemas.openxmlformats.org/officeDocument/2006/relationships/sharedStrings" Target="/xl/sharedStrings.xml" Id="R4ba7c312a4ec4a9a" /><Relationship Type="http://schemas.openxmlformats.org/officeDocument/2006/relationships/worksheet" Target="/xl/worksheets/sheet1.xml" Id="Rcefe8ef6621143b7" /><Relationship Type="http://schemas.openxmlformats.org/officeDocument/2006/relationships/worksheet" Target="/xl/worksheets/sheet2.xml" Id="R4d33e98d748843fa" /><Relationship Type="http://schemas.openxmlformats.org/officeDocument/2006/relationships/worksheet" Target="/xl/worksheets/sheet3.xml" Id="Rbf42a68106d44e3e" /><Relationship Type="http://schemas.openxmlformats.org/officeDocument/2006/relationships/worksheet" Target="/xl/worksheets/sheet4.xml" Id="R607b4ca98ab540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5" hidden="0" customWidth="1"/>
  </x:cols>
  <x:sheetData>
    <x:row r="1">
      <x:c r="A1" s="4" t="str">
        <x:v>正式来源版本与适用性报告</x:v>
      </x:c>
      <x:c r="B1" s="4" t="str">
        <x:v>正式来源版本与适用性报告</x:v>
      </x:c>
      <x:c r="C1" s="4" t="str">
        <x:v>正式来源版本与适用性报告</x:v>
      </x:c>
      <x:c r="D1" s="4" t="str">
        <x:v>正式来源版本与适用性报告</x:v>
      </x:c>
      <x:c r="E1" s="4" t="str">
        <x:v>正式来源版本与适用性报告</x:v>
      </x:c>
      <x:c r="F1" s="4" t="str">
        <x:v>正式来源版本与适用性报告</x:v>
      </x:c>
      <x:c r="G1" s="4" t="str">
        <x:v>正式来源版本与适用性报告</x:v>
      </x:c>
      <x:c r="H1" s="4" t="str">
        <x:v>正式来源版本与适用性报告</x:v>
      </x:c>
    </x:row>
    <x:row r="2">
      <x:c r="A2" s="4" t="str">
        <x:v>正式来源版本与适用性报告</x:v>
      </x:c>
      <x:c r="B2" s="4" t="str">
        <x:v>正式来源版本与适用性报告</x:v>
      </x:c>
      <x:c r="C2" s="4" t="str">
        <x:v>正式来源版本与适用性报告</x:v>
      </x:c>
      <x:c r="D2" s="4" t="str">
        <x:v>正式来源版本与适用性报告</x:v>
      </x:c>
      <x:c r="E2" s="4" t="str">
        <x:v>正式来源版本与适用性报告</x:v>
      </x:c>
      <x:c r="F2" s="4" t="str">
        <x:v>正式来源版本与适用性报告</x:v>
      </x:c>
      <x:c r="G2" s="4" t="str">
        <x:v>正式来源版本与适用性报告</x:v>
      </x:c>
      <x:c r="H2" s="4" t="str">
        <x:v>正式来源版本与适用性报告</x:v>
      </x:c>
    </x:row>
    <x:row r="4">
      <x:c r="A4" s="9" t="str">
        <x:v>生成日期</x:v>
      </x:c>
      <x:c r="B4" s="10" t="str">
        <x:v>2026-08-04</x:v>
      </x:c>
    </x:row>
    <x:row r="5">
      <x:c r="A5" s="9" t="str">
        <x:v>用途</x:v>
      </x:c>
      <x:c r="B5" s="10" t="str">
        <x:v>登记来源、版本、地区、历史适用和2026现行参考</x:v>
      </x:c>
    </x:row>
    <x:row r="6">
      <x:c r="A6" s="9" t="str">
        <x:v>数据范围</x:v>
      </x:c>
      <x:c r="B6" s="10" t="str">
        <x:v>21道黄色测试问答</x:v>
      </x:c>
    </x:row>
    <x:row r="7">
      <x:c r="A7" s="9" t="str">
        <x:v>生成原则</x:v>
      </x:c>
      <x:c r="B7" s="10" t="str">
        <x:v>正式来源优先；历史适用与现行参考分列；冻结前不读取金标</x:v>
      </x:c>
    </x:row>
    <x:row r="8">
      <x:c r="A8" s="9" t="str">
        <x:v>关键限制</x:v>
      </x:c>
      <x:c r="B8" s="10" t="str">
        <x:v>新版本不得机械倒用于旧报告；缺全文来源保持manual_source_upload_required</x:v>
      </x:c>
    </x:row>
    <x:row r="9">
      <x:c r="A9" s="9" t="str">
        <x:v>状态色</x:v>
      </x:c>
      <x:c r="B9" s="10" t="str">
        <x:v>绿色=完整；黄色=完整但需警告；红色=缺失/不完整；灰色=不需要外部RAG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4" hidden="0" customWidth="1"/>
    <x:col min="15" max="15" width="16" hidden="0" customWidth="1"/>
    <x:col min="16" max="16" width="48" hidden="0" customWidth="1"/>
  </x:cols>
  <x:sheetData>
    <x:row r="1" ht="42" customHeight="1">
      <x:c r="A1" s="17" t="str">
        <x:v>source_id</x:v>
      </x:c>
      <x:c r="B1" s="17" t="str">
        <x:v>title</x:v>
      </x:c>
      <x:c r="C1" s="17" t="str">
        <x:v>document_number</x:v>
      </x:c>
      <x:c r="D1" s="17" t="str">
        <x:v>validity_status</x:v>
      </x:c>
      <x:c r="E1" s="17" t="str">
        <x:v>issue_date</x:v>
      </x:c>
      <x:c r="F1" s="17" t="str">
        <x:v>effective_date</x:v>
      </x:c>
      <x:c r="G1" s="17" t="str">
        <x:v>historical_applicability</x:v>
      </x:c>
      <x:c r="H1" s="17" t="str">
        <x:v>current_reference</x:v>
      </x:c>
      <x:c r="I1" s="17" t="str">
        <x:v>applicable_region</x:v>
      </x:c>
      <x:c r="J1" s="17" t="str">
        <x:v>industry_scope</x:v>
      </x:c>
      <x:c r="K1" s="17" t="str">
        <x:v>pollution_medium</x:v>
      </x:c>
      <x:c r="L1" s="17" t="str">
        <x:v>full_text_available</x:v>
      </x:c>
      <x:c r="M1" s="17" t="str">
        <x:v>manual_source_upload_required</x:v>
      </x:c>
      <x:c r="N1" s="17" t="str">
        <x:v>official_url</x:v>
      </x:c>
      <x:c r="O1" s="17" t="str">
        <x:v>local_path</x:v>
      </x:c>
      <x:c r="P1" s="17" t="str">
        <x:v>notes</x:v>
      </x:c>
    </x:row>
    <x:row r="2">
      <x:c r="A2" s="26" t="str">
        <x:v>IND_GBT4754_2017</x:v>
      </x:c>
      <x:c r="B2" s="26" t="str">
        <x:v>国民经济行业分类结构化全文</x:v>
      </x:c>
      <x:c r="C2" s="26" t="str">
        <x:v>GB/T 4754-2017及2019修改内容</x:v>
      </x:c>
      <x:c r="D2" s="29" t="str">
        <x:v>现行</x:v>
      </x:c>
      <x:c r="E2" s="26" t="str"/>
      <x:c r="F2" s="26" t="str"/>
      <x:c r="G2" s="26" t="str"/>
      <x:c r="H2" s="26" t="str"/>
      <x:c r="I2" s="26" t="str">
        <x:v>全国</x:v>
      </x:c>
      <x:c r="J2" s="26" t="str">
        <x:v>全部行业</x:v>
      </x:c>
      <x:c r="K2" s="26" t="str">
        <x:v>行业分类</x:v>
      </x:c>
      <x:c r="L2" s="27" t="b">
        <x:v>1</x:v>
      </x:c>
      <x:c r="M2" s="27" t="b">
        <x:v>0</x:v>
      </x:c>
      <x:c r="N2" s="26" t="str">
        <x:v>https://www.stats.gov.cn/xxgk/tjbz/gjtjbz/201710/t20171017_1758922.html</x:v>
      </x:c>
      <x:c r="O2" s="26" t="str">
        <x:v>D:\华南理工项目\智慧环评\skill\ABCD实验工作区\04_RAG资料补齐与验证\02_downloaded_or_confirmed_sources\06_industry_classification\national_economic_classification.jsonl</x:v>
      </x:c>
      <x:c r="P2" s="26" t="str">
        <x:v>正式RAG仅保留行业代码、名称和定义；不含审核程序。</x:v>
      </x:c>
    </x:row>
    <x:row r="3">
      <x:c r="A3" s="24" t="str">
        <x:v>ENV_SHUNDE_2022</x:v>
      </x:c>
      <x:c r="B3" s="24" t="str">
        <x:v>2022年度佛山市顺德区生态环境状况公报</x:v>
      </x:c>
      <x:c r="C3" s="24" t="str">
        <x:v>佛环顺函〔2023〕26号</x:v>
      </x:c>
      <x:c r="D3" s="29" t="str">
        <x:v>历史核验资料（已确认）</x:v>
      </x:c>
      <x:c r="E3" s="24" t="str"/>
      <x:c r="F3" s="24" t="str"/>
      <x:c r="G3" s="24" t="str">
        <x:v>用于核验2023年前后报告对2022年度数据的引用</x:v>
      </x:c>
      <x:c r="H3" s="24" t="str">
        <x:v>不得由2023/2024公报替代</x:v>
      </x:c>
      <x:c r="I3" s="24" t="str">
        <x:v>佛山市顺德区</x:v>
      </x:c>
      <x:c r="J3" s="24" t="str"/>
      <x:c r="K3" s="24" t="str">
        <x:v>大气、地表水</x:v>
      </x:c>
      <x:c r="L3" s="25" t="b">
        <x:v>1</x:v>
      </x:c>
      <x:c r="M3" s="25" t="b">
        <x:v>0</x:v>
      </x:c>
      <x:c r="N3" s="24" t="str"/>
      <x:c r="O3" s="24" t="str">
        <x:v>D:\华南理工项目\智慧环评\skill\ABCD实验工作区\04_RAG资料补齐与验证\02_downloaded_or_confirmed_sources\01_environment_bulletins\2022年度佛山市顺德区生态环境状况公报_佛环顺函2023_26号.pdf</x:v>
      </x:c>
      <x:c r="P3" s="24" t="str">
        <x:v>首页载明佛环顺函〔2023〕26号，2023-03-29发布；官方网页URL尚未补登记，因此保留来源追溯警告。</x:v>
      </x:c>
    </x:row>
    <x:row r="4">
      <x:c r="A4" s="26" t="str">
        <x:v>ENV_SHUNDE_2024</x:v>
      </x:c>
      <x:c r="B4" s="26" t="str">
        <x:v>2024年度佛山市顺德区生态环境质量状况公报</x:v>
      </x:c>
      <x:c r="C4" s="26" t="str"/>
      <x:c r="D4" s="29" t="str">
        <x:v>现行</x:v>
      </x:c>
      <x:c r="E4" s="26" t="str"/>
      <x:c r="F4" s="26" t="str"/>
      <x:c r="G4" s="26" t="str">
        <x:v>不能替代2022公报核验</x:v>
      </x:c>
      <x:c r="H4" s="26" t="str">
        <x:v>较新参考资料</x:v>
      </x:c>
      <x:c r="I4" s="26" t="str">
        <x:v>佛山市顺德区</x:v>
      </x:c>
      <x:c r="J4" s="26" t="str"/>
      <x:c r="K4" s="26" t="str">
        <x:v>大气、地表水</x:v>
      </x:c>
      <x:c r="L4" s="27" t="b">
        <x:v>1</x:v>
      </x:c>
      <x:c r="M4" s="27" t="b">
        <x:v>0</x:v>
      </x:c>
      <x:c r="N4" s="26" t="str"/>
      <x:c r="O4" s="26" t="str">
        <x:v>D:\华南理工项目\智慧环评\skill\ABCD实验工作区\04_RAG资料补齐与验证\02_downloaded_or_confirmed_sources\01_environment_bulletins\#6_2024年佛山市顺德区生态环境状态公报.txt</x:v>
      </x:c>
      <x:c r="P4" s="26" t="str">
        <x:v>仅作更新参考，不用于证明2022公报中的历史数值。</x:v>
      </x:c>
    </x:row>
    <x:row r="5">
      <x:c r="A5" s="24" t="str">
        <x:v>WATER_DB44_26_2001</x:v>
      </x:c>
      <x:c r="B5" s="24" t="str">
        <x:v>水污染物排放限值</x:v>
      </x:c>
      <x:c r="C5" s="24" t="str">
        <x:v>DB44/26-2001</x:v>
      </x:c>
      <x:c r="D5" s="29" t="str">
        <x:v>现行</x:v>
      </x:c>
      <x:c r="E5" s="24" t="str"/>
      <x:c r="F5" s="24" t="str"/>
      <x:c r="G5" s="24" t="str">
        <x:v>报告编制时有效版本</x:v>
      </x:c>
      <x:c r="H5" s="24" t="str">
        <x:v>2026-08-04仍需结合地方最新公告复核</x:v>
      </x:c>
      <x:c r="I5" s="24" t="str">
        <x:v>广东省</x:v>
      </x:c>
      <x:c r="J5" s="24" t="str"/>
      <x:c r="K5" s="24" t="str">
        <x:v>废水</x:v>
      </x:c>
      <x:c r="L5" s="25" t="b">
        <x:v>1</x:v>
      </x:c>
      <x:c r="M5" s="25" t="b">
        <x:v>0</x:v>
      </x:c>
      <x:c r="N5" s="24" t="str">
        <x:v>https://gdee.gd.gov.cn/hbb/bwj/content/post_2338655.html</x:v>
      </x:c>
      <x:c r="O5" s="24" t="str">
        <x:v>D:\华南理工项目\智慧环评\skill\ABCD实验工作区\04_RAG资料补齐与验证\02_downloaded_or_confirmed_sources\02_water_standards\DB44_26-2001.md</x:v>
      </x:c>
      <x:c r="P5" s="24" t="str"/>
    </x:row>
    <x:row r="6">
      <x:c r="A6" s="26" t="str">
        <x:v>WATER_GB18918_2002</x:v>
      </x:c>
      <x:c r="B6" s="26" t="str">
        <x:v>城镇污水处理厂污染物排放标准</x:v>
      </x:c>
      <x:c r="C6" s="26" t="str">
        <x:v>GB 18918-2002</x:v>
      </x:c>
      <x:c r="D6" s="29" t="str">
        <x:v>现行</x:v>
      </x:c>
      <x:c r="E6" s="26" t="str"/>
      <x:c r="F6" s="26" t="str"/>
      <x:c r="G6" s="26" t="str">
        <x:v>历史报告应采用报告编制时有效正文及当时修改单</x:v>
      </x:c>
      <x:c r="H6" s="26" t="str">
        <x:v>2026-03-01起还需叠加2025修改单</x:v>
      </x:c>
      <x:c r="I6" s="26" t="str">
        <x:v>全国</x:v>
      </x:c>
      <x:c r="J6" s="26" t="str"/>
      <x:c r="K6" s="26" t="str">
        <x:v>污水处理厂尾水</x:v>
      </x:c>
      <x:c r="L6" s="27" t="b">
        <x:v>1</x:v>
      </x:c>
      <x:c r="M6" s="27" t="b">
        <x:v>0</x:v>
      </x:c>
      <x:c r="N6" s="26" t="str">
        <x:v>https://www.mee.gov.cn/ywgz/fgbz/bz/bzwb/shjbh/swrwpfbz/200307/t20030701_66529.htm</x:v>
      </x:c>
      <x:c r="O6" s="26" t="str">
        <x:v>D:\华南理工项目\智慧环评\skill\ABCD实验工作区\04_RAG资料补齐与验证\02_downloaded_or_confirmed_sources\02_water_standards\GB18918-2002_官方原文.pdf</x:v>
      </x:c>
      <x:c r="P6" s="26" t="str"/>
    </x:row>
    <x:row r="7">
      <x:c r="A7" s="24" t="str">
        <x:v>WATER_GB18918_MOD2025</x:v>
      </x:c>
      <x:c r="B7" s="24" t="str">
        <x:v>城镇污水处理厂污染物排放标准修改单</x:v>
      </x:c>
      <x:c r="C7" s="24" t="str">
        <x:v>GB 18918-2002修改单（2025）</x:v>
      </x:c>
      <x:c r="D7" s="29" t="str">
        <x:v>现行</x:v>
      </x:c>
      <x:c r="E7" s="24" t="str">
        <x:v>2025-11-06</x:v>
      </x:c>
      <x:c r="F7" s="24" t="str">
        <x:v>2026-03-01</x:v>
      </x:c>
      <x:c r="G7" s="24" t="str">
        <x:v>不倒用于修改单实施前报告</x:v>
      </x:c>
      <x:c r="H7" s="24" t="str">
        <x:v>2026-08-04现行修改内容</x:v>
      </x:c>
      <x:c r="I7" s="24" t="str">
        <x:v>全国</x:v>
      </x:c>
      <x:c r="J7" s="24" t="str"/>
      <x:c r="K7" s="24" t="str">
        <x:v>污水处理厂尾水</x:v>
      </x:c>
      <x:c r="L7" s="25" t="b">
        <x:v>1</x:v>
      </x:c>
      <x:c r="M7" s="25" t="b">
        <x:v>0</x:v>
      </x:c>
      <x:c r="N7" s="24" t="str">
        <x:v>https://www.mee.gov.cn/xxgk2018/xxgk/xxgk01/202512/t20251209_1137361.html</x:v>
      </x:c>
      <x:c r="O7" s="24" t="str">
        <x:v>D:\华南理工项目\智慧环评\skill\ABCD实验工作区\04_RAG资料补齐与验证\02_downloaded_or_confirmed_sources\02_water_standards\GB18918-2002_2025修改单_官方.pdf</x:v>
      </x:c>
      <x:c r="P7" s="24" t="str"/>
    </x:row>
    <x:row r="8">
      <x:c r="A8" s="26" t="str">
        <x:v>WATER_GBT18920_2020_METADATA</x:v>
      </x:c>
      <x:c r="B8" s="26" t="str">
        <x:v>城市污水再生利用 城市杂用水水质</x:v>
      </x:c>
      <x:c r="C8" s="26" t="str">
        <x:v>GB/T 18920-2020</x:v>
      </x:c>
      <x:c r="D8" s="29" t="str">
        <x:v>现行</x:v>
      </x:c>
      <x:c r="E8" s="26" t="str">
        <x:v>2020-03-31</x:v>
      </x:c>
      <x:c r="F8" s="26" t="str">
        <x:v>2021-02-01</x:v>
      </x:c>
      <x:c r="G8" s="26" t="str"/>
      <x:c r="H8" s="26" t="str"/>
      <x:c r="I8" s="26" t="str">
        <x:v>全国</x:v>
      </x:c>
      <x:c r="J8" s="26" t="str"/>
      <x:c r="K8" s="26" t="str">
        <x:v>再生水</x:v>
      </x:c>
      <x:c r="L8" s="27" t="b">
        <x:v>0</x:v>
      </x:c>
      <x:c r="M8" s="27" t="b">
        <x:v>1</x:v>
      </x:c>
      <x:c r="N8" s="26" t="str">
        <x:v>https://openstd.samr.gov.cn/bzgk/std/newGbInfo?hcno=9825347B5A474612C6C3FE86323428C0</x:v>
      </x:c>
      <x:c r="O8" s="26" t="str">
        <x:v>D:\华南理工项目\智慧环评\skill\ABCD实验工作区\04_RAG资料补齐与验证\02_downloaded_or_confirmed_sources\02_water_standards\GBT18920-2020_官方元数据页.html</x:v>
      </x:c>
      <x:c r="P8" s="26" t="str">
        <x:v>官方平台仅提供在线预览；未发现可合法下载的官方全文，本地也无已确认全文。</x:v>
      </x:c>
    </x:row>
    <x:row r="9">
      <x:c r="A9" s="24" t="str">
        <x:v>NOISE_GB12348_2008</x:v>
      </x:c>
      <x:c r="B9" s="24" t="str">
        <x:v>工业企业厂界环境噪声排放标准</x:v>
      </x:c>
      <x:c r="C9" s="24" t="str">
        <x:v>GB 12348-2008</x:v>
      </x:c>
      <x:c r="D9" s="29" t="str">
        <x:v>现行</x:v>
      </x:c>
      <x:c r="E9" s="24" t="str"/>
      <x:c r="F9" s="24" t="str">
        <x:v>2008-10-01</x:v>
      </x:c>
      <x:c r="G9" s="24" t="str"/>
      <x:c r="H9" s="24" t="str"/>
      <x:c r="I9" s="24" t="str">
        <x:v>全国</x:v>
      </x:c>
      <x:c r="J9" s="24" t="str"/>
      <x:c r="K9" s="24" t="str">
        <x:v>噪声</x:v>
      </x:c>
      <x:c r="L9" s="25" t="b">
        <x:v>1</x:v>
      </x:c>
      <x:c r="M9" s="25" t="b">
        <x:v>0</x:v>
      </x:c>
      <x:c r="N9" s="24" t="str">
        <x:v>https://www.mee.gov.cn/ywgz/fgbz/bz/bzwb/wlhj/hjzspfbz/200809/t20080918_128936.htm</x:v>
      </x:c>
      <x:c r="O9" s="24" t="str">
        <x:v>D:\华南理工项目\智慧环评\skill\ABCD实验工作区\04_RAG资料补齐与验证\02_downloaded_or_confirmed_sources\03_noise_zoning\GB12348-2008_官方原文.pdf</x:v>
      </x:c>
      <x:c r="P9" s="24" t="str"/>
    </x:row>
    <x:row r="10">
      <x:c r="A10" s="26" t="str">
        <x:v>NOISE_FOSHAN_ZONING_2024</x:v>
      </x:c>
      <x:c r="B10" s="26" t="str">
        <x:v>佛山市声环境功能区划</x:v>
      </x:c>
      <x:c r="C10" s="26" t="str">
        <x:v>佛环〔2024〕1号</x:v>
      </x:c>
      <x:c r="D10" s="29" t="str">
        <x:v>现行</x:v>
      </x:c>
      <x:c r="E10" s="26" t="str">
        <x:v>2024-01-15</x:v>
      </x:c>
      <x:c r="F10" s="26" t="str"/>
      <x:c r="G10" s="26" t="str"/>
      <x:c r="H10" s="26" t="str"/>
      <x:c r="I10" s="26" t="str">
        <x:v>佛山市（含顺德区）</x:v>
      </x:c>
      <x:c r="J10" s="26" t="str"/>
      <x:c r="K10" s="26" t="str">
        <x:v>声环境区划</x:v>
      </x:c>
      <x:c r="L10" s="27" t="b">
        <x:v>1</x:v>
      </x:c>
      <x:c r="M10" s="27" t="b">
        <x:v>0</x:v>
      </x:c>
      <x:c r="N10" s="26" t="str">
        <x:v>https://sthj.foshan.gov.cn/sthjgh/fsssthjbhgh/fzgh/content/post_5882542.html</x:v>
      </x:c>
      <x:c r="O10" s="26" t="str">
        <x:v>D:\华南理工项目\智慧环评\skill\ABCD实验工作区\04_RAG资料补齐与验证\02_downloaded_or_confirmed_sources\03_noise_zoning\佛山市声环境功能区划_官方附件.pdf</x:v>
      </x:c>
      <x:c r="P10" s="26" t="str">
        <x:v>同时保存全市图和顺德区官方JPG。位置到片区的边界判读仍建议人工查看原图。</x:v>
      </x:c>
    </x:row>
    <x:row r="11">
      <x:c r="A11" s="24" t="str">
        <x:v>SOLID_WASTE_LAW_2020</x:v>
      </x:c>
      <x:c r="B11" s="24" t="str">
        <x:v>中华人民共和国固体废物污染环境防治法</x:v>
      </x:c>
      <x:c r="C11" s="24" t="str"/>
      <x:c r="D11" s="29" t="str">
        <x:v>现行</x:v>
      </x:c>
      <x:c r="E11" s="24" t="str"/>
      <x:c r="F11" s="24" t="str">
        <x:v>2020-09-01</x:v>
      </x:c>
      <x:c r="G11" s="24" t="str"/>
      <x:c r="H11" s="24" t="str"/>
      <x:c r="I11" s="24" t="str">
        <x:v>全国</x:v>
      </x:c>
      <x:c r="J11" s="24" t="str"/>
      <x:c r="K11" s="24" t="str">
        <x:v>固体废物</x:v>
      </x:c>
      <x:c r="L11" s="25" t="b">
        <x:v>1</x:v>
      </x:c>
      <x:c r="M11" s="25" t="b">
        <x:v>0</x:v>
      </x:c>
      <x:c r="N11" s="24" t="str">
        <x:v>https://www.miit.gov.cn/jgsj/zfs/fl/art/2022/art_f2d9c145e29e4c93a442c8663c2c32ff.html</x:v>
      </x:c>
      <x:c r="O11" s="24" t="str">
        <x:v>D:\华南理工项目\智慧环评\skill\ABCD实验工作区\04_RAG资料补齐与验证\02_downloaded_or_confirmed_sources\04_solid_waste\中华人民共和国固体废物污染环境防治法_官方页.html</x:v>
      </x:c>
      <x:c r="P11" s="24" t="str"/>
    </x:row>
    <x:row r="12">
      <x:c r="A12" s="26" t="str">
        <x:v>SOLID_GD_REG_2022</x:v>
      </x:c>
      <x:c r="B12" s="26" t="str">
        <x:v>广东省固体废物污染环境防治条例</x:v>
      </x:c>
      <x:c r="C12" s="26" t="str"/>
      <x:c r="D12" s="29" t="str">
        <x:v>现行</x:v>
      </x:c>
      <x:c r="E12" s="26" t="str">
        <x:v>2022-11-30</x:v>
      </x:c>
      <x:c r="F12" s="26" t="str"/>
      <x:c r="G12" s="26" t="str"/>
      <x:c r="H12" s="26" t="str"/>
      <x:c r="I12" s="26" t="str">
        <x:v>广东省</x:v>
      </x:c>
      <x:c r="J12" s="26" t="str"/>
      <x:c r="K12" s="26" t="str">
        <x:v>固体废物</x:v>
      </x:c>
      <x:c r="L12" s="27" t="b">
        <x:v>1</x:v>
      </x:c>
      <x:c r="M12" s="27" t="b">
        <x:v>0</x:v>
      </x:c>
      <x:c r="N12" s="26" t="str">
        <x:v>https://www.hengqin.gov.cn/lab/flfg/sfg/content/post_3508610.html</x:v>
      </x:c>
      <x:c r="O12" s="26" t="str">
        <x:v>D:\华南理工项目\智慧环评\skill\ABCD实验工作区\04_RAG资料补齐与验证\02_downloaded_or_confirmed_sources\04_solid_waste\广东省固体废物污染环境防治条例_官方政府页.html</x:v>
      </x:c>
      <x:c r="P12" s="26" t="str"/>
    </x:row>
    <x:row r="13">
      <x:c r="A13" s="24" t="str">
        <x:v>SOLID_GB18597_2023</x:v>
      </x:c>
      <x:c r="B13" s="24" t="str">
        <x:v>危险废物贮存污染控制标准</x:v>
      </x:c>
      <x:c r="C13" s="24" t="str">
        <x:v>GB 18597-2023</x:v>
      </x:c>
      <x:c r="D13" s="29" t="str">
        <x:v>现行</x:v>
      </x:c>
      <x:c r="E13" s="24" t="str"/>
      <x:c r="F13" s="24" t="str">
        <x:v>2023-07-01</x:v>
      </x:c>
      <x:c r="G13" s="24" t="str">
        <x:v>2023-07-01前报告需核对旧版</x:v>
      </x:c>
      <x:c r="H13" s="24" t="str">
        <x:v>2026-08-04现行</x:v>
      </x:c>
      <x:c r="I13" s="24" t="str">
        <x:v>全国</x:v>
      </x:c>
      <x:c r="J13" s="24" t="str"/>
      <x:c r="K13" s="24" t="str">
        <x:v>危险废物</x:v>
      </x:c>
      <x:c r="L13" s="25" t="b">
        <x:v>1</x:v>
      </x:c>
      <x:c r="M13" s="25" t="b">
        <x:v>0</x:v>
      </x:c>
      <x:c r="N13" s="24" t="str">
        <x:v>https://www.mee.gov.cn/ywgz/fgbz/bz/bzwb/gthw/gtfwwrkzbz/202302/t20230224_1017500.shtml</x:v>
      </x:c>
      <x:c r="O13" s="24" t="str">
        <x:v>D:\华南理工项目\智慧环评\skill\ABCD实验工作区\04_RAG资料补齐与验证\02_downloaded_or_confirmed_sources\04_solid_waste\GB18597-2023_官方原文.pdf</x:v>
      </x:c>
      <x:c r="P13" s="24" t="str"/>
    </x:row>
    <x:row r="14">
      <x:c r="A14" s="26" t="str">
        <x:v>SOLID_GB18599_2020</x:v>
      </x:c>
      <x:c r="B14" s="26" t="str">
        <x:v>一般工业固体废物贮存和填埋污染控制标准</x:v>
      </x:c>
      <x:c r="C14" s="26" t="str">
        <x:v>GB 18599-2020</x:v>
      </x:c>
      <x:c r="D14" s="29" t="str">
        <x:v>现行</x:v>
      </x:c>
      <x:c r="E14" s="26" t="str"/>
      <x:c r="F14" s="26" t="str">
        <x:v>2021-07-01</x:v>
      </x:c>
      <x:c r="G14" s="26" t="str"/>
      <x:c r="H14" s="26" t="str"/>
      <x:c r="I14" s="26" t="str">
        <x:v>全国</x:v>
      </x:c>
      <x:c r="J14" s="26" t="str"/>
      <x:c r="K14" s="26" t="str">
        <x:v>一般工业固体废物</x:v>
      </x:c>
      <x:c r="L14" s="27" t="b">
        <x:v>1</x:v>
      </x:c>
      <x:c r="M14" s="27" t="b">
        <x:v>0</x:v>
      </x:c>
      <x:c r="N14" s="26" t="str">
        <x:v>https://www.mee.gov.cn/ywgz/fgbz/bz/bzwb/gthw/gtfwwrkzbz/202012/t20201218_813927.shtml</x:v>
      </x:c>
      <x:c r="O14" s="26" t="str">
        <x:v>D:\华南理工项目\智慧环评\skill\ABCD实验工作区\04_RAG资料补齐与验证\02_downloaded_or_confirmed_sources\04_solid_waste\GB18599-2020_官方原文.pdf</x:v>
      </x:c>
      <x:c r="P14" s="26" t="str">
        <x:v>关键边界：库房、包装工具贮存一般工业固废过程不适用本标准，但应满足防渗漏、防雨淋、防扬尘等环境保护要求。</x:v>
      </x:c>
    </x:row>
    <x:row r="15">
      <x:c r="A15" s="24" t="str">
        <x:v>SOLID_HW2021_HIST</x:v>
      </x:c>
      <x:c r="B15" s="24" t="str">
        <x:v>国家危险废物名录（2021年版）</x:v>
      </x:c>
      <x:c r="C15" s="24" t="str">
        <x:v>生态环境部令第15号</x:v>
      </x:c>
      <x:c r="D15" s="29" t="str">
        <x:v>已于2025-01-01废止</x:v>
      </x:c>
      <x:c r="E15" s="24" t="str"/>
      <x:c r="F15" s="24" t="str">
        <x:v>2021-01-01</x:v>
      </x:c>
      <x:c r="G15" s="24" t="str">
        <x:v>报告编制时若在2021-01-01至2024-12-31可适用</x:v>
      </x:c>
      <x:c r="H15" s="24" t="str">
        <x:v>已由2025年版替代</x:v>
      </x:c>
      <x:c r="I15" s="24" t="str">
        <x:v>全国</x:v>
      </x:c>
      <x:c r="J15" s="24" t="str"/>
      <x:c r="K15" s="24" t="str">
        <x:v>危险废物</x:v>
      </x:c>
      <x:c r="L15" s="25" t="b">
        <x:v>1</x:v>
      </x:c>
      <x:c r="M15" s="25" t="b">
        <x:v>0</x:v>
      </x:c>
      <x:c r="N15" s="24" t="str">
        <x:v>https://www.mee.gov.cn/gzk/gz/202112/P020211215457967720167.pdf</x:v>
      </x:c>
      <x:c r="O15" s="24" t="str">
        <x:v>D:\华南理工项目\智慧环评\skill\ABCD实验工作区\04_RAG资料补齐与验证\02_downloaded_or_confirmed_sources\04_solid_waste\国家危险废物名录_2021年版_官方历史.pdf</x:v>
      </x:c>
      <x:c r="P15" s="24" t="str"/>
    </x:row>
    <x:row r="16">
      <x:c r="A16" s="26" t="str">
        <x:v>SOLID_HW2025_CURRENT</x:v>
      </x:c>
      <x:c r="B16" s="26" t="str">
        <x:v>国家危险废物名录（2025年版）</x:v>
      </x:c>
      <x:c r="C16" s="26" t="str">
        <x:v>生态环境部令第36号</x:v>
      </x:c>
      <x:c r="D16" s="29" t="str">
        <x:v>现行</x:v>
      </x:c>
      <x:c r="E16" s="26" t="str"/>
      <x:c r="F16" s="26" t="str">
        <x:v>2025-01-01</x:v>
      </x:c>
      <x:c r="G16" s="26" t="str">
        <x:v>不倒用于2025年前报告</x:v>
      </x:c>
      <x:c r="H16" s="26" t="str">
        <x:v>2026-08-04现行</x:v>
      </x:c>
      <x:c r="I16" s="26" t="str">
        <x:v>全国</x:v>
      </x:c>
      <x:c r="J16" s="26" t="str"/>
      <x:c r="K16" s="26" t="str">
        <x:v>危险废物</x:v>
      </x:c>
      <x:c r="L16" s="27" t="b">
        <x:v>1</x:v>
      </x:c>
      <x:c r="M16" s="27" t="b">
        <x:v>0</x:v>
      </x:c>
      <x:c r="N16" s="26" t="str">
        <x:v>https://www.mee.gov.cn/xxgk2018/xxgk/xxgk02/202411/t20241129_1097685.html</x:v>
      </x:c>
      <x:c r="O16" s="26" t="str">
        <x:v>D:\华南理工项目\智慧环评\skill\ABCD实验工作区\04_RAG资料补齐与验证\02_downloaded_or_confirmed_sources\04_solid_waste\国家危险废物名录_2025年版_官方.pdf</x:v>
      </x:c>
      <x:c r="P16" s="26" t="str"/>
    </x:row>
    <x:row r="17">
      <x:c r="A17" s="24" t="str">
        <x:v>SOLID_GB34330_2017_HIST</x:v>
      </x:c>
      <x:c r="B17" s="24" t="str">
        <x:v>固体废物鉴别标准 通则</x:v>
      </x:c>
      <x:c r="C17" s="24" t="str">
        <x:v>GB 34330-2017</x:v>
      </x:c>
      <x:c r="D17" s="29" t="str">
        <x:v>已于2026-03-01废止</x:v>
      </x:c>
      <x:c r="E17" s="24" t="str"/>
      <x:c r="F17" s="24" t="str">
        <x:v>2017-10-01</x:v>
      </x:c>
      <x:c r="G17" s="24" t="str">
        <x:v>2026-03-01前报告历史核验</x:v>
      </x:c>
      <x:c r="H17" s="24" t="str">
        <x:v>由GB 34330-2025替代</x:v>
      </x:c>
      <x:c r="I17" s="24" t="str">
        <x:v>全国</x:v>
      </x:c>
      <x:c r="J17" s="24" t="str"/>
      <x:c r="K17" s="24" t="str">
        <x:v>固体废物鉴别</x:v>
      </x:c>
      <x:c r="L17" s="25" t="b">
        <x:v>1</x:v>
      </x:c>
      <x:c r="M17" s="25" t="b">
        <x:v>0</x:v>
      </x:c>
      <x:c r="N17" s="24" t="str">
        <x:v>https://www.mee.gov.cn/ywgz/fgbz/bz/bzwb/gthw/wxfwjbffbz/201709/t20170906_421005.shtml</x:v>
      </x:c>
      <x:c r="O17" s="24" t="str">
        <x:v>D:\华南理工项目\智慧环评\skill\ABCD实验工作区\04_RAG资料补齐与验证\02_downloaded_or_confirmed_sources\04_solid_waste\GB34330-2017_官方历史原文.pdf</x:v>
      </x:c>
      <x:c r="P17" s="24" t="str"/>
    </x:row>
    <x:row r="18">
      <x:c r="A18" s="26" t="str">
        <x:v>SOLID_GB34330_2025</x:v>
      </x:c>
      <x:c r="B18" s="26" t="str">
        <x:v>固体废物鉴别标准 通则</x:v>
      </x:c>
      <x:c r="C18" s="26" t="str">
        <x:v>GB 34330-2025</x:v>
      </x:c>
      <x:c r="D18" s="29" t="str">
        <x:v>现行</x:v>
      </x:c>
      <x:c r="E18" s="26" t="str"/>
      <x:c r="F18" s="26" t="str">
        <x:v>2026-03-01</x:v>
      </x:c>
      <x:c r="G18" s="26" t="str">
        <x:v>不倒用于2026-03-01前报告</x:v>
      </x:c>
      <x:c r="H18" s="26" t="str">
        <x:v>2026-08-04现行</x:v>
      </x:c>
      <x:c r="I18" s="26" t="str">
        <x:v>全国</x:v>
      </x:c>
      <x:c r="J18" s="26" t="str"/>
      <x:c r="K18" s="26" t="str">
        <x:v>固体废物鉴别</x:v>
      </x:c>
      <x:c r="L18" s="27" t="b">
        <x:v>1</x:v>
      </x:c>
      <x:c r="M18" s="27" t="b">
        <x:v>0</x:v>
      </x:c>
      <x:c r="N18" s="26" t="str">
        <x:v>https://www.mee.gov.cn/ywgz/fgbz/bz/bzwb/gthw/gtfwwrkzbz/202512/t20251212_1137618.shtml</x:v>
      </x:c>
      <x:c r="O18" s="26" t="str">
        <x:v>D:\华南理工项目\智慧环评\skill\ABCD实验工作区\04_RAG资料补齐与验证\02_downloaded_or_confirmed_sources\04_solid_waste\GB34330-2025_官方原文.pdf</x:v>
      </x:c>
      <x:c r="P18" s="26" t="str"/>
    </x:row>
    <x:row r="19">
      <x:c r="A19" s="24" t="str">
        <x:v>AIR_GB31572_2015_MOD</x:v>
      </x:c>
      <x:c r="B19" s="24" t="str">
        <x:v>合成树脂工业污染物排放标准（含2024修改内容）</x:v>
      </x:c>
      <x:c r="C19" s="24" t="str">
        <x:v>GB 31572-2015</x:v>
      </x:c>
      <x:c r="D19" s="29" t="str">
        <x:v>现行</x:v>
      </x:c>
      <x:c r="E19" s="24" t="str"/>
      <x:c r="F19" s="24" t="str"/>
      <x:c r="G19" s="24" t="str"/>
      <x:c r="H19" s="24" t="str"/>
      <x:c r="I19" s="24" t="str">
        <x:v>全国或广东省（依编号）</x:v>
      </x:c>
      <x:c r="J19" s="24" t="str"/>
      <x:c r="K19" s="24" t="str">
        <x:v>废气</x:v>
      </x:c>
      <x:c r="L19" s="25" t="b">
        <x:v>1</x:v>
      </x:c>
      <x:c r="M19" s="25" t="b">
        <x:v>0</x:v>
      </x:c>
      <x:c r="N19" s="24" t="str">
        <x:v>https://www.mee.gov.cn/ywgz/fgbz/bz/bzwb/dqhjbh/dqgdwrywrwpfbz/201505/W020240612354056402310.pdf</x:v>
      </x:c>
      <x:c r="O19" s="24" t="str">
        <x:v>D:\华南理工项目\智慧环评\skill\ABCD实验工作区\04_RAG资料补齐与验证\02_downloaded_or_confirmed_sources\05_air_standards\GB_31572-2015.md</x:v>
      </x:c>
      <x:c r="P19" s="24" t="str">
        <x:v>具体适用性须按工序—污染物—排放形式筛选，不可整包机械套用。</x:v>
      </x:c>
    </x:row>
    <x:row r="20">
      <x:c r="A20" s="26" t="str">
        <x:v>AIR_GB14554_93</x:v>
      </x:c>
      <x:c r="B20" s="26" t="str">
        <x:v>恶臭污染物排放标准</x:v>
      </x:c>
      <x:c r="C20" s="26" t="str">
        <x:v>GB 14554-93</x:v>
      </x:c>
      <x:c r="D20" s="29" t="str">
        <x:v>现行</x:v>
      </x:c>
      <x:c r="E20" s="26" t="str"/>
      <x:c r="F20" s="26" t="str"/>
      <x:c r="G20" s="26" t="str"/>
      <x:c r="H20" s="26" t="str"/>
      <x:c r="I20" s="26" t="str">
        <x:v>全国或广东省（依编号）</x:v>
      </x:c>
      <x:c r="J20" s="26" t="str"/>
      <x:c r="K20" s="26" t="str">
        <x:v>废气</x:v>
      </x:c>
      <x:c r="L20" s="27" t="b">
        <x:v>1</x:v>
      </x:c>
      <x:c r="M20" s="27" t="b">
        <x:v>0</x:v>
      </x:c>
      <x:c r="N20" s="26" t="str">
        <x:v>https://www.mee.gov.cn/ywgz/fgbz/bz/bzwb/dqhjbh/dqgdwrywrwpfbz/</x:v>
      </x:c>
      <x:c r="O20" s="26" t="str">
        <x:v>D:\华南理工项目\智慧环评\skill\ABCD实验工作区\04_RAG资料补齐与验证\02_downloaded_or_confirmed_sources\05_air_standards\GB_14554-93.md</x:v>
      </x:c>
      <x:c r="P20" s="26" t="str">
        <x:v>具体适用性须按工序—污染物—排放形式筛选，不可整包机械套用。</x:v>
      </x:c>
    </x:row>
    <x:row r="21">
      <x:c r="A21" s="24" t="str">
        <x:v>AIR_DB44_2367_2022</x:v>
      </x:c>
      <x:c r="B21" s="24" t="str">
        <x:v>固定污染源挥发性有机物综合排放标准</x:v>
      </x:c>
      <x:c r="C21" s="24" t="str">
        <x:v>DB44/2367-2022</x:v>
      </x:c>
      <x:c r="D21" s="29" t="str">
        <x:v>现行</x:v>
      </x:c>
      <x:c r="E21" s="24" t="str"/>
      <x:c r="F21" s="24" t="str"/>
      <x:c r="G21" s="24" t="str"/>
      <x:c r="H21" s="24" t="str"/>
      <x:c r="I21" s="24" t="str">
        <x:v>全国或广东省（依编号）</x:v>
      </x:c>
      <x:c r="J21" s="24" t="str"/>
      <x:c r="K21" s="24" t="str">
        <x:v>废气</x:v>
      </x:c>
      <x:c r="L21" s="25" t="b">
        <x:v>1</x:v>
      </x:c>
      <x:c r="M21" s="25" t="b">
        <x:v>0</x:v>
      </x:c>
      <x:c r="N21" s="24" t="str">
        <x:v>https://gdee.gd.gov.cn/dfbz/index.html</x:v>
      </x:c>
      <x:c r="O21" s="24" t="str">
        <x:v>D:\华南理工项目\智慧环评\skill\ABCD实验工作区\04_RAG资料补齐与验证\02_downloaded_or_confirmed_sources\05_air_standards\DB44_2367-2022.md</x:v>
      </x:c>
      <x:c r="P21" s="24" t="str">
        <x:v>具体适用性须按工序—污染物—排放形式筛选，不可整包机械套用。</x:v>
      </x:c>
    </x:row>
    <x:row r="22">
      <x:c r="A22" s="26" t="str">
        <x:v>AIR_DB44_27_2001</x:v>
      </x:c>
      <x:c r="B22" s="26" t="str">
        <x:v>大气污染物排放限值</x:v>
      </x:c>
      <x:c r="C22" s="26" t="str">
        <x:v>DB44/27-2001</x:v>
      </x:c>
      <x:c r="D22" s="29" t="str">
        <x:v>现行</x:v>
      </x:c>
      <x:c r="E22" s="26" t="str"/>
      <x:c r="F22" s="26" t="str"/>
      <x:c r="G22" s="26" t="str"/>
      <x:c r="H22" s="26" t="str"/>
      <x:c r="I22" s="26" t="str">
        <x:v>全国或广东省（依编号）</x:v>
      </x:c>
      <x:c r="J22" s="26" t="str"/>
      <x:c r="K22" s="26" t="str">
        <x:v>废气</x:v>
      </x:c>
      <x:c r="L22" s="27" t="b">
        <x:v>1</x:v>
      </x:c>
      <x:c r="M22" s="27" t="b">
        <x:v>0</x:v>
      </x:c>
      <x:c r="N22" s="26" t="str">
        <x:v>https://gdee.gd.gov.cn/dfbz/index.html</x:v>
      </x:c>
      <x:c r="O22" s="26" t="str">
        <x:v>D:\华南理工项目\智慧环评\skill\ABCD实验工作区\04_RAG资料补齐与验证\02_downloaded_or_confirmed_sources\05_air_standards\DB44_27-2001.md</x:v>
      </x:c>
      <x:c r="P22" s="26" t="str">
        <x:v>具体适用性须按工序—污染物—排放形式筛选，不可整包机械套用。</x:v>
      </x:c>
    </x:row>
    <x:row r="23">
      <x:c r="A23" s="24" t="str">
        <x:v>AIR_GB16297_1996</x:v>
      </x:c>
      <x:c r="B23" s="24" t="str">
        <x:v>大气污染物综合排放标准</x:v>
      </x:c>
      <x:c r="C23" s="24" t="str">
        <x:v>GB 16297-1996</x:v>
      </x:c>
      <x:c r="D23" s="29" t="str">
        <x:v>现行</x:v>
      </x:c>
      <x:c r="E23" s="24" t="str"/>
      <x:c r="F23" s="24" t="str"/>
      <x:c r="G23" s="24" t="str"/>
      <x:c r="H23" s="24" t="str"/>
      <x:c r="I23" s="24" t="str">
        <x:v>全国或广东省（依编号）</x:v>
      </x:c>
      <x:c r="J23" s="24" t="str"/>
      <x:c r="K23" s="24" t="str">
        <x:v>废气</x:v>
      </x:c>
      <x:c r="L23" s="25" t="b">
        <x:v>1</x:v>
      </x:c>
      <x:c r="M23" s="25" t="b">
        <x:v>0</x:v>
      </x:c>
      <x:c r="N23" s="24" t="str">
        <x:v>https://www.mee.gov.cn/ywgz/fgbz/bz/bzwb/dqhjbh/dqgdwrywrwpfbz/</x:v>
      </x:c>
      <x:c r="O23" s="24" t="str">
        <x:v>D:\华南理工项目\智慧环评\skill\ABCD实验工作区\04_RAG资料补齐与验证\02_downloaded_or_confirmed_sources\05_air_standards\GB_16297-1996.md</x:v>
      </x:c>
      <x:c r="P23" s="24" t="str">
        <x:v>具体适用性须按工序—污染物—排放形式筛选，不可整包机械套用。</x:v>
      </x:c>
    </x:row>
    <x:row r="24">
      <x:c r="A24" s="26" t="str">
        <x:v>AIR_GB41616_2022</x:v>
      </x:c>
      <x:c r="B24" s="26" t="str">
        <x:v>印刷工业大气污染物排放标准</x:v>
      </x:c>
      <x:c r="C24" s="26" t="str">
        <x:v>GB 41616-2022</x:v>
      </x:c>
      <x:c r="D24" s="29" t="str">
        <x:v>现行</x:v>
      </x:c>
      <x:c r="E24" s="26" t="str"/>
      <x:c r="F24" s="26" t="str"/>
      <x:c r="G24" s="26" t="str"/>
      <x:c r="H24" s="26" t="str"/>
      <x:c r="I24" s="26" t="str">
        <x:v>全国或广东省（依编号）</x:v>
      </x:c>
      <x:c r="J24" s="26" t="str"/>
      <x:c r="K24" s="26" t="str">
        <x:v>废气</x:v>
      </x:c>
      <x:c r="L24" s="27" t="b">
        <x:v>1</x:v>
      </x:c>
      <x:c r="M24" s="27" t="b">
        <x:v>0</x:v>
      </x:c>
      <x:c r="N24" s="26" t="str">
        <x:v>https://www.mee.gov.cn/ywgz/fgbz/bz/bzwb/dqhjbh/dqgdwrywrwpfbz/</x:v>
      </x:c>
      <x:c r="O24" s="26" t="str">
        <x:v>D:\华南理工项目\智慧环评\skill\ABCD实验工作区\04_RAG资料补齐与验证\02_downloaded_or_confirmed_sources\05_air_standards\GB_41616-2022.md</x:v>
      </x:c>
      <x:c r="P24" s="26" t="str">
        <x:v>具体适用性须按工序—污染物—排放形式筛选，不可整包机械套用。</x:v>
      </x:c>
    </x:row>
    <x:row r="25">
      <x:c r="A25" s="24" t="str">
        <x:v>AIR_GB33372_2020</x:v>
      </x:c>
      <x:c r="B25" s="24" t="str">
        <x:v>胶粘剂挥发性有机化合物限量</x:v>
      </x:c>
      <x:c r="C25" s="24" t="str">
        <x:v>GB 33372-2020</x:v>
      </x:c>
      <x:c r="D25" s="29" t="str">
        <x:v>现行</x:v>
      </x:c>
      <x:c r="E25" s="24" t="str"/>
      <x:c r="F25" s="24" t="str"/>
      <x:c r="G25" s="24" t="str"/>
      <x:c r="H25" s="24" t="str"/>
      <x:c r="I25" s="24" t="str">
        <x:v>全国或广东省（依编号）</x:v>
      </x:c>
      <x:c r="J25" s="24" t="str"/>
      <x:c r="K25" s="24" t="str">
        <x:v>废气</x:v>
      </x:c>
      <x:c r="L25" s="25" t="b">
        <x:v>1</x:v>
      </x:c>
      <x:c r="M25" s="25" t="b">
        <x:v>0</x:v>
      </x:c>
      <x:c r="N25" s="24" t="str">
        <x:v>https://openstd.samr.gov.cn/bzgk/gb/</x:v>
      </x:c>
      <x:c r="O25" s="24" t="str">
        <x:v>D:\华南理工项目\智慧环评\skill\ABCD实验工作区\04_RAG资料补齐与验证\02_downloaded_or_confirmed_sources\05_air_standards\GB_33372-2020.md</x:v>
      </x:c>
      <x:c r="P25" s="24" t="str">
        <x:v>具体适用性须按工序—污染物—排放形式筛选，不可整包机械套用。</x:v>
      </x:c>
    </x:row>
    <x:row r="26">
      <x:c r="A26" s="26" t="str">
        <x:v>AIR_GB38508_2020</x:v>
      </x:c>
      <x:c r="B26" s="26" t="str">
        <x:v>清洗剂挥发性有机化合物含量限值</x:v>
      </x:c>
      <x:c r="C26" s="26" t="str">
        <x:v>GB 38508-2020</x:v>
      </x:c>
      <x:c r="D26" s="29" t="str">
        <x:v>现行</x:v>
      </x:c>
      <x:c r="E26" s="26" t="str"/>
      <x:c r="F26" s="26" t="str"/>
      <x:c r="G26" s="26" t="str"/>
      <x:c r="H26" s="26" t="str"/>
      <x:c r="I26" s="26" t="str">
        <x:v>全国或广东省（依编号）</x:v>
      </x:c>
      <x:c r="J26" s="26" t="str"/>
      <x:c r="K26" s="26" t="str">
        <x:v>废气</x:v>
      </x:c>
      <x:c r="L26" s="27" t="b">
        <x:v>1</x:v>
      </x:c>
      <x:c r="M26" s="27" t="b">
        <x:v>0</x:v>
      </x:c>
      <x:c r="N26" s="26" t="str">
        <x:v>https://openstd.samr.gov.cn/bzgk/gb/</x:v>
      </x:c>
      <x:c r="O26" s="26" t="str">
        <x:v>D:\华南理工项目\智慧环评\skill\ABCD实验工作区\04_RAG资料补齐与验证\02_downloaded_or_confirmed_sources\05_air_standards\GB_38508-2020.md</x:v>
      </x:c>
      <x:c r="P26" s="26" t="str">
        <x:v>具体适用性须按工序—污染物—排放形式筛选，不可整包机械套用。</x:v>
      </x:c>
    </x:row>
    <x:row r="27">
      <x:c r="A27" s="24" t="str">
        <x:v>AIR_GB37822_2019</x:v>
      </x:c>
      <x:c r="B27" s="24" t="str">
        <x:v>挥发性有机物无组织排放控制标准</x:v>
      </x:c>
      <x:c r="C27" s="24" t="str">
        <x:v>GB 37822-2019</x:v>
      </x:c>
      <x:c r="D27" s="29" t="str">
        <x:v>现行</x:v>
      </x:c>
      <x:c r="E27" s="24" t="str"/>
      <x:c r="F27" s="24" t="str"/>
      <x:c r="G27" s="24" t="str"/>
      <x:c r="H27" s="24" t="str"/>
      <x:c r="I27" s="24" t="str">
        <x:v>全国或广东省（依编号）</x:v>
      </x:c>
      <x:c r="J27" s="24" t="str"/>
      <x:c r="K27" s="24" t="str">
        <x:v>废气</x:v>
      </x:c>
      <x:c r="L27" s="25" t="b">
        <x:v>1</x:v>
      </x:c>
      <x:c r="M27" s="25" t="b">
        <x:v>0</x:v>
      </x:c>
      <x:c r="N27" s="24" t="str">
        <x:v>https://www.mee.gov.cn/ywgz/fgbz/bz/bzwb/dqhjbh/dqgdwrywrwpfbz/201906/W020190606587693632696.pdf</x:v>
      </x:c>
      <x:c r="O27" s="24" t="str">
        <x:v>D:\华南理工项目\智慧环评\skill\ABCD实验工作区\04_RAG资料补齐与验证\02_downloaded_or_confirmed_sources\05_air_standards\GB_37822-2019.md</x:v>
      </x:c>
      <x:c r="P27" s="24" t="str">
        <x:v>具体适用性须按工序—污染物—排放形式筛选，不可整包机械套用。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4" hidden="0" customWidth="1"/>
    <x:col min="15" max="15" width="16" hidden="0" customWidth="1"/>
    <x:col min="16" max="16" width="48" hidden="0" customWidth="1"/>
  </x:cols>
  <x:sheetData>
    <x:row r="1" ht="42" customHeight="1">
      <x:c r="A1" s="17" t="str">
        <x:v>source_id</x:v>
      </x:c>
      <x:c r="B1" s="17" t="str">
        <x:v>title</x:v>
      </x:c>
      <x:c r="C1" s="17" t="str">
        <x:v>document_number</x:v>
      </x:c>
      <x:c r="D1" s="17" t="str">
        <x:v>validity_status</x:v>
      </x:c>
      <x:c r="E1" s="17" t="str">
        <x:v>issue_date</x:v>
      </x:c>
      <x:c r="F1" s="17" t="str">
        <x:v>effective_date</x:v>
      </x:c>
      <x:c r="G1" s="17" t="str">
        <x:v>historical_applicability</x:v>
      </x:c>
      <x:c r="H1" s="17" t="str">
        <x:v>current_reference</x:v>
      </x:c>
      <x:c r="I1" s="17" t="str">
        <x:v>applicable_region</x:v>
      </x:c>
      <x:c r="J1" s="17" t="str">
        <x:v>industry_scope</x:v>
      </x:c>
      <x:c r="K1" s="17" t="str">
        <x:v>pollution_medium</x:v>
      </x:c>
      <x:c r="L1" s="17" t="str">
        <x:v>full_text_available</x:v>
      </x:c>
      <x:c r="M1" s="17" t="str">
        <x:v>manual_source_upload_required</x:v>
      </x:c>
      <x:c r="N1" s="17" t="str">
        <x:v>official_url</x:v>
      </x:c>
      <x:c r="O1" s="17" t="str">
        <x:v>local_path</x:v>
      </x:c>
      <x:c r="P1" s="17" t="str">
        <x:v>notes</x:v>
      </x:c>
    </x:row>
    <x:row r="2">
      <x:c r="A2" s="26" t="str">
        <x:v>ENV_SHUNDE_2022</x:v>
      </x:c>
      <x:c r="B2" s="26" t="str">
        <x:v>2022年度佛山市顺德区生态环境状况公报</x:v>
      </x:c>
      <x:c r="C2" s="26" t="str">
        <x:v>佛环顺函〔2023〕26号</x:v>
      </x:c>
      <x:c r="D2" s="29" t="str">
        <x:v>历史核验资料（已确认）</x:v>
      </x:c>
      <x:c r="E2" s="26" t="str"/>
      <x:c r="F2" s="26" t="str"/>
      <x:c r="G2" s="26" t="str">
        <x:v>用于核验2023年前后报告对2022年度数据的引用</x:v>
      </x:c>
      <x:c r="H2" s="26" t="str">
        <x:v>不得由2023/2024公报替代</x:v>
      </x:c>
      <x:c r="I2" s="26" t="str">
        <x:v>佛山市顺德区</x:v>
      </x:c>
      <x:c r="J2" s="26" t="str"/>
      <x:c r="K2" s="26" t="str">
        <x:v>大气、地表水</x:v>
      </x:c>
      <x:c r="L2" s="27" t="b">
        <x:v>1</x:v>
      </x:c>
      <x:c r="M2" s="27" t="b">
        <x:v>0</x:v>
      </x:c>
      <x:c r="N2" s="26" t="str"/>
      <x:c r="O2" s="26" t="str">
        <x:v>D:\华南理工项目\智慧环评\skill\ABCD实验工作区\04_RAG资料补齐与验证\02_downloaded_or_confirmed_sources\01_environment_bulletins\2022年度佛山市顺德区生态环境状况公报_佛环顺函2023_26号.pdf</x:v>
      </x:c>
      <x:c r="P2" s="26" t="str">
        <x:v>首页载明佛环顺函〔2023〕26号，2023-03-29发布；官方网页URL尚未补登记，因此保留来源追溯警告。</x:v>
      </x:c>
    </x:row>
    <x:row r="3">
      <x:c r="A3" s="24" t="str">
        <x:v>ENV_SHUNDE_2024</x:v>
      </x:c>
      <x:c r="B3" s="24" t="str">
        <x:v>2024年度佛山市顺德区生态环境质量状况公报</x:v>
      </x:c>
      <x:c r="C3" s="24" t="str"/>
      <x:c r="D3" s="29" t="str">
        <x:v>现行</x:v>
      </x:c>
      <x:c r="E3" s="24" t="str"/>
      <x:c r="F3" s="24" t="str"/>
      <x:c r="G3" s="24" t="str">
        <x:v>不能替代2022公报核验</x:v>
      </x:c>
      <x:c r="H3" s="24" t="str">
        <x:v>较新参考资料</x:v>
      </x:c>
      <x:c r="I3" s="24" t="str">
        <x:v>佛山市顺德区</x:v>
      </x:c>
      <x:c r="J3" s="24" t="str"/>
      <x:c r="K3" s="24" t="str">
        <x:v>大气、地表水</x:v>
      </x:c>
      <x:c r="L3" s="25" t="b">
        <x:v>1</x:v>
      </x:c>
      <x:c r="M3" s="25" t="b">
        <x:v>0</x:v>
      </x:c>
      <x:c r="N3" s="24" t="str"/>
      <x:c r="O3" s="24" t="str">
        <x:v>D:\华南理工项目\智慧环评\skill\ABCD实验工作区\04_RAG资料补齐与验证\02_downloaded_or_confirmed_sources\01_environment_bulletins\#6_2024年佛山市顺德区生态环境状态公报.txt</x:v>
      </x:c>
      <x:c r="P3" s="24" t="str">
        <x:v>仅作更新参考，不用于证明2022公报中的历史数值。</x:v>
      </x:c>
    </x:row>
    <x:row r="4">
      <x:c r="A4" s="26" t="str">
        <x:v>WATER_DB44_26_2001</x:v>
      </x:c>
      <x:c r="B4" s="26" t="str">
        <x:v>水污染物排放限值</x:v>
      </x:c>
      <x:c r="C4" s="26" t="str">
        <x:v>DB44/26-2001</x:v>
      </x:c>
      <x:c r="D4" s="29" t="str">
        <x:v>现行</x:v>
      </x:c>
      <x:c r="E4" s="26" t="str"/>
      <x:c r="F4" s="26" t="str"/>
      <x:c r="G4" s="26" t="str">
        <x:v>报告编制时有效版本</x:v>
      </x:c>
      <x:c r="H4" s="26" t="str">
        <x:v>2026-08-04仍需结合地方最新公告复核</x:v>
      </x:c>
      <x:c r="I4" s="26" t="str">
        <x:v>广东省</x:v>
      </x:c>
      <x:c r="J4" s="26" t="str"/>
      <x:c r="K4" s="26" t="str">
        <x:v>废水</x:v>
      </x:c>
      <x:c r="L4" s="27" t="b">
        <x:v>1</x:v>
      </x:c>
      <x:c r="M4" s="27" t="b">
        <x:v>0</x:v>
      </x:c>
      <x:c r="N4" s="26" t="str">
        <x:v>https://gdee.gd.gov.cn/hbb/bwj/content/post_2338655.html</x:v>
      </x:c>
      <x:c r="O4" s="26" t="str">
        <x:v>D:\华南理工项目\智慧环评\skill\ABCD实验工作区\04_RAG资料补齐与验证\02_downloaded_or_confirmed_sources\02_water_standards\DB44_26-2001.md</x:v>
      </x:c>
      <x:c r="P4" s="26" t="str"/>
    </x:row>
    <x:row r="5">
      <x:c r="A5" s="24" t="str">
        <x:v>WATER_GB18918_2002</x:v>
      </x:c>
      <x:c r="B5" s="24" t="str">
        <x:v>城镇污水处理厂污染物排放标准</x:v>
      </x:c>
      <x:c r="C5" s="24" t="str">
        <x:v>GB 18918-2002</x:v>
      </x:c>
      <x:c r="D5" s="29" t="str">
        <x:v>现行</x:v>
      </x:c>
      <x:c r="E5" s="24" t="str"/>
      <x:c r="F5" s="24" t="str"/>
      <x:c r="G5" s="24" t="str">
        <x:v>历史报告应采用报告编制时有效正文及当时修改单</x:v>
      </x:c>
      <x:c r="H5" s="24" t="str">
        <x:v>2026-03-01起还需叠加2025修改单</x:v>
      </x:c>
      <x:c r="I5" s="24" t="str">
        <x:v>全国</x:v>
      </x:c>
      <x:c r="J5" s="24" t="str"/>
      <x:c r="K5" s="24" t="str">
        <x:v>污水处理厂尾水</x:v>
      </x:c>
      <x:c r="L5" s="25" t="b">
        <x:v>1</x:v>
      </x:c>
      <x:c r="M5" s="25" t="b">
        <x:v>0</x:v>
      </x:c>
      <x:c r="N5" s="24" t="str">
        <x:v>https://www.mee.gov.cn/ywgz/fgbz/bz/bzwb/shjbh/swrwpfbz/200307/t20030701_66529.htm</x:v>
      </x:c>
      <x:c r="O5" s="24" t="str">
        <x:v>D:\华南理工项目\智慧环评\skill\ABCD实验工作区\04_RAG资料补齐与验证\02_downloaded_or_confirmed_sources\02_water_standards\GB18918-2002_官方原文.pdf</x:v>
      </x:c>
      <x:c r="P5" s="24" t="str"/>
    </x:row>
    <x:row r="6">
      <x:c r="A6" s="26" t="str">
        <x:v>WATER_GB18918_MOD2025</x:v>
      </x:c>
      <x:c r="B6" s="26" t="str">
        <x:v>城镇污水处理厂污染物排放标准修改单</x:v>
      </x:c>
      <x:c r="C6" s="26" t="str">
        <x:v>GB 18918-2002修改单（2025）</x:v>
      </x:c>
      <x:c r="D6" s="29" t="str">
        <x:v>现行</x:v>
      </x:c>
      <x:c r="E6" s="26" t="str">
        <x:v>2025-11-06</x:v>
      </x:c>
      <x:c r="F6" s="26" t="str">
        <x:v>2026-03-01</x:v>
      </x:c>
      <x:c r="G6" s="26" t="str">
        <x:v>不倒用于修改单实施前报告</x:v>
      </x:c>
      <x:c r="H6" s="26" t="str">
        <x:v>2026-08-04现行修改内容</x:v>
      </x:c>
      <x:c r="I6" s="26" t="str">
        <x:v>全国</x:v>
      </x:c>
      <x:c r="J6" s="26" t="str"/>
      <x:c r="K6" s="26" t="str">
        <x:v>污水处理厂尾水</x:v>
      </x:c>
      <x:c r="L6" s="27" t="b">
        <x:v>1</x:v>
      </x:c>
      <x:c r="M6" s="27" t="b">
        <x:v>0</x:v>
      </x:c>
      <x:c r="N6" s="26" t="str">
        <x:v>https://www.mee.gov.cn/xxgk2018/xxgk/xxgk01/202512/t20251209_1137361.html</x:v>
      </x:c>
      <x:c r="O6" s="26" t="str">
        <x:v>D:\华南理工项目\智慧环评\skill\ABCD实验工作区\04_RAG资料补齐与验证\02_downloaded_or_confirmed_sources\02_water_standards\GB18918-2002_2025修改单_官方.pdf</x:v>
      </x:c>
      <x:c r="P6" s="26" t="str"/>
    </x:row>
    <x:row r="7">
      <x:c r="A7" s="24" t="str">
        <x:v>WATER_GBT18920_2020_METADATA</x:v>
      </x:c>
      <x:c r="B7" s="24" t="str">
        <x:v>城市污水再生利用 城市杂用水水质</x:v>
      </x:c>
      <x:c r="C7" s="24" t="str">
        <x:v>GB/T 18920-2020</x:v>
      </x:c>
      <x:c r="D7" s="29" t="str">
        <x:v>现行</x:v>
      </x:c>
      <x:c r="E7" s="24" t="str">
        <x:v>2020-03-31</x:v>
      </x:c>
      <x:c r="F7" s="24" t="str">
        <x:v>2021-02-01</x:v>
      </x:c>
      <x:c r="G7" s="24" t="str"/>
      <x:c r="H7" s="24" t="str"/>
      <x:c r="I7" s="24" t="str">
        <x:v>全国</x:v>
      </x:c>
      <x:c r="J7" s="24" t="str"/>
      <x:c r="K7" s="24" t="str">
        <x:v>再生水</x:v>
      </x:c>
      <x:c r="L7" s="25" t="b">
        <x:v>0</x:v>
      </x:c>
      <x:c r="M7" s="25" t="b">
        <x:v>1</x:v>
      </x:c>
      <x:c r="N7" s="24" t="str">
        <x:v>https://openstd.samr.gov.cn/bzgk/std/newGbInfo?hcno=9825347B5A474612C6C3FE86323428C0</x:v>
      </x:c>
      <x:c r="O7" s="24" t="str">
        <x:v>D:\华南理工项目\智慧环评\skill\ABCD实验工作区\04_RAG资料补齐与验证\02_downloaded_or_confirmed_sources\02_water_standards\GBT18920-2020_官方元数据页.html</x:v>
      </x:c>
      <x:c r="P7" s="24" t="str">
        <x:v>官方平台仅提供在线预览；未发现可合法下载的官方全文，本地也无已确认全文。</x:v>
      </x:c>
    </x:row>
    <x:row r="8">
      <x:c r="A8" s="26" t="str">
        <x:v>SOLID_GB18597_2023</x:v>
      </x:c>
      <x:c r="B8" s="26" t="str">
        <x:v>危险废物贮存污染控制标准</x:v>
      </x:c>
      <x:c r="C8" s="26" t="str">
        <x:v>GB 18597-2023</x:v>
      </x:c>
      <x:c r="D8" s="29" t="str">
        <x:v>现行</x:v>
      </x:c>
      <x:c r="E8" s="26" t="str"/>
      <x:c r="F8" s="26" t="str">
        <x:v>2023-07-01</x:v>
      </x:c>
      <x:c r="G8" s="26" t="str">
        <x:v>2023-07-01前报告需核对旧版</x:v>
      </x:c>
      <x:c r="H8" s="26" t="str">
        <x:v>2026-08-04现行</x:v>
      </x:c>
      <x:c r="I8" s="26" t="str">
        <x:v>全国</x:v>
      </x:c>
      <x:c r="J8" s="26" t="str"/>
      <x:c r="K8" s="26" t="str">
        <x:v>危险废物</x:v>
      </x:c>
      <x:c r="L8" s="27" t="b">
        <x:v>1</x:v>
      </x:c>
      <x:c r="M8" s="27" t="b">
        <x:v>0</x:v>
      </x:c>
      <x:c r="N8" s="26" t="str">
        <x:v>https://www.mee.gov.cn/ywgz/fgbz/bz/bzwb/gthw/gtfwwrkzbz/202302/t20230224_1017500.shtml</x:v>
      </x:c>
      <x:c r="O8" s="26" t="str">
        <x:v>D:\华南理工项目\智慧环评\skill\ABCD实验工作区\04_RAG资料补齐与验证\02_downloaded_or_confirmed_sources\04_solid_waste\GB18597-2023_官方原文.pdf</x:v>
      </x:c>
      <x:c r="P8" s="26" t="str"/>
    </x:row>
    <x:row r="9">
      <x:c r="A9" s="24" t="str">
        <x:v>SOLID_HW2021_HIST</x:v>
      </x:c>
      <x:c r="B9" s="24" t="str">
        <x:v>国家危险废物名录（2021年版）</x:v>
      </x:c>
      <x:c r="C9" s="24" t="str">
        <x:v>生态环境部令第15号</x:v>
      </x:c>
      <x:c r="D9" s="29" t="str">
        <x:v>已于2025-01-01废止</x:v>
      </x:c>
      <x:c r="E9" s="24" t="str"/>
      <x:c r="F9" s="24" t="str">
        <x:v>2021-01-01</x:v>
      </x:c>
      <x:c r="G9" s="24" t="str">
        <x:v>报告编制时若在2021-01-01至2024-12-31可适用</x:v>
      </x:c>
      <x:c r="H9" s="24" t="str">
        <x:v>已由2025年版替代</x:v>
      </x:c>
      <x:c r="I9" s="24" t="str">
        <x:v>全国</x:v>
      </x:c>
      <x:c r="J9" s="24" t="str"/>
      <x:c r="K9" s="24" t="str">
        <x:v>危险废物</x:v>
      </x:c>
      <x:c r="L9" s="25" t="b">
        <x:v>1</x:v>
      </x:c>
      <x:c r="M9" s="25" t="b">
        <x:v>0</x:v>
      </x:c>
      <x:c r="N9" s="24" t="str">
        <x:v>https://www.mee.gov.cn/gzk/gz/202112/P020211215457967720167.pdf</x:v>
      </x:c>
      <x:c r="O9" s="24" t="str">
        <x:v>D:\华南理工项目\智慧环评\skill\ABCD实验工作区\04_RAG资料补齐与验证\02_downloaded_or_confirmed_sources\04_solid_waste\国家危险废物名录_2021年版_官方历史.pdf</x:v>
      </x:c>
      <x:c r="P9" s="24" t="str"/>
    </x:row>
    <x:row r="10">
      <x:c r="A10" s="26" t="str">
        <x:v>SOLID_HW2025_CURRENT</x:v>
      </x:c>
      <x:c r="B10" s="26" t="str">
        <x:v>国家危险废物名录（2025年版）</x:v>
      </x:c>
      <x:c r="C10" s="26" t="str">
        <x:v>生态环境部令第36号</x:v>
      </x:c>
      <x:c r="D10" s="29" t="str">
        <x:v>现行</x:v>
      </x:c>
      <x:c r="E10" s="26" t="str"/>
      <x:c r="F10" s="26" t="str">
        <x:v>2025-01-01</x:v>
      </x:c>
      <x:c r="G10" s="26" t="str">
        <x:v>不倒用于2025年前报告</x:v>
      </x:c>
      <x:c r="H10" s="26" t="str">
        <x:v>2026-08-04现行</x:v>
      </x:c>
      <x:c r="I10" s="26" t="str">
        <x:v>全国</x:v>
      </x:c>
      <x:c r="J10" s="26" t="str"/>
      <x:c r="K10" s="26" t="str">
        <x:v>危险废物</x:v>
      </x:c>
      <x:c r="L10" s="27" t="b">
        <x:v>1</x:v>
      </x:c>
      <x:c r="M10" s="27" t="b">
        <x:v>0</x:v>
      </x:c>
      <x:c r="N10" s="26" t="str">
        <x:v>https://www.mee.gov.cn/xxgk2018/xxgk/xxgk02/202411/t20241129_1097685.html</x:v>
      </x:c>
      <x:c r="O10" s="26" t="str">
        <x:v>D:\华南理工项目\智慧环评\skill\ABCD实验工作区\04_RAG资料补齐与验证\02_downloaded_or_confirmed_sources\04_solid_waste\国家危险废物名录_2025年版_官方.pdf</x:v>
      </x:c>
      <x:c r="P10" s="26" t="str"/>
    </x:row>
    <x:row r="11">
      <x:c r="A11" s="24" t="str">
        <x:v>SOLID_GB34330_2017_HIST</x:v>
      </x:c>
      <x:c r="B11" s="24" t="str">
        <x:v>固体废物鉴别标准 通则</x:v>
      </x:c>
      <x:c r="C11" s="24" t="str">
        <x:v>GB 34330-2017</x:v>
      </x:c>
      <x:c r="D11" s="29" t="str">
        <x:v>已于2026-03-01废止</x:v>
      </x:c>
      <x:c r="E11" s="24" t="str"/>
      <x:c r="F11" s="24" t="str">
        <x:v>2017-10-01</x:v>
      </x:c>
      <x:c r="G11" s="24" t="str">
        <x:v>2026-03-01前报告历史核验</x:v>
      </x:c>
      <x:c r="H11" s="24" t="str">
        <x:v>由GB 34330-2025替代</x:v>
      </x:c>
      <x:c r="I11" s="24" t="str">
        <x:v>全国</x:v>
      </x:c>
      <x:c r="J11" s="24" t="str"/>
      <x:c r="K11" s="24" t="str">
        <x:v>固体废物鉴别</x:v>
      </x:c>
      <x:c r="L11" s="25" t="b">
        <x:v>1</x:v>
      </x:c>
      <x:c r="M11" s="25" t="b">
        <x:v>0</x:v>
      </x:c>
      <x:c r="N11" s="24" t="str">
        <x:v>https://www.mee.gov.cn/ywgz/fgbz/bz/bzwb/gthw/wxfwjbffbz/201709/t20170906_421005.shtml</x:v>
      </x:c>
      <x:c r="O11" s="24" t="str">
        <x:v>D:\华南理工项目\智慧环评\skill\ABCD实验工作区\04_RAG资料补齐与验证\02_downloaded_or_confirmed_sources\04_solid_waste\GB34330-2017_官方历史原文.pdf</x:v>
      </x:c>
      <x:c r="P11" s="24" t="str"/>
    </x:row>
    <x:row r="12">
      <x:c r="A12" s="26" t="str">
        <x:v>SOLID_GB34330_2025</x:v>
      </x:c>
      <x:c r="B12" s="26" t="str">
        <x:v>固体废物鉴别标准 通则</x:v>
      </x:c>
      <x:c r="C12" s="26" t="str">
        <x:v>GB 34330-2025</x:v>
      </x:c>
      <x:c r="D12" s="29" t="str">
        <x:v>现行</x:v>
      </x:c>
      <x:c r="E12" s="26" t="str"/>
      <x:c r="F12" s="26" t="str">
        <x:v>2026-03-01</x:v>
      </x:c>
      <x:c r="G12" s="26" t="str">
        <x:v>不倒用于2026-03-01前报告</x:v>
      </x:c>
      <x:c r="H12" s="26" t="str">
        <x:v>2026-08-04现行</x:v>
      </x:c>
      <x:c r="I12" s="26" t="str">
        <x:v>全国</x:v>
      </x:c>
      <x:c r="J12" s="26" t="str"/>
      <x:c r="K12" s="26" t="str">
        <x:v>固体废物鉴别</x:v>
      </x:c>
      <x:c r="L12" s="27" t="b">
        <x:v>1</x:v>
      </x:c>
      <x:c r="M12" s="27" t="b">
        <x:v>0</x:v>
      </x:c>
      <x:c r="N12" s="26" t="str">
        <x:v>https://www.mee.gov.cn/ywgz/fgbz/bz/bzwb/gthw/gtfwwrkzbz/202512/t20251212_1137618.shtml</x:v>
      </x:c>
      <x:c r="O12" s="26" t="str">
        <x:v>D:\华南理工项目\智慧环评\skill\ABCD实验工作区\04_RAG资料补齐与验证\02_downloaded_or_confirmed_sources\04_solid_waste\GB34330-2025_官方原文.pdf</x:v>
      </x:c>
      <x:c r="P12" s="2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</x:cols>
  <x:sheetData>
    <x:row r="1">
      <x:c r="A1" s="31" t="str">
        <x:v>状态汇总</x:v>
      </x:c>
      <x:c r="B1" s="31" t="str">
        <x:v>状态汇总</x:v>
      </x:c>
      <x:c r="C1" s="31" t="str">
        <x:v>状态汇总</x:v>
      </x:c>
      <x:c r="D1" s="31" t="str">
        <x:v>状态汇总</x:v>
      </x:c>
    </x:row>
    <x:row r="2">
      <x:c r="A2" s="31" t="str">
        <x:v>状态汇总</x:v>
      </x:c>
      <x:c r="B2" s="31" t="str">
        <x:v>状态汇总</x:v>
      </x:c>
      <x:c r="C2" s="31" t="str">
        <x:v>状态汇总</x:v>
      </x:c>
      <x:c r="D2" s="31" t="str">
        <x:v>状态汇总</x:v>
      </x:c>
    </x:row>
    <x:row r="4">
      <x:c r="A4" s="14" t="str">
        <x:v>状态</x:v>
      </x:c>
      <x:c r="B4" s="14" t="str">
        <x:v>数量（公式）</x:v>
      </x:c>
    </x:row>
    <x:row r="5">
      <x:c r="A5" s="33" t="str">
        <x:v>现行</x:v>
      </x:c>
      <x:c r="B5" s="8" t="n">
        <x:f>COUNTIF('Source Registry'!D2:D27,A5)</x:f>
        <x:v>23</x:v>
      </x:c>
    </x:row>
    <x:row r="6">
      <x:c r="A6" s="33" t="str">
        <x:v>历史核验资料（已确认）</x:v>
      </x:c>
      <x:c r="B6" s="8" t="n">
        <x:f>COUNTIF('Source Registry'!D2:D27,A6)</x:f>
        <x:v>1</x:v>
      </x:c>
    </x:row>
    <x:row r="7">
      <x:c r="A7" s="33" t="str">
        <x:v>已于2025-01-01废止</x:v>
      </x:c>
      <x:c r="B7" s="8" t="n">
        <x:f>COUNTIF('Source Registry'!D2:D27,A7)</x:f>
        <x:v>1</x:v>
      </x:c>
    </x:row>
    <x:row r="8">
      <x:c r="A8" s="33" t="str">
        <x:v>已于2026-03-01废止</x:v>
      </x:c>
      <x:c r="B8" s="8" t="n">
        <x:f>COUNTIF('Source Registry'!D2:D27,A8)</x:f>
        <x:v>1</x:v>
      </x:c>
    </x:row>
    <x:row r="9">
      <x:c r="A9" s="7" t="str">
        <x:v>合计</x:v>
      </x:c>
      <x:c r="B9" s="7" t="n">
        <x:f>SUM(B5:B8)</x:f>
        <x:v>26</x:v>
      </x:c>
    </x:row>
  </x:sheetData>
  <x:mergeCells>
    <x:mergeCell ref="A1:D2"/>
  </x:mergeCells>
  <x:pageMargins left="0.7" right="0.7" top="0.75" bottom="0.75" header="0.3" footer="0.3"/>
</x:worksheet>
</file>