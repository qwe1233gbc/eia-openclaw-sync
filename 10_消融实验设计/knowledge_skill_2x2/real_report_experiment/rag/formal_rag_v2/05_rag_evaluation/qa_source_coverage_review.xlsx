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4c6e29e54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c955e211c174f3f"/>
    <x:sheet xmlns:r="http://schemas.openxmlformats.org/officeDocument/2006/relationships" name="Coverage Review" sheetId="2" r:id="R1aa774073abf474c"/>
    <x:sheet xmlns:r="http://schemas.openxmlformats.org/officeDocument/2006/relationships" name="Status Summary" sheetId="3" r:id="R2d893ac01370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6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9" borderId="0" xfId="0" applyNumberFormat="1" applyFont="1" applyFill="1" applyBorder="1"/>
    <x:xf numFmtId="0" fontId="0" fillId="8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1" xfId="0" applyNumberFormat="1" applyFont="1" applyFill="1" applyBorder="1"/>
    <x:xf numFmtId="0" fontId="0" fillId="9" borderId="1" xfId="0" applyNumberFormat="1" applyFont="1" applyFill="1" applyBorder="1"/>
    <x:xf numFmtId="0" fontId="0" fillId="8" borderId="1" xfId="0" applyNumberFormat="1" applyFont="1" applyFill="1" applyBorder="1"/>
    <x:xf numFmtId="0" fontId="0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ad75d12674429" /><Relationship Type="http://schemas.openxmlformats.org/officeDocument/2006/relationships/theme" Target="/xl/theme/theme1.xml" Id="R669c5dfce2a44fdf" /><Relationship Type="http://schemas.openxmlformats.org/officeDocument/2006/relationships/sharedStrings" Target="/xl/sharedStrings.xml" Id="Rd2b0337e9b6f43aa" /><Relationship Type="http://schemas.openxmlformats.org/officeDocument/2006/relationships/worksheet" Target="/xl/worksheets/sheet1.xml" Id="R7c955e211c174f3f" /><Relationship Type="http://schemas.openxmlformats.org/officeDocument/2006/relationships/worksheet" Target="/xl/worksheets/sheet2.xml" Id="R1aa774073abf474c" /><Relationship Type="http://schemas.openxmlformats.org/officeDocument/2006/relationships/worksheet" Target="/xl/worksheets/sheet3.xml" Id="R2d893ac0137047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5" hidden="0" customWidth="1"/>
  </x:cols>
  <x:sheetData>
    <x:row r="1">
      <x:c r="A1" s="4" t="str">
        <x:v>21题冻结后RAG覆盖率复核</x:v>
      </x:c>
      <x:c r="B1" s="4" t="str">
        <x:v>21题冻结后RAG覆盖率复核</x:v>
      </x:c>
      <x:c r="C1" s="4" t="str">
        <x:v>21题冻结后RAG覆盖率复核</x:v>
      </x:c>
      <x:c r="D1" s="4" t="str">
        <x:v>21题冻结后RAG覆盖率复核</x:v>
      </x:c>
      <x:c r="E1" s="4" t="str">
        <x:v>21题冻结后RAG覆盖率复核</x:v>
      </x:c>
      <x:c r="F1" s="4" t="str">
        <x:v>21题冻结后RAG覆盖率复核</x:v>
      </x:c>
      <x:c r="G1" s="4" t="str">
        <x:v>21题冻结后RAG覆盖率复核</x:v>
      </x:c>
      <x:c r="H1" s="4" t="str">
        <x:v>21题冻结后RAG覆盖率复核</x:v>
      </x:c>
    </x:row>
    <x:row r="2">
      <x:c r="A2" s="4" t="str">
        <x:v>21题冻结后RAG覆盖率复核</x:v>
      </x:c>
      <x:c r="B2" s="4" t="str">
        <x:v>21题冻结后RAG覆盖率复核</x:v>
      </x:c>
      <x:c r="C2" s="4" t="str">
        <x:v>21题冻结后RAG覆盖率复核</x:v>
      </x:c>
      <x:c r="D2" s="4" t="str">
        <x:v>21题冻结后RAG覆盖率复核</x:v>
      </x:c>
      <x:c r="E2" s="4" t="str">
        <x:v>21题冻结后RAG覆盖率复核</x:v>
      </x:c>
      <x:c r="F2" s="4" t="str">
        <x:v>21题冻结后RAG覆盖率复核</x:v>
      </x:c>
      <x:c r="G2" s="4" t="str">
        <x:v>21题冻结后RAG覆盖率复核</x:v>
      </x:c>
      <x:c r="H2" s="4" t="str">
        <x:v>21题冻结后RAG覆盖率复核</x:v>
      </x:c>
    </x:row>
    <x:row r="4">
      <x:c r="A4" s="9" t="str">
        <x:v>生成日期</x:v>
      </x:c>
      <x:c r="B4" s="10" t="str">
        <x:v>2026-08-04</x:v>
      </x:c>
    </x:row>
    <x:row r="5">
      <x:c r="A5" s="9" t="str">
        <x:v>用途</x:v>
      </x:c>
      <x:c r="B5" s="10" t="str">
        <x:v>在RAG快照冻结后读取金标字段，仅用于评价必要来源是否命中</x:v>
      </x:c>
    </x:row>
    <x:row r="6">
      <x:c r="A6" s="9" t="str">
        <x:v>数据范围</x:v>
      </x:c>
      <x:c r="B6" s="10" t="str">
        <x:v>21道黄色测试问答</x:v>
      </x:c>
    </x:row>
    <x:row r="7">
      <x:c r="A7" s="9" t="str">
        <x:v>生成原则</x:v>
      </x:c>
      <x:c r="B7" s="10" t="str">
        <x:v>正式来源优先；历史适用与现行参考分列；冻结前不读取金标</x:v>
      </x:c>
    </x:row>
    <x:row r="8">
      <x:c r="A8" s="9" t="str">
        <x:v>关键限制</x:v>
      </x:c>
      <x:c r="B8" s="10" t="str">
        <x:v>金标字段不得进入查询、分块、排序或冻结上下文</x:v>
      </x:c>
    </x:row>
    <x:row r="9">
      <x:c r="A9" s="9" t="str">
        <x:v>状态色</x:v>
      </x:c>
      <x:c r="B9" s="10" t="str">
        <x:v>绿色=完整；黄色=完整但需警告；红色=缺失/不完整；灰色=不需要外部RAG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48" hidden="0" customWidth="1"/>
    <x:col min="9" max="9" width="48" hidden="0" customWidth="1"/>
    <x:col min="10" max="10" width="48" hidden="0" customWidth="1"/>
    <x:col min="11" max="11" width="24" hidden="0" customWidth="1"/>
  </x:cols>
  <x:sheetData>
    <x:row r="1" ht="42" customHeight="1">
      <x:c r="A1" s="16" t="str">
        <x:v>question_id</x:v>
      </x:c>
      <x:c r="B1" s="16" t="str">
        <x:v>project_id</x:v>
      </x:c>
      <x:c r="C1" s="16" t="str">
        <x:v>audit_category</x:v>
      </x:c>
      <x:c r="D1" s="16" t="str">
        <x:v>coverage_conclusion</x:v>
      </x:c>
      <x:c r="E1" s="16" t="str">
        <x:v>required_sources</x:v>
      </x:c>
      <x:c r="F1" s="16" t="str">
        <x:v>retrieved_sources</x:v>
      </x:c>
      <x:c r="G1" s="16" t="str">
        <x:v>missing_required_sources</x:v>
      </x:c>
      <x:c r="H1" s="16" t="str">
        <x:v>gold_source_basis_post_freeze</x:v>
      </x:c>
      <x:c r="I1" s="16" t="str">
        <x:v>gold_manual_note_post_freeze</x:v>
      </x:c>
      <x:c r="J1" s="16" t="str">
        <x:v>coverage_note</x:v>
      </x:c>
      <x:c r="K1" s="16" t="str">
        <x:v>rag_context_sha256</x:v>
      </x:c>
    </x:row>
    <x:row r="2">
      <x:c r="A2" s="21" t="str">
        <x:v>PL001_V01_Q01</x:v>
      </x:c>
      <x:c r="B2" s="21" t="str">
        <x:v>PL001</x:v>
      </x:c>
      <x:c r="C2" s="21" t="str">
        <x:v>国民经济行业分类</x:v>
      </x:c>
      <x:c r="D2" s="23" t="str">
        <x:v>complete</x:v>
      </x:c>
      <x:c r="E2" s="21" t="str">
        <x:v>IND_GBT4754_2017</x:v>
      </x:c>
      <x:c r="F2" s="21" t="str">
        <x:v>IND_GBT4754_2017</x:v>
      </x:c>
      <x:c r="G2" s="21" t="str"/>
      <x:c r="H2" s="21" t="str">
        <x:v>报告原文；Dify工作流_标准库；标准库/经验库</x:v>
      </x:c>
      <x:c r="I2" s="21" t="str">
        <x:v>人工核定无误</x:v>
      </x:c>
      <x:c r="J2" s="21" t="str">
        <x:v>金标字段仅在快照冻结后用于覆盖率核验。已命中必要依据；保留版本/图斑/适用边界人工复核提示。</x:v>
      </x:c>
      <x:c r="K2" s="21" t="str">
        <x:v>8663c19376176bc25b7301888915711e0e599e9203f2df35722c6a171e51bf67</x:v>
      </x:c>
    </x:row>
    <x:row r="3">
      <x:c r="A3" s="20" t="str">
        <x:v>PL001_EnvQuality_Q01</x:v>
      </x:c>
      <x:c r="B3" s="20" t="str">
        <x:v>PL001</x:v>
      </x:c>
      <x:c r="C3" s="20" t="str">
        <x:v>环境质量数据引用</x:v>
      </x:c>
      <x:c r="D3" s="25" t="str">
        <x:v>complete_with_warning</x:v>
      </x:c>
      <x:c r="E3" s="20" t="str">
        <x:v>ENV_SHUNDE_2022;ENV_SHUNDE_2024</x:v>
      </x:c>
      <x:c r="F3" s="20" t="str">
        <x:v>ENV_SHUNDE_2022;ENV_SHUNDE_2024</x:v>
      </x:c>
      <x:c r="G3" s="20" t="str"/>
      <x:c r="H3" s="20" t="str">
        <x:v>生态环境状况公报知识库; 收纳水体地表水执行标准</x:v>
      </x:c>
      <x:c r="I3" s="20" t="str">
        <x:v>大气:正确; 地表水:正确; 报告日期:2023-07</x:v>
      </x:c>
      <x:c r="J3" s="20" t="str">
        <x:v>金标字段仅在快照冻结后用于覆盖率核验。已命中必要依据；保留版本/图斑/适用边界人工复核提示。</x:v>
      </x:c>
      <x:c r="K3" s="20" t="str">
        <x:v>2efa02505fb0950d65bac3830341b0bbae35c403fb60f697c34a1d9c8b7801d5</x:v>
      </x:c>
    </x:row>
    <x:row r="4">
      <x:c r="A4" s="21" t="str">
        <x:v>PL001_Emission_固体</x:v>
      </x:c>
      <x:c r="B4" s="21" t="str">
        <x:v>PL001</x:v>
      </x:c>
      <x:c r="C4" s="21" t="str">
        <x:v>固体废物控制标准</x:v>
      </x:c>
      <x:c r="D4" s="25" t="str">
        <x:v>complete_with_warning</x:v>
      </x:c>
      <x:c r="E4" s="21" t="str">
        <x:v>SOLID_WASTE_LAW_2020;SOLID_GD_REG_2022;SOLID_GB18597_2023;SOLID_GB18599_2020;SOLID_HW2021_HIST;SOLID_HW2025_CURRENT;SOLID_GB34330_2017_HIST;SOLID_GB34330_2025</x:v>
      </x:c>
      <x:c r="F4" s="21" t="str">
        <x:v>SOLID_WASTE_LAW_2020;SOLID_GD_REG_2022;SOLID_GB18597_2023;SOLID_GB18599_2020;SOLID_HW2021_HIST;SOLID_HW2025_CURRENT;SOLID_GB34330_2017_HIST;SOLID_GB34330_2025</x:v>
      </x:c>
      <x:c r="G4" s="21" t="str"/>
      <x:c r="H4" s="21" t="str">
        <x:v>emission-standard-kb.jsonl; DB44/26-2001; DB44/2367-2022; GB31572-2015; GB14554-93; GB12348-2008; GB18597-2023; GB18599-2020</x:v>
      </x:c>
      <x:c r="I4" s="21" t="str">
        <x:v>水:存在错误；气:存在缺漏；噪声:存在缺漏；固废:存在缺漏</x:v>
      </x:c>
      <x:c r="J4" s="21" t="str">
        <x:v>金标字段仅在快照冻结后用于覆盖率核验。已命中必要依据；保留版本/图斑/适用边界人工复核提示。</x:v>
      </x:c>
      <x:c r="K4" s="21" t="str">
        <x:v>97d7772337617ff76c990806e13f0d8b7b2f6dc167e00f283e4fd7e30937edd3</x:v>
      </x:c>
    </x:row>
    <x:row r="5">
      <x:c r="A5" s="20" t="str">
        <x:v>PL002_V01_Q01</x:v>
      </x:c>
      <x:c r="B5" s="20" t="str">
        <x:v>PL002</x:v>
      </x:c>
      <x:c r="C5" s="20" t="str">
        <x:v>国民经济行业分类</x:v>
      </x:c>
      <x:c r="D5" s="23" t="str">
        <x:v>complete</x:v>
      </x:c>
      <x:c r="E5" s="20" t="str">
        <x:v>IND_GBT4754_2017</x:v>
      </x:c>
      <x:c r="F5" s="20" t="str">
        <x:v>IND_GBT4754_2017</x:v>
      </x:c>
      <x:c r="G5" s="20" t="str"/>
      <x:c r="H5" s="20" t="str">
        <x:v>报告原文；Dify工作流_标准库；标准库/经验库</x:v>
      </x:c>
      <x:c r="I5" s="20" t="str">
        <x:v>112</x:v>
      </x:c>
      <x:c r="J5" s="20" t="str">
        <x:v>金标字段仅在快照冻结后用于覆盖率核验。已命中必要依据；保留版本/图斑/适用边界人工复核提示。</x:v>
      </x:c>
      <x:c r="K5" s="20" t="str">
        <x:v>3527db79c2f39f91070bf37807dd140f7a76527068e0ef3d46798d2684eec231</x:v>
      </x:c>
    </x:row>
    <x:row r="6">
      <x:c r="A6" s="21" t="str">
        <x:v>PL002_EnvQuality_Q01</x:v>
      </x:c>
      <x:c r="B6" s="21" t="str">
        <x:v>PL002</x:v>
      </x:c>
      <x:c r="C6" s="21" t="str">
        <x:v>环境质量数据引用</x:v>
      </x:c>
      <x:c r="D6" s="25" t="str">
        <x:v>complete_with_warning</x:v>
      </x:c>
      <x:c r="E6" s="21" t="str">
        <x:v>ENV_SHUNDE_2022;ENV_SHUNDE_2024</x:v>
      </x:c>
      <x:c r="F6" s="21" t="str">
        <x:v>ENV_SHUNDE_2022;ENV_SHUNDE_2024</x:v>
      </x:c>
      <x:c r="G6" s="21" t="str"/>
      <x:c r="H6" s="21" t="str">
        <x:v>生态环境状况公报知识库; 收纳水体地表水执行标准</x:v>
      </x:c>
      <x:c r="I6" s="21" t="str">
        <x:v>大气:正确; 地表水:正确; 报告日期:2023-07</x:v>
      </x:c>
      <x:c r="J6" s="21" t="str">
        <x:v>金标字段仅在快照冻结后用于覆盖率核验。已命中必要依据；保留版本/图斑/适用边界人工复核提示。</x:v>
      </x:c>
      <x:c r="K6" s="21" t="str">
        <x:v>434b1db34a4f72d30d7faeebe881dbd311514a68cf054e5b4399e9ae4b6ab9d1</x:v>
      </x:c>
    </x:row>
    <x:row r="7">
      <x:c r="A7" s="20" t="str">
        <x:v>PL002_Emission_大气</x:v>
      </x:c>
      <x:c r="B7" s="20" t="str">
        <x:v>PL002</x:v>
      </x:c>
      <x:c r="C7" s="20" t="str">
        <x:v>大气污染物排放标准</x:v>
      </x:c>
      <x:c r="D7" s="25" t="str">
        <x:v>complete_with_warning</x:v>
      </x:c>
      <x:c r="E7" s="20" t="str">
        <x:v>AIR_GB31572_2015_MOD;AIR_GB14554_93;AIR_DB44_2367_2022;AIR_DB44_27_2001;AIR_GB16297_1996;AIR_GB37822_2019</x:v>
      </x:c>
      <x:c r="F7" s="20" t="str">
        <x:v>AIR_GB31572_2015_MOD;AIR_GB14554_93;AIR_DB44_2367_2022;AIR_DB44_27_2001;AIR_GB16297_1996;AIR_GB37822_2019</x:v>
      </x:c>
      <x:c r="G7" s="20" t="str"/>
      <x:c r="H7" s="20" t="str">
        <x:v>emission-standard-kb.jsonl; DB44/26-2001; DB44/2367-2022; GB31572-2015; GB14554-93; GB12348-2008; GB18597-2023; GB18599-2020</x:v>
      </x:c>
      <x:c r="I7" s="20" t="str">
        <x:v>水:无误；气:无误；噪声:无误；固废:存在缺漏</x:v>
      </x:c>
      <x:c r="J7" s="20" t="str">
        <x:v>金标字段仅在快照冻结后用于覆盖率核验。已命中必要依据；保留版本/图斑/适用边界人工复核提示。</x:v>
      </x:c>
      <x:c r="K7" s="20" t="str">
        <x:v>f18007d25e425761cd21f1d3981bbad376d7831a8dd4902c25cd4e67ca802477</x:v>
      </x:c>
    </x:row>
    <x:row r="8">
      <x:c r="A8" s="21" t="str">
        <x:v>PL002_Emission_噪声</x:v>
      </x:c>
      <x:c r="B8" s="21" t="str">
        <x:v>PL002</x:v>
      </x:c>
      <x:c r="C8" s="21" t="str">
        <x:v>噪声排放标准</x:v>
      </x:c>
      <x:c r="D8" s="25" t="str">
        <x:v>complete_with_warning</x:v>
      </x:c>
      <x:c r="E8" s="21" t="str">
        <x:v>NOISE_FOSHAN_ZONING_2024;NOISE_GB12348_2008</x:v>
      </x:c>
      <x:c r="F8" s="21" t="str">
        <x:v>NOISE_FOSHAN_ZONING_2024;NOISE_GB12348_2008</x:v>
      </x:c>
      <x:c r="G8" s="21" t="str"/>
      <x:c r="H8" s="21" t="str">
        <x:v>emission-standard-kb.jsonl; DB44/26-2001; DB44/2367-2022; GB31572-2015; GB14554-93; GB12348-2008; GB18597-2023; GB18599-2020</x:v>
      </x:c>
      <x:c r="I8" s="21" t="str">
        <x:v>水:无误；气:无误；噪声:无误；固废:存在缺漏</x:v>
      </x:c>
      <x:c r="J8" s="21" t="str">
        <x:v>金标字段仅在快照冻结后用于覆盖率核验。已命中必要依据；保留版本/图斑/适用边界人工复核提示。</x:v>
      </x:c>
      <x:c r="K8" s="21" t="str">
        <x:v>050931a64d3a7d8ee961ad44da41f87e888c062afd1a7ec3915638197727258c</x:v>
      </x:c>
    </x:row>
    <x:row r="9">
      <x:c r="A9" s="20" t="str">
        <x:v>PL002_Emission_固体</x:v>
      </x:c>
      <x:c r="B9" s="20" t="str">
        <x:v>PL002</x:v>
      </x:c>
      <x:c r="C9" s="20" t="str">
        <x:v>固体废物控制标准</x:v>
      </x:c>
      <x:c r="D9" s="25" t="str">
        <x:v>complete_with_warning</x:v>
      </x:c>
      <x:c r="E9" s="20" t="str">
        <x:v>SOLID_WASTE_LAW_2020;SOLID_GD_REG_2022;SOLID_GB18597_2023;SOLID_GB18599_2020;SOLID_HW2021_HIST;SOLID_HW2025_CURRENT;SOLID_GB34330_2017_HIST;SOLID_GB34330_2025</x:v>
      </x:c>
      <x:c r="F9" s="20" t="str">
        <x:v>SOLID_WASTE_LAW_2020;SOLID_GD_REG_2022;SOLID_GB18597_2023;SOLID_GB18599_2020;SOLID_HW2021_HIST;SOLID_HW2025_CURRENT;SOLID_GB34330_2017_HIST;SOLID_GB34330_2025</x:v>
      </x:c>
      <x:c r="G9" s="20" t="str"/>
      <x:c r="H9" s="20" t="str">
        <x:v>emission-standard-kb.jsonl; DB44/26-2001; DB44/2367-2022; GB31572-2015; GB14554-93; GB12348-2008; GB18597-2023; GB18599-2020</x:v>
      </x:c>
      <x:c r="I9" s="20" t="str">
        <x:v>水:无误；气:无误；噪声:无误；固废:存在缺漏</x:v>
      </x:c>
      <x:c r="J9" s="20" t="str">
        <x:v>金标字段仅在快照冻结后用于覆盖率核验。已命中必要依据；保留版本/图斑/适用边界人工复核提示。</x:v>
      </x:c>
      <x:c r="K9" s="20" t="str">
        <x:v>7fa5b5a92b2d8bae6b80eeda4c95bb4f5c162af355ea5a11fb4e5735e6d1aa76</x:v>
      </x:c>
    </x:row>
    <x:row r="10">
      <x:c r="A10" s="21" t="str">
        <x:v>PL003_V01_Q01</x:v>
      </x:c>
      <x:c r="B10" s="21" t="str">
        <x:v>PL003</x:v>
      </x:c>
      <x:c r="C10" s="21" t="str">
        <x:v>国民经济行业分类</x:v>
      </x:c>
      <x:c r="D10" s="23" t="str">
        <x:v>complete</x:v>
      </x:c>
      <x:c r="E10" s="21" t="str">
        <x:v>IND_GBT4754_2017</x:v>
      </x:c>
      <x:c r="F10" s="21" t="str">
        <x:v>IND_GBT4754_2017</x:v>
      </x:c>
      <x:c r="G10" s="21" t="str"/>
      <x:c r="H10" s="21" t="str">
        <x:v>报告原文；Dify工作流_标准库；标准库/经验库</x:v>
      </x:c>
      <x:c r="I10" s="21" t="str">
        <x:v>112</x:v>
      </x:c>
      <x:c r="J10" s="21" t="str">
        <x:v>金标字段仅在快照冻结后用于覆盖率核验。已命中必要依据；保留版本/图斑/适用边界人工复核提示。</x:v>
      </x:c>
      <x:c r="K10" s="21" t="str">
        <x:v>0a66529c35486375227ed1d29c09adc0741ec05d211a8b1c3af65fda014adae3</x:v>
      </x:c>
    </x:row>
    <x:row r="11">
      <x:c r="A11" s="20" t="str">
        <x:v>PL003_V01_Q03</x:v>
      </x:c>
      <x:c r="B11" s="20" t="str">
        <x:v>PL003</x:v>
      </x:c>
      <x:c r="C11" s="20" t="str">
        <x:v>环评投资概算</x:v>
      </x:c>
      <x:c r="D11" s="27" t="str">
        <x:v>not_required</x:v>
      </x:c>
      <x:c r="E11" s="20" t="str"/>
      <x:c r="F11" s="20" t="str"/>
      <x:c r="G11" s="20" t="str"/>
      <x:c r="H11" s="20" t="str">
        <x:v>报告原文-环保投资明细表</x:v>
      </x:c>
      <x:c r="I11" s="20" t="str"/>
      <x:c r="J11" s="20" t="str">
        <x:v>金标字段仅在快照冻结后用于覆盖率核验。已命中必要依据；保留版本/图斑/适用边界人工复核提示。</x:v>
      </x:c>
      <x:c r="K11" s="20" t="str">
        <x:v>e3b0c44298fc1c149afbf4c8996fb92427ae41e4649b934ca495991b7852b855</x:v>
      </x:c>
    </x:row>
    <x:row r="12">
      <x:c r="A12" s="21" t="str">
        <x:v>PL003_Emission_水污</x:v>
      </x:c>
      <x:c r="B12" s="21" t="str">
        <x:v>PL003</x:v>
      </x:c>
      <x:c r="C12" s="21" t="str">
        <x:v>水污染物排放标准</x:v>
      </x:c>
      <x:c r="D12" s="25" t="str">
        <x:v>complete_with_warning</x:v>
      </x:c>
      <x:c r="E12" s="21" t="str">
        <x:v>WATER_DB44_26_2001;WATER_GB18918_2002;WATER_GB18918_MOD2025</x:v>
      </x:c>
      <x:c r="F12" s="21" t="str">
        <x:v>WATER_DB44_26_2001;WATER_GB18918_2002;WATER_GB18918_MOD2025</x:v>
      </x:c>
      <x:c r="G12" s="21" t="str"/>
      <x:c r="H12" s="21" t="str">
        <x:v>emission-standard-kb.jsonl; DB44/26-2001; DB44/2367-2022; GB31572-2015; GB14554-93; GB12348-2008; GB18597-2023; GB18599-2020</x:v>
      </x:c>
      <x:c r="I12" s="21" t="str">
        <x:v>水:无误；气:存在错误；噪声:无误；固废:存在缺漏</x:v>
      </x:c>
      <x:c r="J12" s="21" t="str">
        <x:v>金标字段仅在快照冻结后用于覆盖率核验。已命中必要依据；保留版本/图斑/适用边界人工复核提示。</x:v>
      </x:c>
      <x:c r="K12" s="21" t="str">
        <x:v>4011e85e9d755c3f21dcf243da4782e1b351789952dcf0551bae9359e8fc28f9</x:v>
      </x:c>
    </x:row>
    <x:row r="13">
      <x:c r="A13" s="20" t="str">
        <x:v>PL003_Emission_噪声</x:v>
      </x:c>
      <x:c r="B13" s="20" t="str">
        <x:v>PL003</x:v>
      </x:c>
      <x:c r="C13" s="20" t="str">
        <x:v>噪声排放标准</x:v>
      </x:c>
      <x:c r="D13" s="25" t="str">
        <x:v>complete_with_warning</x:v>
      </x:c>
      <x:c r="E13" s="20" t="str">
        <x:v>NOISE_FOSHAN_ZONING_2024;NOISE_GB12348_2008</x:v>
      </x:c>
      <x:c r="F13" s="20" t="str">
        <x:v>NOISE_FOSHAN_ZONING_2024;NOISE_GB12348_2008</x:v>
      </x:c>
      <x:c r="G13" s="20" t="str"/>
      <x:c r="H13" s="20" t="str">
        <x:v>emission-standard-kb.jsonl; DB44/26-2001; DB44/2367-2022; GB31572-2015; GB14554-93; GB12348-2008; GB18597-2023; GB18599-2020</x:v>
      </x:c>
      <x:c r="I13" s="20" t="str">
        <x:v>水:无误；气:存在错误；噪声:无误；固废:存在缺漏</x:v>
      </x:c>
      <x:c r="J13" s="20" t="str">
        <x:v>金标字段仅在快照冻结后用于覆盖率核验。已命中必要依据；保留版本/图斑/适用边界人工复核提示。</x:v>
      </x:c>
      <x:c r="K13" s="20" t="str">
        <x:v>8e124113755e849fb3b6ae36da9674c0515a841e5c76a2cbad64f8c6edbab759</x:v>
      </x:c>
    </x:row>
    <x:row r="14">
      <x:c r="A14" s="21" t="str">
        <x:v>PL003_Emission_固体</x:v>
      </x:c>
      <x:c r="B14" s="21" t="str">
        <x:v>PL003</x:v>
      </x:c>
      <x:c r="C14" s="21" t="str">
        <x:v>固体废物控制标准</x:v>
      </x:c>
      <x:c r="D14" s="25" t="str">
        <x:v>complete_with_warning</x:v>
      </x:c>
      <x:c r="E14" s="21" t="str">
        <x:v>SOLID_WASTE_LAW_2020;SOLID_GD_REG_2022;SOLID_GB18597_2023;SOLID_GB18599_2020;SOLID_HW2021_HIST;SOLID_HW2025_CURRENT;SOLID_GB34330_2017_HIST;SOLID_GB34330_2025</x:v>
      </x:c>
      <x:c r="F14" s="21" t="str">
        <x:v>SOLID_WASTE_LAW_2020;SOLID_GD_REG_2022;SOLID_GB18597_2023;SOLID_GB18599_2020;SOLID_HW2021_HIST;SOLID_HW2025_CURRENT;SOLID_GB34330_2017_HIST;SOLID_GB34330_2025</x:v>
      </x:c>
      <x:c r="G14" s="21" t="str"/>
      <x:c r="H14" s="21" t="str">
        <x:v>emission-standard-kb.jsonl; DB44/26-2001; DB44/2367-2022; GB31572-2015; GB14554-93; GB12348-2008; GB18597-2023; GB18599-2020</x:v>
      </x:c>
      <x:c r="I14" s="21" t="str">
        <x:v>水:无误；气:存在错误；噪声:无误；固废:存在缺漏</x:v>
      </x:c>
      <x:c r="J14" s="21" t="str">
        <x:v>金标字段仅在快照冻结后用于覆盖率核验。已命中必要依据；保留版本/图斑/适用边界人工复核提示。</x:v>
      </x:c>
      <x:c r="K14" s="21" t="str">
        <x:v>859640874bfaa2281097d505c04fcecae9700c146e0bcc3eec8b480de91235f7</x:v>
      </x:c>
    </x:row>
    <x:row r="15">
      <x:c r="A15" s="20" t="str">
        <x:v>PL004_V01_Q01</x:v>
      </x:c>
      <x:c r="B15" s="20" t="str">
        <x:v>PL004</x:v>
      </x:c>
      <x:c r="C15" s="20" t="str">
        <x:v>国民经济行业分类</x:v>
      </x:c>
      <x:c r="D15" s="23" t="str">
        <x:v>complete</x:v>
      </x:c>
      <x:c r="E15" s="20" t="str">
        <x:v>IND_GBT4754_2017</x:v>
      </x:c>
      <x:c r="F15" s="20" t="str">
        <x:v>IND_GBT4754_2017</x:v>
      </x:c>
      <x:c r="G15" s="20" t="str"/>
      <x:c r="H15" s="20" t="str">
        <x:v>报告原文；Dify工作流_标准库；标准库/经验库</x:v>
      </x:c>
      <x:c r="I15" s="20" t="str">
        <x:v>112</x:v>
      </x:c>
      <x:c r="J15" s="20" t="str">
        <x:v>金标字段仅在快照冻结后用于覆盖率核验。已命中必要依据；保留版本/图斑/适用边界人工复核提示。</x:v>
      </x:c>
      <x:c r="K15" s="20" t="str">
        <x:v>381297ec4afad97ffe95f8e9475f5509dc7a48b37dbe5742d350abbdb4825fcf</x:v>
      </x:c>
    </x:row>
    <x:row r="16">
      <x:c r="A16" s="21" t="str">
        <x:v>PL004_Emission_水污</x:v>
      </x:c>
      <x:c r="B16" s="21" t="str">
        <x:v>PL004</x:v>
      </x:c>
      <x:c r="C16" s="21" t="str">
        <x:v>水污染物排放标准</x:v>
      </x:c>
      <x:c r="D16" s="29" t="str">
        <x:v>incomplete</x:v>
      </x:c>
      <x:c r="E16" s="21" t="str">
        <x:v>WATER_DB44_26_2001;WATER_GB18918_2002;WATER_GB18918_MOD2025;WATER_GBT18920_2020_METADATA</x:v>
      </x:c>
      <x:c r="F16" s="21" t="str">
        <x:v>WATER_DB44_26_2001;WATER_GB18918_2002;WATER_GB18918_MOD2025</x:v>
      </x:c>
      <x:c r="G16" s="21" t="str">
        <x:v>WATER_GBT18920_2020_METADATA</x:v>
      </x:c>
      <x:c r="H16" s="21" t="str">
        <x:v>emission-standard-kb.jsonl; DB44/26-2001; DB44/2367-2022; GB31572-2015; GB14554-93; GB12348-2008; GB18597-2023; GB18599-2020</x:v>
      </x:c>
      <x:c r="I16" s="21" t="str">
        <x:v>水:无误；气:存在缺漏；噪声:无误；固废:存在缺漏</x:v>
      </x:c>
      <x:c r="J16" s="21" t="str">
        <x:v>金标字段仅在快照冻结后用于覆盖率核验。缺少关键权威原文，不能标记complete。</x:v>
      </x:c>
      <x:c r="K16" s="21" t="str">
        <x:v>26cc2d14771e950166272fe14daf2344261526d3e91ce3597a04a84bb5943b2d</x:v>
      </x:c>
    </x:row>
    <x:row r="17">
      <x:c r="A17" s="20" t="str">
        <x:v>PL004_Emission_噪声</x:v>
      </x:c>
      <x:c r="B17" s="20" t="str">
        <x:v>PL004</x:v>
      </x:c>
      <x:c r="C17" s="20" t="str">
        <x:v>噪声排放标准</x:v>
      </x:c>
      <x:c r="D17" s="25" t="str">
        <x:v>complete_with_warning</x:v>
      </x:c>
      <x:c r="E17" s="20" t="str">
        <x:v>NOISE_FOSHAN_ZONING_2024;NOISE_GB12348_2008</x:v>
      </x:c>
      <x:c r="F17" s="20" t="str">
        <x:v>NOISE_FOSHAN_ZONING_2024;NOISE_GB12348_2008</x:v>
      </x:c>
      <x:c r="G17" s="20" t="str"/>
      <x:c r="H17" s="20" t="str">
        <x:v>emission-standard-kb.jsonl; DB44/26-2001; DB44/2367-2022; GB31572-2015; GB14554-93; GB12348-2008; GB18597-2023; GB18599-2020</x:v>
      </x:c>
      <x:c r="I17" s="20" t="str">
        <x:v>水:无误；气:存在缺漏；噪声:无误；固废:存在缺漏</x:v>
      </x:c>
      <x:c r="J17" s="20" t="str">
        <x:v>金标字段仅在快照冻结后用于覆盖率核验。已命中必要依据；保留版本/图斑/适用边界人工复核提示。</x:v>
      </x:c>
      <x:c r="K17" s="20" t="str">
        <x:v>51b7517dfb183a20078f737473490b8988263bacd365b5e0b7458edd40dbf52a</x:v>
      </x:c>
    </x:row>
    <x:row r="18">
      <x:c r="A18" s="21" t="str">
        <x:v>PL004_Emission_固体</x:v>
      </x:c>
      <x:c r="B18" s="21" t="str">
        <x:v>PL004</x:v>
      </x:c>
      <x:c r="C18" s="21" t="str">
        <x:v>固体废物控制标准</x:v>
      </x:c>
      <x:c r="D18" s="25" t="str">
        <x:v>complete_with_warning</x:v>
      </x:c>
      <x:c r="E18" s="21" t="str">
        <x:v>SOLID_WASTE_LAW_2020;SOLID_GD_REG_2022;SOLID_GB18597_2023;SOLID_GB18599_2020;SOLID_HW2021_HIST;SOLID_HW2025_CURRENT;SOLID_GB34330_2017_HIST;SOLID_GB34330_2025</x:v>
      </x:c>
      <x:c r="F18" s="21" t="str">
        <x:v>SOLID_WASTE_LAW_2020;SOLID_GD_REG_2022;SOLID_GB18597_2023;SOLID_GB18599_2020;SOLID_HW2021_HIST;SOLID_HW2025_CURRENT;SOLID_GB34330_2017_HIST;SOLID_GB34330_2025</x:v>
      </x:c>
      <x:c r="G18" s="21" t="str"/>
      <x:c r="H18" s="21" t="str">
        <x:v>emission-standard-kb.jsonl; DB44/26-2001; DB44/2367-2022; GB31572-2015; GB14554-93; GB12348-2008; GB18597-2023; GB18599-2020</x:v>
      </x:c>
      <x:c r="I18" s="21" t="str">
        <x:v>水:无误；气:存在缺漏；噪声:无误；固废:存在缺漏</x:v>
      </x:c>
      <x:c r="J18" s="21" t="str">
        <x:v>金标字段仅在快照冻结后用于覆盖率核验。已命中必要依据；保留版本/图斑/适用边界人工复核提示。</x:v>
      </x:c>
      <x:c r="K18" s="21" t="str">
        <x:v>43b43265b530e637920402fe0f97aace446650924d14fa26964df18a0611b11a</x:v>
      </x:c>
    </x:row>
    <x:row r="19">
      <x:c r="A19" s="20" t="str">
        <x:v>PL005_Emission_水污</x:v>
      </x:c>
      <x:c r="B19" s="20" t="str">
        <x:v>PL005</x:v>
      </x:c>
      <x:c r="C19" s="20" t="str">
        <x:v>水污染物排放标准</x:v>
      </x:c>
      <x:c r="D19" s="29" t="str">
        <x:v>incomplete</x:v>
      </x:c>
      <x:c r="E19" s="20" t="str">
        <x:v>WATER_DB44_26_2001;WATER_GB18918_2002;WATER_GB18918_MOD2025;WATER_GBT18920_2020_METADATA</x:v>
      </x:c>
      <x:c r="F19" s="20" t="str">
        <x:v>WATER_DB44_26_2001;WATER_GB18918_2002;WATER_GB18918_MOD2025</x:v>
      </x:c>
      <x:c r="G19" s="20" t="str">
        <x:v>WATER_GBT18920_2020_METADATA</x:v>
      </x:c>
      <x:c r="H19" s="20" t="str">
        <x:v>emission-standard-kb.jsonl; DB44/26-2001; DB44/2367-2022; GB31572-2015; GB14554-93; GB12348-2008; GB18597-2023; GB18599-2020</x:v>
      </x:c>
      <x:c r="I19" s="20" t="str">
        <x:v>水:无误；气:存在缺漏；噪声:无误；固废:存在缺漏</x:v>
      </x:c>
      <x:c r="J19" s="20" t="str">
        <x:v>金标字段仅在快照冻结后用于覆盖率核验。缺少关键权威原文，不能标记complete。</x:v>
      </x:c>
      <x:c r="K19" s="20" t="str">
        <x:v>c6a86b4506c1f21235a3a5d98e9eb2077b95bded75b9194aa3f411d4e4fe2a0c</x:v>
      </x:c>
    </x:row>
    <x:row r="20">
      <x:c r="A20" s="21" t="str">
        <x:v>PL005_Emission_噪声</x:v>
      </x:c>
      <x:c r="B20" s="21" t="str">
        <x:v>PL005</x:v>
      </x:c>
      <x:c r="C20" s="21" t="str">
        <x:v>噪声排放标准</x:v>
      </x:c>
      <x:c r="D20" s="25" t="str">
        <x:v>complete_with_warning</x:v>
      </x:c>
      <x:c r="E20" s="21" t="str">
        <x:v>NOISE_FOSHAN_ZONING_2024;NOISE_GB12348_2008</x:v>
      </x:c>
      <x:c r="F20" s="21" t="str">
        <x:v>NOISE_FOSHAN_ZONING_2024;NOISE_GB12348_2008</x:v>
      </x:c>
      <x:c r="G20" s="21" t="str"/>
      <x:c r="H20" s="21" t="str">
        <x:v>emission-standard-kb.jsonl; DB44/26-2001; DB44/2367-2022; GB31572-2015; GB14554-93; GB12348-2008; GB18597-2023; GB18599-2020</x:v>
      </x:c>
      <x:c r="I20" s="21" t="str">
        <x:v>水:无误；气:存在缺漏；噪声:无误；固废:存在缺漏</x:v>
      </x:c>
      <x:c r="J20" s="21" t="str">
        <x:v>金标字段仅在快照冻结后用于覆盖率核验。已命中必要依据；保留版本/图斑/适用边界人工复核提示。</x:v>
      </x:c>
      <x:c r="K20" s="21" t="str">
        <x:v>f050490e61f30007ff98bb809ad0d66ff576d5d009d773c39c2563ac3eedde1f</x:v>
      </x:c>
    </x:row>
    <x:row r="21">
      <x:c r="A21" s="20" t="str">
        <x:v>PL005_Emission_固体</x:v>
      </x:c>
      <x:c r="B21" s="20" t="str">
        <x:v>PL005</x:v>
      </x:c>
      <x:c r="C21" s="20" t="str">
        <x:v>固体废物控制标准</x:v>
      </x:c>
      <x:c r="D21" s="25" t="str">
        <x:v>complete_with_warning</x:v>
      </x:c>
      <x:c r="E21" s="20" t="str">
        <x:v>SOLID_WASTE_LAW_2020;SOLID_GD_REG_2022;SOLID_GB18597_2023;SOLID_GB18599_2020;SOLID_HW2021_HIST;SOLID_HW2025_CURRENT;SOLID_GB34330_2017_HIST;SOLID_GB34330_2025</x:v>
      </x:c>
      <x:c r="F21" s="20" t="str">
        <x:v>SOLID_WASTE_LAW_2020;SOLID_GD_REG_2022;SOLID_GB18597_2023;SOLID_GB18599_2020;SOLID_HW2021_HIST;SOLID_HW2025_CURRENT;SOLID_GB34330_2017_HIST;SOLID_GB34330_2025</x:v>
      </x:c>
      <x:c r="G21" s="20" t="str"/>
      <x:c r="H21" s="20" t="str">
        <x:v>emission-standard-kb.jsonl; DB44/26-2001; DB44/2367-2022; GB31572-2015; GB14554-93; GB12348-2008; GB18597-2023; GB18599-2020</x:v>
      </x:c>
      <x:c r="I21" s="20" t="str">
        <x:v>水:无误；气:存在缺漏；噪声:无误；固废:存在缺漏</x:v>
      </x:c>
      <x:c r="J21" s="20" t="str">
        <x:v>金标字段仅在快照冻结后用于覆盖率核验。已命中必要依据；保留版本/图斑/适用边界人工复核提示。</x:v>
      </x:c>
      <x:c r="K21" s="20" t="str">
        <x:v>1ac4bd463de8c59804d4d054aa9d72cd6c9061cfce025e1768059f6ed7c69518</x:v>
      </x:c>
    </x:row>
    <x:row r="22">
      <x:c r="A22" s="21" t="str">
        <x:v>PL006_EnvQuality_Q01</x:v>
      </x:c>
      <x:c r="B22" s="21" t="str">
        <x:v>PL006</x:v>
      </x:c>
      <x:c r="C22" s="21" t="str">
        <x:v>环境质量数据引用</x:v>
      </x:c>
      <x:c r="D22" s="25" t="str">
        <x:v>complete_with_warning</x:v>
      </x:c>
      <x:c r="E22" s="21" t="str">
        <x:v>ENV_SHUNDE_2022;ENV_SHUNDE_2024</x:v>
      </x:c>
      <x:c r="F22" s="21" t="str">
        <x:v>ENV_SHUNDE_2022;ENV_SHUNDE_2024</x:v>
      </x:c>
      <x:c r="G22" s="21" t="str"/>
      <x:c r="H22" s="21" t="str">
        <x:v>生态环境状况公报知识库; 收纳水体地表水执行标准</x:v>
      </x:c>
      <x:c r="I22" s="21" t="str">
        <x:v>大气:正确; 地表水:正确; 报告日期:2024-03</x:v>
      </x:c>
      <x:c r="J22" s="21" t="str">
        <x:v>金标字段仅在快照冻结后用于覆盖率核验。已命中必要依据；保留版本/图斑/适用边界人工复核提示。</x:v>
      </x:c>
      <x:c r="K22" s="21" t="str">
        <x:v>190529f864dccb6fa6951a7271fb6f6966b91f3af726e2fddbe9e83045e6a2ec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</x:cols>
  <x:sheetData>
    <x:row r="1">
      <x:c r="A1" s="31" t="str">
        <x:v>状态汇总</x:v>
      </x:c>
      <x:c r="B1" s="31" t="str">
        <x:v>状态汇总</x:v>
      </x:c>
      <x:c r="C1" s="31" t="str">
        <x:v>状态汇总</x:v>
      </x:c>
      <x:c r="D1" s="31" t="str">
        <x:v>状态汇总</x:v>
      </x:c>
    </x:row>
    <x:row r="2">
      <x:c r="A2" s="31" t="str">
        <x:v>状态汇总</x:v>
      </x:c>
      <x:c r="B2" s="31" t="str">
        <x:v>状态汇总</x:v>
      </x:c>
      <x:c r="C2" s="31" t="str">
        <x:v>状态汇总</x:v>
      </x:c>
      <x:c r="D2" s="31" t="str">
        <x:v>状态汇总</x:v>
      </x:c>
    </x:row>
    <x:row r="4">
      <x:c r="A4" s="13" t="str">
        <x:v>状态</x:v>
      </x:c>
      <x:c r="B4" s="13" t="str">
        <x:v>数量（公式）</x:v>
      </x:c>
    </x:row>
    <x:row r="5">
      <x:c r="A5" s="36" t="str">
        <x:v>complete</x:v>
      </x:c>
      <x:c r="B5" s="8" t="n">
        <x:f>COUNTIF('Coverage Review'!D2:D22,A5)</x:f>
        <x:v>4</x:v>
      </x:c>
    </x:row>
    <x:row r="6">
      <x:c r="A6" s="37" t="str">
        <x:v>complete_with_warning</x:v>
      </x:c>
      <x:c r="B6" s="8" t="n">
        <x:f>COUNTIF('Coverage Review'!D2:D22,A6)</x:f>
        <x:v>14</x:v>
      </x:c>
    </x:row>
    <x:row r="7">
      <x:c r="A7" s="38" t="str">
        <x:v>incomplete</x:v>
      </x:c>
      <x:c r="B7" s="8" t="n">
        <x:f>COUNTIF('Coverage Review'!D2:D22,A7)</x:f>
        <x:v>2</x:v>
      </x:c>
    </x:row>
    <x:row r="8">
      <x:c r="A8" s="39" t="str">
        <x:v>not_required</x:v>
      </x:c>
      <x:c r="B8" s="8" t="n">
        <x:f>COUNTIF('Coverage Review'!D2:D22,A8)</x:f>
        <x:v>1</x:v>
      </x:c>
    </x:row>
    <x:row r="9">
      <x:c r="A9" s="7" t="str">
        <x:v>合计</x:v>
      </x:c>
      <x:c r="B9" s="7" t="n">
        <x:f>SUM(B5:B8)</x:f>
        <x:v>21</x:v>
      </x:c>
    </x:row>
  </x:sheetData>
  <x:mergeCells>
    <x:mergeCell ref="A1:D2"/>
  </x:mergeCells>
  <x:pageMargins left="0.7" right="0.7" top="0.75" bottom="0.75" header="0.3" footer="0.3"/>
</x:worksheet>
</file>