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复核汇总" sheetId="1" state="visible" r:id="rId1"/>
    <sheet xmlns:r="http://schemas.openxmlformats.org/officeDocument/2006/relationships" name="QA结果" sheetId="2" state="visible" r:id="rId2"/>
    <sheet xmlns:r="http://schemas.openxmlformats.org/officeDocument/2006/relationships" name="审核明细" sheetId="3" state="visible" r:id="rId3"/>
    <sheet xmlns:r="http://schemas.openxmlformats.org/officeDocument/2006/relationships" name="水体断面对应" sheetId="4" state="visible" r:id="rId4"/>
    <sheet xmlns:r="http://schemas.openxmlformats.org/officeDocument/2006/relationships" name="审核口径与来源" sheetId="5" state="visible" r:id="rId5"/>
    <sheet xmlns:r="http://schemas.openxmlformats.org/officeDocument/2006/relationships" name="待回填seed_qa" sheetId="6" state="visible" r:id="rId6"/>
    <sheet xmlns:r="http://schemas.openxmlformats.org/officeDocument/2006/relationships" name="文件选择记录" sheetId="7" state="visible" r:id="rId7"/>
  </sheets>
  <definedNames>
    <definedName name="_xlnm._FilterDatabase" localSheetId="1" hidden="1">'QA结果'!$A$1:$P$17</definedName>
    <definedName name="_xlnm._FilterDatabase" localSheetId="2" hidden="1">'审核明细'!$A$1:$J$33</definedName>
    <definedName name="_xlnm._FilterDatabase" localSheetId="3" hidden="1">'水体断面对应'!$A$1:$I$17</definedName>
    <definedName name="_xlnm._FilterDatabase" localSheetId="5" hidden="1">'待回填seed_qa'!$A$1:$T$17</definedName>
    <definedName name="_xlnm._FilterDatabase" localSheetId="6" hidden="1">'文件选择记录'!$A$1:$G$17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4"/>
    </font>
    <font>
      <b val="1"/>
      <color rgb="00FFFFFF"/>
    </font>
  </fonts>
  <fills count="3">
    <fill>
      <patternFill/>
    </fill>
    <fill>
      <patternFill patternType="gray125"/>
    </fill>
    <fill>
      <patternFill patternType="solid">
        <fgColor rgb="001F4E78"/>
      </patternFill>
    </fill>
  </fills>
  <borders count="2">
    <border>
      <left/>
      <right/>
      <top/>
      <bottom/>
      <diagonal/>
    </border>
    <border>
      <left style="thin">
        <color rgb="00D9EAF7"/>
      </left>
      <right style="thin">
        <color rgb="00D9EAF7"/>
      </right>
      <top style="thin">
        <color rgb="00D9EAF7"/>
      </top>
      <bottom style="thin">
        <color rgb="00D9EAF7"/>
      </bottom>
    </border>
  </borders>
  <cellStyleXfs count="1">
    <xf numFmtId="0" fontId="0" fillId="0" borderId="0"/>
  </cellStyleXfs>
  <cellXfs count="5">
    <xf numFmtId="0" fontId="0" fillId="0" borderId="0" pivotButton="0" quotePrefix="0" xfId="0"/>
    <xf numFmtId="0" fontId="1" fillId="2" borderId="0" applyAlignment="1" pivotButton="0" quotePrefix="0" xfId="0">
      <alignment horizontal="center" vertical="center"/>
    </xf>
    <xf numFmtId="0" fontId="2" fillId="2" borderId="1" applyAlignment="1" pivotButton="0" quotePrefix="0" xfId="0">
      <alignment vertical="top" wrapText="1"/>
    </xf>
    <xf numFmtId="0" fontId="0" fillId="0" borderId="1" applyAlignment="1" pivotButton="0" quotePrefix="0" xfId="0">
      <alignment vertical="top" wrapText="1"/>
    </xf>
    <xf numFmtId="0" fontId="2" fillId="2"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3"/>
  <sheetViews>
    <sheetView workbookViewId="0">
      <selection activeCell="A1" sqref="A1"/>
    </sheetView>
  </sheetViews>
  <sheetFormatPr baseColWidth="8" defaultRowHeight="15"/>
  <cols>
    <col width="22" customWidth="1" min="1" max="1"/>
    <col width="75" customWidth="1" min="2" max="2"/>
    <col width="35" customWidth="1" min="3" max="3"/>
  </cols>
  <sheetData>
    <row r="1" ht="28" customHeight="1">
      <c r="A1" s="1" t="inlineStr">
        <is>
          <t>第1-2批16份环评环境质量现状数据引用复核</t>
        </is>
      </c>
    </row>
    <row r="2">
      <c r="A2" s="2" t="inlineStr">
        <is>
          <t>统计项</t>
        </is>
      </c>
      <c r="B2" s="2" t="inlineStr">
        <is>
          <t>数量/内容</t>
        </is>
      </c>
      <c r="C2" s="2" t="inlineStr">
        <is>
          <t>说明</t>
        </is>
      </c>
      <c r="D2" s="2" t="n"/>
      <c r="E2" s="2" t="n"/>
      <c r="F2" s="2" t="n"/>
      <c r="G2" s="2" t="n"/>
      <c r="H2" s="2" t="n"/>
    </row>
    <row r="3">
      <c r="A3" s="3" t="inlineStr">
        <is>
          <t>合并批次</t>
        </is>
      </c>
      <c r="B3" s="3" t="inlineStr">
        <is>
          <t>第1批6份 + 第2批10份</t>
        </is>
      </c>
      <c r="C3" s="3" t="inlineStr">
        <is>
          <t>按PL编号排序合并</t>
        </is>
      </c>
      <c r="D3" s="3" t="n"/>
      <c r="E3" s="3" t="n"/>
      <c r="F3" s="3" t="n"/>
      <c r="G3" s="3" t="n"/>
      <c r="H3" s="3" t="n"/>
    </row>
    <row r="4">
      <c r="A4" s="3" t="inlineStr">
        <is>
          <t>实际项目数</t>
        </is>
      </c>
      <c r="B4" s="3">
        <f>COUNTA('QA结果'!A2:A17)</f>
        <v/>
      </c>
      <c r="C4" s="3" t="inlineStr">
        <is>
          <t>应为16</t>
        </is>
      </c>
      <c r="D4" s="3" t="n"/>
      <c r="E4" s="3" t="n"/>
      <c r="F4" s="3" t="n"/>
      <c r="G4" s="3" t="n"/>
      <c r="H4" s="3" t="n"/>
    </row>
    <row r="5">
      <c r="A5" s="3" t="inlineStr">
        <is>
          <t>PL编号</t>
        </is>
      </c>
      <c r="B5" s="3" t="inlineStr">
        <is>
          <t>PL001、PL002、PL003、PL004、PL005、PL006、PL007、PL008、PL009、PL010、PL011、PL019、PL022、PL026、PL036、PL043</t>
        </is>
      </c>
      <c r="C5" s="3" t="inlineStr">
        <is>
          <t>来自两个批次QA结果表</t>
        </is>
      </c>
      <c r="D5" s="3" t="n"/>
      <c r="E5" s="3" t="n"/>
      <c r="F5" s="3" t="n"/>
      <c r="G5" s="3" t="n"/>
      <c r="H5" s="3" t="n"/>
    </row>
    <row r="6">
      <c r="A6" s="3" t="inlineStr">
        <is>
          <t>大气正确</t>
        </is>
      </c>
      <c r="B6" s="3">
        <f>COUNTIF('QA结果'!C2:C17,"正确")</f>
        <v/>
      </c>
      <c r="C6" s="3" t="n"/>
      <c r="D6" s="3" t="n"/>
      <c r="E6" s="3" t="n"/>
      <c r="F6" s="3" t="n"/>
      <c r="G6" s="3" t="n"/>
      <c r="H6" s="3" t="n"/>
    </row>
    <row r="7">
      <c r="A7" s="3" t="inlineStr">
        <is>
          <t>大气不正确</t>
        </is>
      </c>
      <c r="B7" s="3">
        <f>COUNTIF('QA结果'!C2:C17,"不正确")</f>
        <v/>
      </c>
      <c r="C7" s="3" t="n"/>
      <c r="D7" s="3" t="n"/>
      <c r="E7" s="3" t="n"/>
      <c r="F7" s="3" t="n"/>
      <c r="G7" s="3" t="n"/>
      <c r="H7" s="3" t="n"/>
    </row>
    <row r="8">
      <c r="A8" s="3" t="inlineStr">
        <is>
          <t>大气无法判断</t>
        </is>
      </c>
      <c r="B8" s="3">
        <f>COUNTIF('QA结果'!C2:C17,"无法判断")</f>
        <v/>
      </c>
      <c r="C8" s="3" t="n"/>
      <c r="D8" s="3" t="n"/>
      <c r="E8" s="3" t="n"/>
      <c r="F8" s="3" t="n"/>
      <c r="G8" s="3" t="n"/>
      <c r="H8" s="3" t="n"/>
    </row>
    <row r="9">
      <c r="A9" s="3" t="inlineStr">
        <is>
          <t>地表水正确</t>
        </is>
      </c>
      <c r="B9" s="3">
        <f>COUNTIF('QA结果'!D2:D17,"正确")</f>
        <v/>
      </c>
      <c r="C9" s="3" t="n"/>
      <c r="D9" s="3" t="n"/>
      <c r="E9" s="3" t="n"/>
      <c r="F9" s="3" t="n"/>
      <c r="G9" s="3" t="n"/>
      <c r="H9" s="3" t="n"/>
    </row>
    <row r="10">
      <c r="A10" s="3" t="inlineStr">
        <is>
          <t>地表水不正确</t>
        </is>
      </c>
      <c r="B10" s="3">
        <f>COUNTIF('QA结果'!D2:D17,"不正确")</f>
        <v/>
      </c>
      <c r="C10" s="3" t="n"/>
      <c r="D10" s="3" t="n"/>
      <c r="E10" s="3" t="n"/>
      <c r="F10" s="3" t="n"/>
      <c r="G10" s="3" t="n"/>
      <c r="H10" s="3" t="n"/>
    </row>
    <row r="11">
      <c r="A11" s="3" t="inlineStr">
        <is>
          <t>地表水无法判断</t>
        </is>
      </c>
      <c r="B11" s="3">
        <f>COUNTIF('QA结果'!D2:D17,"无法判断")</f>
        <v/>
      </c>
      <c r="C11" s="3" t="n"/>
      <c r="D11" s="3" t="n"/>
      <c r="E11" s="3" t="n"/>
      <c r="F11" s="3" t="n"/>
      <c r="G11" s="3" t="n"/>
      <c r="H11" s="3" t="n"/>
    </row>
    <row r="12">
      <c r="A12" s="3" t="inlineStr">
        <is>
          <t>源文件1</t>
        </is>
      </c>
      <c r="B12" s="3" t="inlineStr">
        <is>
          <t>E:\浏览器下载内容\6份环评_大气及地表水环境质量现状数据引用复核QA.xlsx</t>
        </is>
      </c>
      <c r="C12" s="3" t="n"/>
      <c r="D12" s="3" t="n"/>
      <c r="E12" s="3" t="n"/>
      <c r="F12" s="3" t="n"/>
      <c r="G12" s="3" t="n"/>
      <c r="H12" s="3" t="n"/>
    </row>
    <row r="13">
      <c r="A13" s="3" t="inlineStr">
        <is>
          <t>源文件2</t>
        </is>
      </c>
      <c r="B13" s="3" t="inlineStr">
        <is>
          <t>E:\浏览器下载内容\环境质量现状QA_第2批10份_20260724\第2批10份环评_大气及地表水环境质量现状数据引用复核QA.xlsx</t>
        </is>
      </c>
      <c r="C13" s="3" t="n"/>
      <c r="D13" s="3" t="n"/>
      <c r="E13" s="3" t="n"/>
      <c r="F13" s="3" t="n"/>
      <c r="G13" s="3" t="n"/>
      <c r="H13" s="3" t="n"/>
    </row>
  </sheetData>
  <mergeCells count="1">
    <mergeCell ref="A1:H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17"/>
  <sheetViews>
    <sheetView workbookViewId="0">
      <pane ySplit="1" topLeftCell="A2" activePane="bottomLeft" state="frozen"/>
      <selection pane="bottomLeft" activeCell="A1" sqref="A1"/>
    </sheetView>
  </sheetViews>
  <sheetFormatPr baseColWidth="8" defaultRowHeight="15"/>
  <cols>
    <col width="10" customWidth="1" min="1" max="1"/>
    <col width="34" customWidth="1" min="2" max="2"/>
    <col width="12" customWidth="1" min="3" max="3"/>
    <col width="12" customWidth="1" min="4" max="4"/>
    <col width="12" customWidth="1" min="5" max="5"/>
    <col width="38" customWidth="1" min="6" max="6"/>
    <col width="90" customWidth="1" min="7" max="7"/>
    <col width="14" customWidth="1" min="8" max="8"/>
    <col width="42" customWidth="1" min="9" max="9"/>
    <col width="42" customWidth="1" min="10" max="10"/>
    <col width="42" customWidth="1" min="11" max="11"/>
    <col width="55" customWidth="1" min="12" max="12"/>
    <col width="18" customWidth="1" min="13" max="13"/>
    <col width="45" customWidth="1" min="14" max="14"/>
    <col width="16" customWidth="1" min="15" max="15"/>
    <col width="14" customWidth="1" min="16" max="16"/>
  </cols>
  <sheetData>
    <row r="1">
      <c r="A1" s="4" t="inlineStr">
        <is>
          <t>PL</t>
        </is>
      </c>
      <c r="B1" s="4" t="inlineStr">
        <is>
          <t>项目名称</t>
        </is>
      </c>
      <c r="C1" s="4" t="inlineStr">
        <is>
          <t>大气判定</t>
        </is>
      </c>
      <c r="D1" s="4" t="inlineStr">
        <is>
          <t>地表水判定</t>
        </is>
      </c>
      <c r="E1" s="4" t="inlineStr">
        <is>
          <t>综合结论</t>
        </is>
      </c>
      <c r="F1" s="4" t="inlineStr">
        <is>
          <t>问题（q）</t>
        </is>
      </c>
      <c r="G1" s="4" t="inlineStr">
        <is>
          <t>答案（a）</t>
        </is>
      </c>
      <c r="H1" s="4" t="inlineStr">
        <is>
          <t>报告日期</t>
        </is>
      </c>
      <c r="I1" s="4" t="inlineStr">
        <is>
          <t>大气引用公报</t>
        </is>
      </c>
      <c r="J1" s="4" t="inlineStr">
        <is>
          <t>地表水引用资料</t>
        </is>
      </c>
      <c r="K1" s="4" t="inlineStr">
        <is>
          <t>证据位置</t>
        </is>
      </c>
      <c r="L1" s="4" t="inlineStr">
        <is>
          <t>原始报告文件</t>
        </is>
      </c>
      <c r="M1" s="4" t="inlineStr">
        <is>
          <t>新增question_id</t>
        </is>
      </c>
      <c r="N1" s="4" t="inlineStr">
        <is>
          <t>主要问题</t>
        </is>
      </c>
      <c r="O1" s="4" t="inlineStr">
        <is>
          <t>人工状态</t>
        </is>
      </c>
      <c r="P1" s="4" t="inlineStr">
        <is>
          <t>批次来源</t>
        </is>
      </c>
    </row>
    <row r="2" ht="95" customHeight="1">
      <c r="A2" s="3" t="inlineStr">
        <is>
          <t>PL001</t>
        </is>
      </c>
      <c r="B2" s="3" t="inlineStr">
        <is>
          <t>佛山市亮正新材料有限公司新建项目</t>
        </is>
      </c>
      <c r="C2" s="3" t="inlineStr">
        <is>
          <t>不正确</t>
        </is>
      </c>
      <c r="D2" s="3" t="inlineStr">
        <is>
          <t>不正确</t>
        </is>
      </c>
      <c r="E2" s="3" t="inlineStr">
        <is>
          <t>需修正</t>
        </is>
      </c>
      <c r="F2" s="3" t="inlineStr">
        <is>
          <t>请根据报告引用的环境质量公报及现状数据，判断大气和地表水环境质量现状数据引用是否准确。</t>
        </is>
      </c>
      <c r="G2" s="3" t="inlineStr">
        <is>
          <t>1、大气及地表水环境质量引用数据不正确；
2、项目大气环境质量引用《2022年度佛山市顺德区生态环境状况公报》。报告编制于2023年6月，该公报当时已发布且属于近3个可用年度。环评正文所述空气质量综合指数3.27、较2021年下降6.0%、全市五区排名第二，以及SO₂、NO₂、PM₁₀、PM₂.₅、CO达标、O₃超标的结论与公报一致，图3-1数值也一致；但表3-1将比较年份写为2020年、2021年，正确应为2021年、2022年，并将PM₁₀、PM₂.₅的变化率23.8%、13.6%漏写负号，正确应为-23.8%、-13.6%。项目地表水环境质量引用《2021年1—12月市控考核断面水质情况》和《2022年度佛山市顺德区生态环境状况公报》。报告明确排水路径为古齐涌—新涌大河—顺德支流，但表3-2及其后结论却摘录东海大河；原市控截图中“新涌大河”与“东海大河”为两条独立记录，正确应引用“新涌大河：2021年水质目标Ⅴ类、水质类别Ⅴ类、达标”。顺德支流新涌、飞鹅山断面2022年均为Ⅲ类，与公报一致。截至本次复核，已有《2024年度佛山市顺德区生态环境状况公报》，可供后续更新参考，但不改变对历史引用的判定。</t>
        </is>
      </c>
      <c r="H2" s="3" t="inlineStr">
        <is>
          <t>2023-06</t>
        </is>
      </c>
      <c r="I2" s="3" t="inlineStr">
        <is>
          <t>《2022年度佛山市顺德区生态环境状况公报》</t>
        </is>
      </c>
      <c r="J2" s="3" t="inlineStr">
        <is>
          <t>《2021年1—12月市控考核断面水质情况》；《2022年度佛山市顺德区生态环境状况公报》</t>
        </is>
      </c>
      <c r="K2" s="3" t="inlineStr">
        <is>
          <t>报告表第25—28页：表3-1、图3-1、表3-2、图3-2、表3-3</t>
        </is>
      </c>
      <c r="L2" s="3" t="inlineStr">
        <is>
          <t>PL001_佛山市亮正新材料有限公司新建项目_01_核查材料(1).docx</t>
        </is>
      </c>
      <c r="M2" s="3" t="n"/>
      <c r="N2" s="3" t="inlineStr">
        <is>
          <t>表3-1年份列及PM₁₀、PM₂.₅变化率符号错误；表3-2把新涌大河错摘为东海大河。</t>
        </is>
      </c>
      <c r="O2" s="3" t="n"/>
      <c r="P2" s="3" t="inlineStr">
        <is>
          <t>第1批6份</t>
        </is>
      </c>
    </row>
    <row r="3" ht="95" customHeight="1">
      <c r="A3" s="3" t="inlineStr">
        <is>
          <t>PL002</t>
        </is>
      </c>
      <c r="B3" s="3" t="inlineStr">
        <is>
          <t>佛山市顺德区启卓工程塑料实业有限公司搬迁项目</t>
        </is>
      </c>
      <c r="C3" s="3" t="inlineStr">
        <is>
          <t>正确</t>
        </is>
      </c>
      <c r="D3" s="3" t="inlineStr">
        <is>
          <t>不正确</t>
        </is>
      </c>
      <c r="E3" s="3" t="inlineStr">
        <is>
          <t>需修正</t>
        </is>
      </c>
      <c r="F3" s="3" t="inlineStr">
        <is>
          <t>请根据报告引用的环境质量公报及现状数据，判断大气和地表水环境质量现状数据引用是否准确。</t>
        </is>
      </c>
      <c r="G3" s="3" t="inlineStr">
        <is>
          <t>1、大气环境质量引用数据正确，地表水环境质量引用数据不正确；
2、项目大气环境质量引用《2022年度佛山市顺德区生态环境状况公报》（数据年度：2022）。经核对，环评中的大气环境质量分析与该公报【一致】。报告引用2022年度顺德区公报，大气综合指数、AQI或六项污染物达标结论与公报一致；部分项目未完整转出图表数值，已保留人工复核提示。
项目地表水环境质量引用《2022年度佛山市顺德区生态环境状况公报》及收纳水体地表水执行标准。项目污水处理厂、直接排入水体和最终受纳水体分别为【杏坛污水处理厂；报告写法：顺德支流；对照依据：北马涌→顺德水道（II类）】。经核对，报告采用的河流、断面、水质类别及达标结论与对照依据【不一致】。报告将杏坛污水处理厂尾水/受纳水体对应为顺德支流并引用顺德支流断面；水体资料显示杏坛污水处理厂排入水体为北马涌、受纳水体为顺德水道，应核对顺德水道相应断面。</t>
        </is>
      </c>
      <c r="H3" s="3" t="n"/>
      <c r="I3" s="3" t="inlineStr">
        <is>
          <t>《2022年度佛山市顺德区生态环境状况公报》</t>
        </is>
      </c>
      <c r="J3" s="3" t="inlineStr">
        <is>
          <t>2022/2023年度顺德区生态环境状况公报；收纳水体地表水执行标准</t>
        </is>
      </c>
      <c r="K3" s="3" t="n"/>
      <c r="L3" s="3" t="inlineStr">
        <is>
          <t>E:\华南理工项目\环评文件汇总\01_GitHub项目与研究文档\eia-openclaw-sync-chen2026\05_QA测试集\人工核查_环评报告出处整理_20260715\环评报告文件_按问答顺序\PL002_佛山市顺德区启卓工程塑料实业有限公司搬迁项目_01_核查材料.docx</t>
        </is>
      </c>
      <c r="M3" s="3" t="inlineStr">
        <is>
          <t>PL002_V01_Q11</t>
        </is>
      </c>
      <c r="N3" s="3" t="n"/>
      <c r="O3" s="3" t="inlineStr">
        <is>
          <t>待人工确认</t>
        </is>
      </c>
      <c r="P3" s="3" t="inlineStr">
        <is>
          <t>第2批10份</t>
        </is>
      </c>
    </row>
    <row r="4" ht="95" customHeight="1">
      <c r="A4" s="3" t="inlineStr">
        <is>
          <t>PL003</t>
        </is>
      </c>
      <c r="B4" s="3" t="inlineStr">
        <is>
          <t>佛山市顺德区康明新材料厂新建项目</t>
        </is>
      </c>
      <c r="C4" s="3" t="inlineStr">
        <is>
          <t>正确</t>
        </is>
      </c>
      <c r="D4" s="3" t="inlineStr">
        <is>
          <t>无法判断</t>
        </is>
      </c>
      <c r="E4" s="3" t="inlineStr">
        <is>
          <t>待复核</t>
        </is>
      </c>
      <c r="F4" s="3" t="inlineStr">
        <is>
          <t>请根据报告引用的环境质量公报及现状数据，判断大气和地表水环境质量现状数据引用是否准确。</t>
        </is>
      </c>
      <c r="G4" s="3" t="inlineStr">
        <is>
          <t>1、因缺少具体证据需复核；
2、项目大气环境质量引用《2022年度佛山市顺德区生态环境状况公报》（数据年度：2022）。经核对，环评中的大气环境质量分析与该公报【一致】。报告引用2022年度顺德区公报，大气综合指数、AQI或六项污染物达标结论与公报一致；部分项目未完整转出图表数值，已保留人工复核提示。
项目地表水环境质量引用《2022年度佛山市顺德区生态环境状况公报》及收纳水体地表水执行标准。项目污水处理厂、直接排入水体和最终受纳水体分别为【杏坛镇吉祐村红砖厂农村生活污水处理站；报告写法：顺德支流；砖厂涌；对照依据：顺德支流（农村生活污水处理站关系需核验）】。经核对，报告采用的河流、断面、水质类别及达标结论与对照依据【暂无法核验】。报告称进入杏坛镇吉祐村红砖厂农村生活污水处理站并经砖厂涌汇入顺德支流，但本地水体资料未收录该农村生活污水处理站—河涌—断面对应关系。</t>
        </is>
      </c>
      <c r="H4" s="3" t="inlineStr">
        <is>
          <t>二〇二四年三月</t>
        </is>
      </c>
      <c r="I4" s="3" t="inlineStr">
        <is>
          <t>《2022年度佛山市顺德区生态环境状况公报》</t>
        </is>
      </c>
      <c r="J4" s="3" t="inlineStr">
        <is>
          <t>2022/2023年度顺德区生态环境状况公报；收纳水体地表水执行标准</t>
        </is>
      </c>
      <c r="K4" s="3" t="n"/>
      <c r="L4" s="3" t="inlineStr">
        <is>
          <t>E:\华南理工项目\环评文件汇总\01_GitHub项目与研究文档\eia-openclaw-sync-chen2026\05_QA测试集\人工核查_环评报告出处整理_20260715\环评报告文件_按问答顺序\PL003_佛山市顺德区康明新材料厂新建项目_01_核查材料.docx</t>
        </is>
      </c>
      <c r="M4" s="3" t="inlineStr">
        <is>
          <t>PL003_V01_Q11</t>
        </is>
      </c>
      <c r="N4" s="3" t="n"/>
      <c r="O4" s="3" t="inlineStr">
        <is>
          <t>待人工确认</t>
        </is>
      </c>
      <c r="P4" s="3" t="inlineStr">
        <is>
          <t>第2批10份</t>
        </is>
      </c>
    </row>
    <row r="5" ht="95" customHeight="1">
      <c r="A5" s="3" t="inlineStr">
        <is>
          <t>PL004</t>
        </is>
      </c>
      <c r="B5" s="3" t="inlineStr">
        <is>
          <t>恒励新材料科技(佛山)有限公司新建项目</t>
        </is>
      </c>
      <c r="C5" s="3" t="inlineStr">
        <is>
          <t>正确</t>
        </is>
      </c>
      <c r="D5" s="3" t="inlineStr">
        <is>
          <t>不正确</t>
        </is>
      </c>
      <c r="E5" s="3" t="inlineStr">
        <is>
          <t>需修正</t>
        </is>
      </c>
      <c r="F5" s="3" t="inlineStr">
        <is>
          <t>请根据报告引用的环境质量公报及现状数据，判断大气和地表水环境质量现状数据引用是否准确。</t>
        </is>
      </c>
      <c r="G5" s="3" t="inlineStr">
        <is>
          <t>1、大气环境质量引用数据正确，地表水环境质量引用数据不正确；
2、项目大气环境质量引用《2022年度佛山市顺德区生态环境状况公报》（数据年度：2022）。经核对，环评中的大气环境质量分析与该公报【一致】。报告引用2022年度顺德区公报，大气综合指数、AQI或六项污染物达标结论与公报一致；部分项目未完整转出图表数值，已保留人工复核提示。
项目地表水环境质量引用《2022年度佛山市顺德区生态环境状况公报》及收纳水体地表水执行标准。项目污水处理厂、直接排入水体和最终受纳水体分别为【杏坛污水处理厂；报告写法：顺德支流；对照依据：北马涌→顺德水道（II类）】。经核对，报告采用的河流、断面、水质类别及达标结论与对照依据【不一致】。报告将杏坛污水处理厂尾水/受纳水体对应为顺德支流并引用顺德支流断面；水体资料显示杏坛污水处理厂排入水体为北马涌、受纳水体为顺德水道，应核对顺德水道相应断面。</t>
        </is>
      </c>
      <c r="H5" s="3" t="n"/>
      <c r="I5" s="3" t="inlineStr">
        <is>
          <t>《2022年度佛山市顺德区生态环境状况公报》</t>
        </is>
      </c>
      <c r="J5" s="3" t="inlineStr">
        <is>
          <t>2022/2023年度顺德区生态环境状况公报；收纳水体地表水执行标准</t>
        </is>
      </c>
      <c r="K5" s="3" t="n"/>
      <c r="L5" s="3" t="inlineStr">
        <is>
          <t>E:\华南理工项目\环评文件汇总\01_GitHub项目与研究文档\eia-openclaw-sync-chen2026\05_QA测试集\人工核查_环评报告出处整理_20260715\环评报告文件_按问答顺序\PL004_恒励新材料科技(佛山)有限公司新建项目_01_核查材料.docx</t>
        </is>
      </c>
      <c r="M5" s="3" t="inlineStr">
        <is>
          <t>PL004_V01_Q11</t>
        </is>
      </c>
      <c r="N5" s="3" t="n"/>
      <c r="O5" s="3" t="inlineStr">
        <is>
          <t>待人工确认</t>
        </is>
      </c>
      <c r="P5" s="3" t="inlineStr">
        <is>
          <t>第2批10份</t>
        </is>
      </c>
    </row>
    <row r="6" ht="95" customHeight="1">
      <c r="A6" s="3" t="inlineStr">
        <is>
          <t>PL005</t>
        </is>
      </c>
      <c r="B6" s="3" t="inlineStr">
        <is>
          <t>佛山市润特龙清洁用品有限公司新建项目</t>
        </is>
      </c>
      <c r="C6" s="3" t="inlineStr">
        <is>
          <t>无法判断</t>
        </is>
      </c>
      <c r="D6" s="3" t="inlineStr">
        <is>
          <t>不正确</t>
        </is>
      </c>
      <c r="E6" s="3" t="inlineStr">
        <is>
          <t>需修正</t>
        </is>
      </c>
      <c r="F6" s="3" t="inlineStr">
        <is>
          <t>请根据报告引用的环境质量公报及现状数据，判断大气和地表水环境质量现状数据引用是否准确。</t>
        </is>
      </c>
      <c r="G6" s="3" t="inlineStr">
        <is>
          <t>1、因缺少具体证据需复核；
2、项目大气环境质量引用未明确公报（数据年度：未明确）。经核对，环评中的大气环境质量分析与该公报【暂无法核验】。未能在DOCX机读文本中定位大气环境质量现状公报引用或关键数值。
项目地表水环境质量引用《2022年度佛山市顺德区生态环境状况公报》及收纳水体地表水执行标准。项目污水处理厂、直接排入水体和最终受纳水体分别为【杏坛污水处理厂；报告写法：顺德支流；对照依据：北马涌→顺德水道（II类）】。经核对，报告采用的河流、断面、水质类别及达标结论与对照依据【不一致】。报告将杏坛污水处理厂尾水/受纳水体对应为顺德支流并引用顺德支流断面；水体资料显示杏坛污水处理厂排入水体为北马涌、受纳水体为顺德水道，应核对顺德水道相应断面。</t>
        </is>
      </c>
      <c r="H6" s="3" t="n"/>
      <c r="I6" s="3" t="n"/>
      <c r="J6" s="3" t="inlineStr">
        <is>
          <t>2022/2023年度顺德区生态环境状况公报；收纳水体地表水执行标准</t>
        </is>
      </c>
      <c r="K6" s="3" t="n"/>
      <c r="L6" s="3" t="inlineStr">
        <is>
          <t>E:\华南理工项目\环评文件汇总\01_GitHub项目与研究文档\eia-openclaw-sync-chen2026\05_QA测试集\人工核查_环评报告出处整理_20260715\环评报告文件_按问答顺序\PL005_佛山市润特龙清洁用品有限公司新建项目_01_核查材料.docx</t>
        </is>
      </c>
      <c r="M6" s="3" t="inlineStr">
        <is>
          <t>PL005_V01_Q11</t>
        </is>
      </c>
      <c r="N6" s="3" t="n"/>
      <c r="O6" s="3" t="inlineStr">
        <is>
          <t>待人工确认</t>
        </is>
      </c>
      <c r="P6" s="3" t="inlineStr">
        <is>
          <t>第2批10份</t>
        </is>
      </c>
    </row>
    <row r="7" ht="95" customHeight="1">
      <c r="A7" s="3" t="inlineStr">
        <is>
          <t>PL006</t>
        </is>
      </c>
      <c r="B7" s="3" t="inlineStr">
        <is>
          <t>佛山市顺德区乐鲸科技有限公司年产五金拉手300万个新建项目</t>
        </is>
      </c>
      <c r="C7" s="3" t="inlineStr">
        <is>
          <t>正确</t>
        </is>
      </c>
      <c r="D7" s="3" t="inlineStr">
        <is>
          <t>不正确</t>
        </is>
      </c>
      <c r="E7" s="3" t="inlineStr">
        <is>
          <t>需修正</t>
        </is>
      </c>
      <c r="F7" s="3" t="inlineStr">
        <is>
          <t>请根据报告引用的环境质量公报及现状数据，判断大气和地表水环境质量现状数据引用是否准确。</t>
        </is>
      </c>
      <c r="G7" s="3" t="inlineStr">
        <is>
          <t>1、大气环境质量引用数据正确，地表水环境质量引用数据不正确；
2、项目大气环境质量引用《2022年度佛山市顺德区生态环境状况公报》（数据年度：2022）。经核对，环评中的大气环境质量分析与该公报【一致】。报告引用2022年度顺德区公报，大气综合指数、AQI或六项污染物达标结论与公报一致；部分项目未完整转出图表数值，已保留人工复核提示。
项目地表水环境质量引用《2022年度佛山市顺德区生态环境状况公报》及收纳水体地表水执行标准。项目污水处理厂、直接排入水体和最终受纳水体分别为【杏坛污水处理厂；报告写法：顺德支流；对照依据：北马涌→顺德水道（II类）】。经核对，报告采用的河流、断面、水质类别及达标结论与对照依据【不一致】。报告将杏坛污水处理厂尾水/受纳水体对应为顺德支流并引用顺德支流断面；水体资料显示杏坛污水处理厂排入水体为北马涌、受纳水体为顺德水道，应核对顺德水道相应断面。</t>
        </is>
      </c>
      <c r="H7" s="3" t="inlineStr">
        <is>
          <t>2024年2月</t>
        </is>
      </c>
      <c r="I7" s="3" t="inlineStr">
        <is>
          <t>《2022年度佛山市顺德区生态环境状况公报》</t>
        </is>
      </c>
      <c r="J7" s="3" t="inlineStr">
        <is>
          <t>2022/2023年度顺德区生态环境状况公报；收纳水体地表水执行标准</t>
        </is>
      </c>
      <c r="K7" s="3" t="n"/>
      <c r="L7" s="3" t="inlineStr">
        <is>
          <t>E:\华南理工项目\环评文件汇总\01_GitHub项目与研究文档\eia-openclaw-sync-chen2026\05_QA测试集\人工核查_环评报告出处整理_20260715\环评报告文件_按问答顺序\PL006_佛山市顺德区乐鲸科技有限公司年产五金拉手300万个新建项目_01_修改评估意见.docx</t>
        </is>
      </c>
      <c r="M7" s="3" t="inlineStr">
        <is>
          <t>PL006_V01_Q07</t>
        </is>
      </c>
      <c r="N7" s="3" t="n"/>
      <c r="O7" s="3" t="inlineStr">
        <is>
          <t>待人工确认</t>
        </is>
      </c>
      <c r="P7" s="3" t="inlineStr">
        <is>
          <t>第2批10份</t>
        </is>
      </c>
    </row>
    <row r="8" ht="95" customHeight="1">
      <c r="A8" s="3" t="inlineStr">
        <is>
          <t>PL007</t>
        </is>
      </c>
      <c r="B8" s="3" t="inlineStr">
        <is>
          <t>广东云晟新材料有限公司年产水性涂料2400吨新建项目</t>
        </is>
      </c>
      <c r="C8" s="3" t="inlineStr">
        <is>
          <t>正确</t>
        </is>
      </c>
      <c r="D8" s="3" t="inlineStr">
        <is>
          <t>不正确</t>
        </is>
      </c>
      <c r="E8" s="3" t="inlineStr">
        <is>
          <t>需修正</t>
        </is>
      </c>
      <c r="F8" s="3" t="inlineStr">
        <is>
          <t>请根据报告引用的环境质量公报及现状数据，判断大气和地表水环境质量现状数据引用是否准确。</t>
        </is>
      </c>
      <c r="G8" s="3" t="inlineStr">
        <is>
          <t>1、大气环境质量引用数据正确，地表水环境质量引用数据不正确；
2、项目大气环境质量引用《2021年度佛山市顺德区环境质量状况公报》（数据年度：2021）。经核对，环评中的大气环境质量分析与该公报【一致】。报告编制于2023年2月，2022年度公报尚未发布，引用2021年度公报符合时点可获得性；报告列示的SO₂、NO₂、PM₁₀、PM₂.₅、O₃、CO值与其引用内容一致。
项目地表水环境质量引用《2022年度佛山市顺德区生态环境状况公报》及收纳水体地表水执行标准。项目污水处理厂、直接排入水体和最终受纳水体分别为【杏坛污水处理厂；报告写法：顺德支流；对照依据：北马涌→顺德水道（II类）】。经核对，报告采用的河流、断面、水质类别及达标结论与对照依据【不一致】。报告将杏坛污水处理厂尾水/受纳水体对应为顺德支流并引用顺德支流断面；水体资料显示杏坛污水处理厂排入水体为北马涌、受纳水体为顺德水道，应核对顺德水道相应断面。</t>
        </is>
      </c>
      <c r="H8" s="3" t="inlineStr">
        <is>
          <t>2023年2月</t>
        </is>
      </c>
      <c r="I8" s="3" t="inlineStr">
        <is>
          <t>《2021年度佛山市顺德区环境质量状况公报》</t>
        </is>
      </c>
      <c r="J8" s="3" t="inlineStr">
        <is>
          <t>2022/2023年度顺德区生态环境状况公报；收纳水体地表水执行标准</t>
        </is>
      </c>
      <c r="K8" s="3" t="n"/>
      <c r="L8" s="3" t="inlineStr">
        <is>
          <t>E:\华南理工项目\环评文件汇总\01_GitHub项目与研究文档\eia-openclaw-sync-chen2026\05_QA测试集\人工核查_环评报告出处整理_20260715\环评报告文件_按问答顺序\PL007_广东云晟新材料有限公司年产水性涂料2400吨新建项目_01_修改评估意见.docx</t>
        </is>
      </c>
      <c r="M8" s="3" t="inlineStr">
        <is>
          <t>PL007_V01_Q07</t>
        </is>
      </c>
      <c r="N8" s="3" t="n"/>
      <c r="O8" s="3" t="inlineStr">
        <is>
          <t>待人工确认</t>
        </is>
      </c>
      <c r="P8" s="3" t="inlineStr">
        <is>
          <t>第2批10份</t>
        </is>
      </c>
    </row>
    <row r="9" ht="95" customHeight="1">
      <c r="A9" s="3" t="inlineStr">
        <is>
          <t>PL008</t>
        </is>
      </c>
      <c r="B9" s="3" t="inlineStr">
        <is>
          <t>佛山市顺德区亚马逊涂料有限公司迁扩建项目</t>
        </is>
      </c>
      <c r="C9" s="3" t="inlineStr">
        <is>
          <t>正确</t>
        </is>
      </c>
      <c r="D9" s="3" t="inlineStr">
        <is>
          <t>不正确</t>
        </is>
      </c>
      <c r="E9" s="3" t="inlineStr">
        <is>
          <t>需修正</t>
        </is>
      </c>
      <c r="F9" s="3" t="inlineStr">
        <is>
          <t>请根据报告引用的环境质量公报及现状数据，判断大气和地表水环境质量现状数据引用是否准确。</t>
        </is>
      </c>
      <c r="G9" s="3" t="inlineStr">
        <is>
          <t>1、大气环境质量引用数据正确，地表水环境质量引用数据不正确；
2、项目大气环境质量引用《2022年度佛山市顺德区生态环境状况公报》（数据年度：2022）。经核对，环评中的大气环境质量分析与该公报【一致】。报告引用2022年度顺德区公报，大气综合指数、AQI或六项污染物达标结论与公报一致；部分项目未完整转出图表数值，已保留人工复核提示。
项目地表水环境质量引用《2022年度佛山市顺德区生态环境状况公报》及收纳水体地表水执行标准。项目污水处理厂、直接排入水体和最终受纳水体分别为【杏坛污水处理厂；报告写法：顺德支流；对照依据：北马涌→顺德水道（II类）】。经核对，报告采用的河流、断面、水质类别及达标结论与对照依据【不一致】。报告将杏坛污水处理厂尾水/受纳水体对应为顺德支流并引用顺德支流断面；水体资料显示杏坛污水处理厂排入水体为北马涌、受纳水体为顺德水道，应核对顺德水道相应断面。 另，报告在引用2022年度公报后又写“2021年的水质定类为Ⅲ类”，存在年度表述错配。</t>
        </is>
      </c>
      <c r="H9" s="3" t="inlineStr">
        <is>
          <t>2023年6月</t>
        </is>
      </c>
      <c r="I9" s="3" t="inlineStr">
        <is>
          <t>《2022年度佛山市顺德区生态环境状况公报》</t>
        </is>
      </c>
      <c r="J9" s="3" t="inlineStr">
        <is>
          <t>2022/2023年度顺德区生态环境状况公报；收纳水体地表水执行标准</t>
        </is>
      </c>
      <c r="K9" s="3" t="n"/>
      <c r="L9" s="3" t="inlineStr">
        <is>
          <t>E:\华南理工项目\环评文件汇总\01_GitHub项目与研究文档\eia-openclaw-sync-chen2026\05_QA测试集\人工核查_环评报告出处整理_20260715\环评报告文件_按问答顺序\PL008_佛山市顺德区亚马逊涂料有限公司迁扩建项目_01_修改评估意见.docx</t>
        </is>
      </c>
      <c r="M9" s="3" t="inlineStr">
        <is>
          <t>PL008_V01_Q07</t>
        </is>
      </c>
      <c r="N9" s="3" t="n"/>
      <c r="O9" s="3" t="inlineStr">
        <is>
          <t>待人工确认</t>
        </is>
      </c>
      <c r="P9" s="3" t="inlineStr">
        <is>
          <t>第2批10份</t>
        </is>
      </c>
    </row>
    <row r="10" ht="95" customHeight="1">
      <c r="A10" s="3" t="inlineStr">
        <is>
          <t>PL009</t>
        </is>
      </c>
      <c r="B10" s="3" t="inlineStr">
        <is>
          <t>广东威诺高科技股份有限公司搬迁项目</t>
        </is>
      </c>
      <c r="C10" s="3" t="inlineStr">
        <is>
          <t>正确</t>
        </is>
      </c>
      <c r="D10" s="3" t="inlineStr">
        <is>
          <t>不正确</t>
        </is>
      </c>
      <c r="E10" s="3" t="inlineStr">
        <is>
          <t>需修正</t>
        </is>
      </c>
      <c r="F10" s="3" t="inlineStr">
        <is>
          <t>请根据报告引用的环境质量公报及现状数据，判断大气和地表水环境质量现状数据引用是否准确。</t>
        </is>
      </c>
      <c r="G10" s="3" t="inlineStr">
        <is>
          <t>1、大气环境质量引用数据正确，地表水环境质量引用数据不正确；
2、项目大气环境质量引用《2022年度佛山市顺德区生态环境状况公报》（数据年度：2022）。经核对，环评中的大气环境质量分析与该公报【一致】。报告引用2022年度顺德区公报，大气综合指数、AQI或六项污染物达标结论与公报一致；部分项目未完整转出图表数值，已保留人工复核提示。
项目地表水环境质量引用《2022年度佛山市顺德区生态环境状况公报》及收纳水体地表水执行标准。项目污水处理厂、直接排入水体和最终受纳水体分别为【杏坛污水处理厂；报告写法：顺德支流；对照依据：北马涌→顺德水道（II类）】。经核对，报告采用的河流、断面、水质类别及达标结论与对照依据【不一致】。报告将杏坛污水处理厂尾水/受纳水体对应为顺德支流并引用顺德支流断面；水体资料显示杏坛污水处理厂排入水体为北马涌、受纳水体为顺德水道，应核对顺德水道相应断面。 另，报告在引用2022年度公报后又写“2021年的水质定类为Ⅲ类”，存在年度表述错配。</t>
        </is>
      </c>
      <c r="H10" s="3" t="inlineStr">
        <is>
          <t>2023年7月</t>
        </is>
      </c>
      <c r="I10" s="3" t="inlineStr">
        <is>
          <t>《2022年度佛山市顺德区生态环境状况公报》</t>
        </is>
      </c>
      <c r="J10" s="3" t="inlineStr">
        <is>
          <t>2022/2023年度顺德区生态环境状况公报；收纳水体地表水执行标准</t>
        </is>
      </c>
      <c r="K10" s="3" t="n"/>
      <c r="L10" s="3" t="inlineStr">
        <is>
          <t>E:\华南理工项目\环评文件汇总\01_GitHub项目与研究文档\eia-openclaw-sync-chen2026\05_QA测试集\人工核查_环评报告出处整理_20260715\环评报告文件_按问答顺序\PL009_广东威诺高科技股份有限公司搬迁项目_01_修改评估意见.docx</t>
        </is>
      </c>
      <c r="M10" s="3" t="inlineStr">
        <is>
          <t>PL009_V01_Q07</t>
        </is>
      </c>
      <c r="N10" s="3" t="n"/>
      <c r="O10" s="3" t="inlineStr">
        <is>
          <t>待人工确认</t>
        </is>
      </c>
      <c r="P10" s="3" t="inlineStr">
        <is>
          <t>第2批10份</t>
        </is>
      </c>
    </row>
    <row r="11" ht="95" customHeight="1">
      <c r="A11" s="3" t="inlineStr">
        <is>
          <t>PL010</t>
        </is>
      </c>
      <c r="B11" s="3" t="inlineStr">
        <is>
          <t>悍高集团股份有限公司功能拉篮车间搬迁扩建项目</t>
        </is>
      </c>
      <c r="C11" s="3" t="inlineStr">
        <is>
          <t>正确</t>
        </is>
      </c>
      <c r="D11" s="3" t="inlineStr">
        <is>
          <t>不正确</t>
        </is>
      </c>
      <c r="E11" s="3" t="inlineStr">
        <is>
          <t>需修正</t>
        </is>
      </c>
      <c r="F11" s="3" t="inlineStr">
        <is>
          <t>请根据报告引用的环境质量公报及现状数据，判断大气和地表水环境质量现状数据引用是否准确。</t>
        </is>
      </c>
      <c r="G11" s="3" t="inlineStr">
        <is>
          <t>1、大气环境质量引用数据正确，地表水环境质量引用数据不正确；
2、项目大气环境质量引用《2022年度佛山市顺德区生态环境状况公报》（数据年度：2022）。经核对，环评中的大气环境质量分析与该公报【一致】。报告引用2022年度顺德区公报，大气综合指数、AQI或六项污染物达标结论与公报一致；部分项目未完整转出图表数值，已保留人工复核提示。
项目地表水环境质量引用《2022年度佛山市顺德区生态环境状况公报》及收纳水体地表水执行标准。项目污水处理厂、直接排入水体和最终受纳水体分别为【杏坛污水处理厂；报告写法：顺德支流；对照依据：北马涌→顺德水道（II类）】。经核对，报告采用的河流、断面、水质类别及达标结论与对照依据【不一致】。报告将杏坛污水处理厂尾水/受纳水体对应为顺德支流并引用顺德支流断面；水体资料显示杏坛污水处理厂排入水体为北马涌、受纳水体为顺德水道，应核对顺德水道相应断面。</t>
        </is>
      </c>
      <c r="H11" s="3" t="inlineStr">
        <is>
          <t>2023年10月</t>
        </is>
      </c>
      <c r="I11" s="3" t="inlineStr">
        <is>
          <t>《2022年度佛山市顺德区生态环境状况公报》</t>
        </is>
      </c>
      <c r="J11" s="3" t="inlineStr">
        <is>
          <t>2022/2023年度顺德区生态环境状况公报；收纳水体地表水执行标准</t>
        </is>
      </c>
      <c r="K11" s="3" t="n"/>
      <c r="L11" s="3" t="inlineStr">
        <is>
          <t>E:\华南理工项目\环评文件汇总\01_GitHub项目与研究文档\eia-openclaw-sync-chen2026\05_QA测试集\人工核查_环评报告出处整理_20260715\环评报告文件_按问答顺序\PL010_悍高集团股份有限公司功能拉篮车间搬迁扩建项目_01_修改评估意见.docx</t>
        </is>
      </c>
      <c r="M11" s="3" t="inlineStr">
        <is>
          <t>PL010_V01_Q07</t>
        </is>
      </c>
      <c r="N11" s="3" t="n"/>
      <c r="O11" s="3" t="inlineStr">
        <is>
          <t>待人工确认</t>
        </is>
      </c>
      <c r="P11" s="3" t="inlineStr">
        <is>
          <t>第2批10份</t>
        </is>
      </c>
    </row>
    <row r="12" ht="95" customHeight="1">
      <c r="A12" s="3" t="inlineStr">
        <is>
          <t>PL011</t>
        </is>
      </c>
      <c r="B12" s="3" t="inlineStr">
        <is>
          <t>广东潜龙化工有限公司新建项目</t>
        </is>
      </c>
      <c r="C12" s="3" t="inlineStr">
        <is>
          <t>正确</t>
        </is>
      </c>
      <c r="D12" s="3" t="inlineStr">
        <is>
          <t>不正确</t>
        </is>
      </c>
      <c r="E12" s="3" t="inlineStr">
        <is>
          <t>需修正</t>
        </is>
      </c>
      <c r="F12" s="3" t="inlineStr">
        <is>
          <t>请根据报告引用的环境质量公报及现状数据，判断大气和地表水环境质量现状数据引用是否准确。</t>
        </is>
      </c>
      <c r="G12" s="3" t="inlineStr">
        <is>
          <t>1、大气环境质量引用数据正确，地表水环境质量引用数据不正确；
2、项目大气环境质量引用《2022年度佛山市顺德区生态环境状况公报》（数据年度：2022）。经核对，环评中的大气环境质量分析与该公报【一致】。报告引用2022年度顺德区公报，大气综合指数、AQI或六项污染物达标结论与公报一致；部分项目未完整转出图表数值，已保留人工复核提示。
项目地表水环境质量引用《2022年度佛山市顺德区生态环境状况公报》及收纳水体地表水执行标准。项目污水处理厂、直接排入水体和最终受纳水体分别为【杏坛污水处理厂；报告写法：顺德支流；对照依据：北马涌→顺德水道（II类）】。经核对，报告采用的河流、断面、水质类别及达标结论与对照依据【不一致】。报告将杏坛污水处理厂尾水/受纳水体对应为顺德支流并引用顺德支流断面；水体资料显示杏坛污水处理厂排入水体为北马涌、受纳水体为顺德水道，应核对顺德水道相应断面。</t>
        </is>
      </c>
      <c r="H12" s="3" t="inlineStr">
        <is>
          <t>2024年3月</t>
        </is>
      </c>
      <c r="I12" s="3" t="inlineStr">
        <is>
          <t>《2022年度佛山市顺德区生态环境状况公报》</t>
        </is>
      </c>
      <c r="J12" s="3" t="inlineStr">
        <is>
          <t>2022/2023年度顺德区生态环境状况公报；收纳水体地表水执行标准</t>
        </is>
      </c>
      <c r="K12" s="3" t="n"/>
      <c r="L12" s="3" t="inlineStr">
        <is>
          <t>E:\华南理工项目\环评文件汇总\01_GitHub项目与研究文档\eia-openclaw-sync-chen2026\05_QA测试集\人工核查_环评报告出处整理_20260715\环评报告文件_按问答顺序\PL011_广东潜龙化工有限公司新建项目_01_修改评估意见.docx</t>
        </is>
      </c>
      <c r="M12" s="3" t="inlineStr">
        <is>
          <t>PL011_V01_Q07</t>
        </is>
      </c>
      <c r="N12" s="3" t="n"/>
      <c r="O12" s="3" t="inlineStr">
        <is>
          <t>待人工确认</t>
        </is>
      </c>
      <c r="P12" s="3" t="inlineStr">
        <is>
          <t>第2批10份</t>
        </is>
      </c>
    </row>
    <row r="13" ht="95" customHeight="1">
      <c r="A13" s="3" t="inlineStr">
        <is>
          <t>PL019</t>
        </is>
      </c>
      <c r="B13" s="3" t="inlineStr">
        <is>
          <t>佛山市智龙科技有限公司迁扩建项目</t>
        </is>
      </c>
      <c r="C13" s="3" t="inlineStr">
        <is>
          <t>不正确</t>
        </is>
      </c>
      <c r="D13" s="3" t="inlineStr">
        <is>
          <t>正确</t>
        </is>
      </c>
      <c r="E13" s="3" t="inlineStr">
        <is>
          <t>需修正</t>
        </is>
      </c>
      <c r="F13" s="3" t="inlineStr">
        <is>
          <t>请根据报告引用的环境质量公报及现状数据，判断大气和地表水环境质量现状数据引用是否准确。</t>
        </is>
      </c>
      <c r="G13" s="3" t="inlineStr">
        <is>
          <t>1、大气环境质量引用数据不正确，地表水环境质量引用数据正确；
2、项目大气环境质量引用《2023年度佛山市顺德区生态环境状况公报》。报告编制于2024年6月，该公报当时已发布且属于近3个可用年度。SO₂、NO₂、PM₁₀、PM₂.₅、O₃数值及O₃超标、顺德区为不达标区的结论与公报一致；但正文将CO第95百分位数日平均浓度1.0 mg/m³写成1.0 μg/m³。表3.2又把CO单位标为mg/m³，却填写1000和4000，正确写法应统一为“1.0、4.0 mg/m³”，或统一为“1000、4000 μg/m³”。项目地表水环境质量引用《2023年度佛山市顺德区生态环境状况公报》。生活污水进入勒流污水处理厂，尾水受纳水体为顺德支流，报告选取新涌断面；公报显示新涌断面2023年为Ⅲ类，顺德支流河流定类为Ⅲ类，与报告一致。截至本次复核，已有《2024年度佛山市顺德区生态环境状况公报》，可供后续更新参考。</t>
        </is>
      </c>
      <c r="H13" s="3" t="inlineStr">
        <is>
          <t>2024-06</t>
        </is>
      </c>
      <c r="I13" s="3" t="inlineStr">
        <is>
          <t>《2023年度佛山市顺德区生态环境状况公报》</t>
        </is>
      </c>
      <c r="J13" s="3" t="inlineStr">
        <is>
          <t>《2023年度佛山市顺德区生态环境状况公报》</t>
        </is>
      </c>
      <c r="K13" s="3" t="inlineStr">
        <is>
          <t>报告表第35—36页：表3.1、表3.2</t>
        </is>
      </c>
      <c r="L13" s="3" t="inlineStr">
        <is>
          <t>PL019_佛山市智龙科技有限公司迁扩建项目_01_受理公告或公示版(1).pdf</t>
        </is>
      </c>
      <c r="M13" s="3" t="n"/>
      <c r="N13" s="3" t="inlineStr">
        <is>
          <t>CO单位在正文和表3.2中均与数值量级不匹配；地表水引用正确。</t>
        </is>
      </c>
      <c r="O13" s="3" t="n"/>
      <c r="P13" s="3" t="inlineStr">
        <is>
          <t>第1批6份</t>
        </is>
      </c>
    </row>
    <row r="14" ht="95" customHeight="1">
      <c r="A14" s="3" t="inlineStr">
        <is>
          <t>PL022</t>
        </is>
      </c>
      <c r="B14" s="3" t="inlineStr">
        <is>
          <t>佛山市锐拓新材料有限公司新建项目</t>
        </is>
      </c>
      <c r="C14" s="3" t="inlineStr">
        <is>
          <t>不正确</t>
        </is>
      </c>
      <c r="D14" s="3" t="inlineStr">
        <is>
          <t>不正确</t>
        </is>
      </c>
      <c r="E14" s="3" t="inlineStr">
        <is>
          <t>需修正</t>
        </is>
      </c>
      <c r="F14" s="3" t="inlineStr">
        <is>
          <t>请根据报告引用的环境质量公报及现状数据，判断大气和地表水环境质量现状数据引用是否准确。</t>
        </is>
      </c>
      <c r="G14" s="3" t="inlineStr">
        <is>
          <t>1、大气及地表水环境质量引用数据不正确；
2、项目大气环境质量引用《2023年度佛山市顺德区生态环境状况公报》。报告编制于2024年10月，该公报当时已发布且属于近3个可用年度。报告把2022年的空气质量综合指数3.27、较2021年下降6.0%写成2023年数据，正确应为2023年综合指数3.14、较2022年下降4.0%；正文“20223年”为明显笔误。表3-1中CO单位应为mg/m³，2022年CO应为1.1 mg/m³而不是131 μg/m³；CO变化率应为-9.1%，O₃变化率应为-13.7%，报告将两者对调。项目地表水环境质量引用《2023年度佛山市顺德区生态环境状况公报》。报告称杏坛污水处理厂尾水排入顺德支流，并将杨滘断面列为顺德支流断面；用户提供的污水处理厂—受纳水体表显示该厂排污口直接排入北马涌、受纳水体为顺德水道、执行Ⅱ类标准，公报也明确杨滘属于顺德水道而非顺德支流。正确对应应为“杏坛污水处理厂—北马涌—顺德水道—杨滘断面—2023年Ⅱ类”。截至本次复核，已有《2024年度佛山市顺德区生态环境状况公报》，可供后续更新参考。</t>
        </is>
      </c>
      <c r="H14" s="3" t="inlineStr">
        <is>
          <t>2024-10</t>
        </is>
      </c>
      <c r="I14" s="3" t="inlineStr">
        <is>
          <t>《2023年度佛山市顺德区生态环境状况公报》</t>
        </is>
      </c>
      <c r="J14" s="3" t="inlineStr">
        <is>
          <t>《2023年度佛山市顺德区生态环境状况公报》</t>
        </is>
      </c>
      <c r="K14" s="3" t="inlineStr">
        <is>
          <t>报告表第24—25页：表3-1、图3-1、表3-2</t>
        </is>
      </c>
      <c r="L14" s="3" t="inlineStr">
        <is>
          <t>PL022_佛山市锐拓新材料有限公司新建项目_01_受理公告或公示版(1).pdf</t>
        </is>
      </c>
      <c r="M14" s="3" t="n"/>
      <c r="N14" s="3" t="inlineStr">
        <is>
          <t>大气综合指数和年份混入2022年数据，CO/O₃表格错位；杏坛污水处理厂受纳水体及杨滘断面所属河流错配。</t>
        </is>
      </c>
      <c r="O14" s="3" t="n"/>
      <c r="P14" s="3" t="inlineStr">
        <is>
          <t>第1批6份</t>
        </is>
      </c>
    </row>
    <row r="15" ht="95" customHeight="1">
      <c r="A15" s="3" t="inlineStr">
        <is>
          <t>PL026</t>
        </is>
      </c>
      <c r="B15" s="3" t="inlineStr">
        <is>
          <t>佛山市黑曜电器科技有限公司新建项目</t>
        </is>
      </c>
      <c r="C15" s="3" t="inlineStr">
        <is>
          <t>正确</t>
        </is>
      </c>
      <c r="D15" s="3" t="inlineStr">
        <is>
          <t>不正确</t>
        </is>
      </c>
      <c r="E15" s="3" t="inlineStr">
        <is>
          <t>需修正</t>
        </is>
      </c>
      <c r="F15" s="3" t="inlineStr">
        <is>
          <t>请根据报告引用的环境质量公报及现状数据，判断大气和地表水环境质量现状数据引用是否准确。</t>
        </is>
      </c>
      <c r="G15" s="3" t="inlineStr">
        <is>
          <t>1、大气环境质量引用数据正确，地表水环境质量引用数据不正确；
2、项目大气环境质量引用《2023年度佛山市顺德区生态环境状况公报》。报告编制于2024年10月，该公报当时已发布且属于近3个可用年度。所列SO₂ 6 μg/m³、NO₂ 28 μg/m³、PM₁₀ 35 μg/m³、PM₂.₅ 20 μg/m³、O₃ 164 μg/m³、CO 1.0 mg/m³，以及O₃超标、顺德区为不达标区的结论均与公报一致。项目地表水环境质量引用《2023年度佛山市顺德区生态环境状况公报》。生活污水进入容桂第一污水处理厂、尾水排入桂洲水道、执行Ⅲ类标准的关系与用户提供的受纳水体表一致；但表3-1把细滘大桥断面归入桂洲水道。公报中细滘大桥属于鸡鸦水道，桂州水道对应断面为南头大桥。正确内容应为“桂州水道—南头大桥—2023年断面定类Ⅱ类—水质评价标准Ⅲ类—河流定类Ⅱ类”。截至本次复核，已有《2024年度佛山市顺德区生态环境状况公报》，可供后续更新参考。</t>
        </is>
      </c>
      <c r="H15" s="3" t="inlineStr">
        <is>
          <t>2024-10</t>
        </is>
      </c>
      <c r="I15" s="3" t="inlineStr">
        <is>
          <t>《2023年度佛山市顺德区生态环境状况公报》</t>
        </is>
      </c>
      <c r="J15" s="3" t="inlineStr">
        <is>
          <t>《2023年度佛山市顺德区生态环境状况公报》</t>
        </is>
      </c>
      <c r="K15" s="3" t="inlineStr">
        <is>
          <t>报告表第28—29页：图3-1、表3-1</t>
        </is>
      </c>
      <c r="L15" s="3" t="inlineStr">
        <is>
          <t>PL026_佛山市黑曜电器科技有限公司新建项目_01_报批稿或报告表(1).pdf</t>
        </is>
      </c>
      <c r="M15" s="3" t="n"/>
      <c r="N15" s="3" t="inlineStr">
        <is>
          <t>大气引用正确；表3-1把鸡鸦水道的细滘大桥断面错配给桂洲（桂州）水道。</t>
        </is>
      </c>
      <c r="O15" s="3" t="n"/>
      <c r="P15" s="3" t="inlineStr">
        <is>
          <t>第1批6份</t>
        </is>
      </c>
    </row>
    <row r="16" ht="95" customHeight="1">
      <c r="A16" s="3" t="inlineStr">
        <is>
          <t>PL036</t>
        </is>
      </c>
      <c r="B16" s="3" t="inlineStr">
        <is>
          <t>广东梅州磁性材料有限公司顺德分公司迁扩建项目</t>
        </is>
      </c>
      <c r="C16" s="3" t="inlineStr">
        <is>
          <t>正确</t>
        </is>
      </c>
      <c r="D16" s="3" t="inlineStr">
        <is>
          <t>正确</t>
        </is>
      </c>
      <c r="E16" s="3" t="inlineStr">
        <is>
          <t>正确</t>
        </is>
      </c>
      <c r="F16" s="3" t="inlineStr">
        <is>
          <t>请根据报告引用的环境质量公报及现状数据，判断大气和地表水环境质量现状数据引用是否准确。</t>
        </is>
      </c>
      <c r="G16" s="3" t="inlineStr">
        <is>
          <t>1、大气及地表水环境质量引用数据正确；
2、项目大气环境质量引用《2023年度佛山市顺德区生态环境状况公报》。报告编制于2024年10月，该公报当时已发布且属于近3个可用年度。空气质量综合指数3.14、较2022年下降4.0%、AQI达标率87.4%、首要污染物占比、六项污染物浓度及变化率、O₃超标和不达标区结论均与公报一致。项目地表水环境质量引用《2023年度佛山市顺德区生态环境状况公报》。生活污水进入均安污水处理厂，尾水受纳水体为海洲水道，执行Ⅲ类标准；报告采用古镇水道鹅洋沙断面进行评价。政府水利资料明确使用“海洲水道（古镇水道）”这一别名关系，公报显示鹅洋沙断面2023年为Ⅱ类、古镇水道河流定类为Ⅱ类，达到Ⅲ类水质目标，因此引用正确。截至本次复核，已有《2024年度佛山市顺德区生态环境状况公报》，可供后续更新参考。</t>
        </is>
      </c>
      <c r="H16" s="3" t="inlineStr">
        <is>
          <t>2024-10</t>
        </is>
      </c>
      <c r="I16" s="3" t="inlineStr">
        <is>
          <t>《2023年度佛山市顺德区生态环境状况公报》</t>
        </is>
      </c>
      <c r="J16" s="3" t="inlineStr">
        <is>
          <t>《2023年度佛山市顺德区生态环境状况公报》</t>
        </is>
      </c>
      <c r="K16" s="3" t="inlineStr">
        <is>
          <t>报告表第42—45页：图3-1、图3-2、图3-3</t>
        </is>
      </c>
      <c r="L16" s="3" t="inlineStr">
        <is>
          <t>PL036_广东梅州磁性材料有限公司顺德分公司迁扩建项目_01_受理公告或公示版(1).pdf</t>
        </is>
      </c>
      <c r="M16" s="3" t="n"/>
      <c r="N16" s="3" t="inlineStr">
        <is>
          <t>大气数据全部对应；海洲水道与古镇水道为同一河段的规范别名关系，鹅洋沙断面对应正确。</t>
        </is>
      </c>
      <c r="O16" s="3" t="n"/>
      <c r="P16" s="3" t="inlineStr">
        <is>
          <t>第1批6份</t>
        </is>
      </c>
    </row>
    <row r="17" ht="95" customHeight="1">
      <c r="A17" s="3" t="inlineStr">
        <is>
          <t>PL043</t>
        </is>
      </c>
      <c r="B17" s="3" t="inlineStr">
        <is>
          <t>佛山市益旭电器有限公司新建项目</t>
        </is>
      </c>
      <c r="C17" s="3" t="inlineStr">
        <is>
          <t>正确</t>
        </is>
      </c>
      <c r="D17" s="3" t="inlineStr">
        <is>
          <t>正确</t>
        </is>
      </c>
      <c r="E17" s="3" t="inlineStr">
        <is>
          <t>正确</t>
        </is>
      </c>
      <c r="F17" s="3" t="inlineStr">
        <is>
          <t>请根据报告引用的环境质量公报及现状数据，判断大气和地表水环境质量现状数据引用是否准确。</t>
        </is>
      </c>
      <c r="G17" s="3" t="inlineStr">
        <is>
          <t>1、大气及地表水环境质量引用数据正确；
2、项目大气环境质量引用《2023年度佛山市顺德区生态环境状况公报》。报告编制于2024年10月，该公报当时已发布且属于近3个可用年度。报告所述SO₂、NO₂、PM₁₀、PM₂.₅和CO达到二级标准、O₃超标以及顺德区为不达标区的结论与公报一致。项目地表水环境质量引用《2023年度佛山市顺德区生态环境状况公报》。生活污水进入五沙污水处理厂，尾水排入洪奇沥水道，执行Ⅲ类标准；用户提供的受纳水体表与报告一致。公报显示洪奇沥高黎断面2023年为Ⅱ类、洪奇沥河流定类为Ⅱ类，达到Ⅲ类水质目标，报告引用正确。截至本次复核，已有《2024年度佛山市顺德区生态环境状况公报》，可供后续更新参考。</t>
        </is>
      </c>
      <c r="H17" s="3" t="inlineStr">
        <is>
          <t>2024-10</t>
        </is>
      </c>
      <c r="I17" s="3" t="inlineStr">
        <is>
          <t>《2023年度佛山市顺德区生态环境状况公报》</t>
        </is>
      </c>
      <c r="J17" s="3" t="inlineStr">
        <is>
          <t>《2023年度佛山市顺德区生态环境状况公报》</t>
        </is>
      </c>
      <c r="K17" s="3" t="inlineStr">
        <is>
          <t>报告表第23—25页：图3-1、表3-1</t>
        </is>
      </c>
      <c r="L17" s="3" t="inlineStr">
        <is>
          <t>PL043_佛山市益旭电器有限公司新建项目_01_受理公告或公示版(2).pdf</t>
        </is>
      </c>
      <c r="M17" s="3" t="n"/>
      <c r="N17" s="3" t="inlineStr">
        <is>
          <t>大气结论与公报一致；五沙污水处理厂—洪奇沥水道—高黎断面对应正确。</t>
        </is>
      </c>
      <c r="O17" s="3" t="n"/>
      <c r="P17" s="3" t="inlineStr">
        <is>
          <t>第1批6份</t>
        </is>
      </c>
    </row>
  </sheetData>
  <autoFilter ref="A1:P17"/>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33"/>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42" customWidth="1" min="3" max="3"/>
    <col width="42" customWidth="1" min="4" max="4"/>
    <col width="12" customWidth="1" min="5" max="5"/>
    <col width="42" customWidth="1" min="6" max="6"/>
    <col width="42" customWidth="1" min="7" max="7"/>
    <col width="12" customWidth="1" min="8" max="8"/>
    <col width="42" customWidth="1" min="9" max="9"/>
    <col width="42" customWidth="1" min="10" max="10"/>
  </cols>
  <sheetData>
    <row r="1">
      <c r="A1" s="4" t="inlineStr">
        <is>
          <t>PL</t>
        </is>
      </c>
      <c r="B1" s="4" t="inlineStr">
        <is>
          <t>环境要素</t>
        </is>
      </c>
      <c r="C1" s="4" t="inlineStr">
        <is>
          <t>报告主张</t>
        </is>
      </c>
      <c r="D1" s="4" t="inlineStr">
        <is>
          <t>知识/标准对照</t>
        </is>
      </c>
      <c r="E1" s="4" t="inlineStr">
        <is>
          <t>比对状态</t>
        </is>
      </c>
      <c r="F1" s="4" t="inlineStr">
        <is>
          <t>差异或正确内容</t>
        </is>
      </c>
      <c r="G1" s="4" t="inlineStr">
        <is>
          <t>报告证据位置</t>
        </is>
      </c>
      <c r="H1" s="4" t="inlineStr">
        <is>
          <t>知识ID</t>
        </is>
      </c>
      <c r="I1" s="4" t="inlineStr">
        <is>
          <t>知识证据位置</t>
        </is>
      </c>
      <c r="J1" s="4" t="inlineStr">
        <is>
          <t>复核备注</t>
        </is>
      </c>
    </row>
    <row r="2">
      <c r="A2" s="3" t="inlineStr">
        <is>
          <t>PL001</t>
        </is>
      </c>
      <c r="B2" s="3" t="inlineStr">
        <is>
          <t>地表水</t>
        </is>
      </c>
      <c r="C2" s="3" t="inlineStr">
        <is>
          <t>排水路径为新涌大河，但表3-2摘录东海大河；顺德支流新涌、飞鹅山为Ⅲ类</t>
        </is>
      </c>
      <c r="D2" s="3" t="inlineStr">
        <is>
          <t>市控截图中“新涌大河”和“东海大河”为独立记录；新涌大河为Ⅴ类且达标；2022公报新涌、飞鹅山均为Ⅲ类</t>
        </is>
      </c>
      <c r="E2" s="3" t="inlineStr">
        <is>
          <t>wrong_scope</t>
        </is>
      </c>
      <c r="F2" s="3" t="inlineStr">
        <is>
          <t>表3-2应引用新涌大河，不应引用东海大河；顺德支流部分保持不变</t>
        </is>
      </c>
      <c r="G2" s="3" t="inlineStr">
        <is>
          <t>第26—28页，表3-2/图3-2/表3-3</t>
        </is>
      </c>
      <c r="H2" s="3" t="inlineStr">
        <is>
          <t>K-2022-WATER</t>
        </is>
      </c>
      <c r="I2" s="3" t="inlineStr">
        <is>
          <t>公报PDF第5—6页</t>
        </is>
      </c>
      <c r="J2" s="3" t="inlineStr">
        <is>
          <t>市控原始截图嵌入报告，可直接识别新涌大河记录</t>
        </is>
      </c>
    </row>
    <row r="3">
      <c r="A3" s="3" t="inlineStr">
        <is>
          <t>PL001</t>
        </is>
      </c>
      <c r="B3" s="3" t="inlineStr">
        <is>
          <t>大气</t>
        </is>
      </c>
      <c r="C3" s="3" t="inlineStr">
        <is>
          <t>综合指数3.27；六项污染物结论正确；表3-1年份为2020/2021，PM₁₀和PM₂.₅变化率为+23.8%/+13.6%</t>
        </is>
      </c>
      <c r="D3" s="3" t="inlineStr">
        <is>
          <t>2022公报：比较年份2021/2022；PM₁₀、PM₂.₅较2021年下降23.8%、13.6%</t>
        </is>
      </c>
      <c r="E3" s="3" t="inlineStr">
        <is>
          <t>conflict</t>
        </is>
      </c>
      <c r="F3" s="3" t="inlineStr">
        <is>
          <t>表3-1年份列应改为2021/2022；变化率应改为-23.8%、-13.6%</t>
        </is>
      </c>
      <c r="G3" s="3" t="inlineStr">
        <is>
          <t>第25—26页，表3-1/图3-1</t>
        </is>
      </c>
      <c r="H3" s="3" t="inlineStr">
        <is>
          <t>K-2022-AIR</t>
        </is>
      </c>
      <c r="I3" s="3" t="inlineStr">
        <is>
          <t>公报PDF第2—3页</t>
        </is>
      </c>
      <c r="J3" s="3" t="inlineStr">
        <is>
          <t>正文和图3-1正确，错误集中在表3-1</t>
        </is>
      </c>
    </row>
    <row r="4">
      <c r="A4" s="3" t="inlineStr">
        <is>
          <t>PL002</t>
        </is>
      </c>
      <c r="B4" s="3" t="inlineStr">
        <is>
          <t>地表水</t>
        </is>
      </c>
      <c r="C4" s="3" t="inlineStr">
        <is>
          <t>/ 表3-1  2022年顺德区（国控测点）环境空气污染物浓度水平年度比较 / （CO单位为毫克/立方米，其余为微克/立方米） / 由2022年全区的大气环境质量状况公报可知，除臭氧浓度不达标外，其余污染物指标浓度均达到《环境空气质量标准》（GB3095-2012）二级标准限值。 / （2）空气质量不达标区规划 / 为实现佛山市区域内O3达到《环境空气质量标准》（GB3095-2012）二级标准限值，佛山市近年有序推进环境敏感区和城市中心城区的工业企业搬迁和环保改造；大力推进天然气、电等清洁能源及可再生能源发展，加快气源工程和天然气管网项目建设，扩大我市天然气供应范围、规模和供应高保障能力；深化挥发性有机物治理。鼓励重点行业企业开展生产工艺和设备水性化改造，加大水性涂料、粉末涂料等绿色、低挥发性涂料产品使用，加快涂料水性化进程，将挥发性有机物重点行业企业纳入清洁生产审核行动工作重点。 / 2、地表水环境 / 本项目属于杏坛生活污水处理厂纳污范围，生活污水经三级化粪池预处理后排入杏坛生活污水处理厂处理后尾水排入顺德支流。根据《佛山市生态环境局顺德分局关于发布2022年度佛山市顺德区生态环</t>
        </is>
      </c>
      <c r="D4" s="3" t="inlineStr">
        <is>
          <t>收纳水体地表水执行标准：杏坛污水处理厂排污口排入水体为北马涌，受纳水体为顺德水道，地表水评价标准II类。</t>
        </is>
      </c>
      <c r="E4" s="3" t="inlineStr">
        <is>
          <t>wrong_scope</t>
        </is>
      </c>
      <c r="F4" s="3" t="inlineStr">
        <is>
          <t>报告将杏坛污水处理厂尾水/受纳水体对应为顺德支流并引用顺德支流断面；水体资料显示杏坛污水处理厂排入水体为北马涌、受纳水体为顺德水道，应核对顺德水道相应断面。</t>
        </is>
      </c>
      <c r="G4" s="3" t="inlineStr">
        <is>
          <t>DOCX正文，三、区域环境质量现状、环境保护目标及评价标准（报告表第42页起），地表水环境质量现状段</t>
        </is>
      </c>
      <c r="H4" s="3" t="inlineStr">
        <is>
          <t>K-WATER-RECEIVING-BODY</t>
        </is>
      </c>
      <c r="I4" s="3" t="inlineStr">
        <is>
          <t>E:\华南理工项目\环评文件汇总\01_GitHub项目与研究文档\eia-openclaw-sync-chen2026\03_指南解析_明文标准库\Dify工作流知识库\#7_收纳水体地表水执行标准.csv；D:\华南理工项目\智慧环评\智能审核\6、环境质量现状数据引用是否有误\所需材料\（顺德区）2022年度佛山市顺德区生态环境状况公报.pdf；D:\华南理工项目\智慧环评\智能审核\6、环境质量现状数据引用是否有误\所需材料\（顺德区）2023年度佛山市顺德区生态环境状况公报.pdf</t>
        </is>
      </c>
      <c r="J4" s="3" t="inlineStr">
        <is>
          <t>不自行推断未收录的农村处理站关系</t>
        </is>
      </c>
    </row>
    <row r="5">
      <c r="A5" s="3" t="inlineStr">
        <is>
          <t>PL002</t>
        </is>
      </c>
      <c r="B5" s="3" t="inlineStr">
        <is>
          <t>大气</t>
        </is>
      </c>
      <c r="C5" s="3" t="inlineStr">
        <is>
          <t>部门的要求落实好环保设施，生活污水、废气、一般固体废物及危险废物均落实相应治理措施。到现在为止，项目未收到环保方面的投诉，未对周围环境造成明显影响。 / （6）与项目搬迁前有关的主要环境问题及整改措施 / 表2-14 项目搬迁前主要环境问题及整改措施 / 三、区域环境质量现状、环境保护目标及评价标准 / [[TABLE]] / 区域 / 环境 / 质量 / 现状 | 大气环境 / 根据《佛山市人民政府办公室关于调整顺德区环境空气质量功能区划的复函》（佛府办函[2014]494号，2014年8月）和《顺德区生态环境规划（2011~2020年）》，顺德区全境为大气环境二类区，因此本项目所在区域属二类环境空气质量功能区，执行《环境空气质量标准》（GB3095-2012）及2018年修改单二级标准。 / （1）空气质量达标区判定 / 根据《佛山市生态环境局顺德分局关于发布2022年度佛山市顺德区生态环境状况公报的通知（佛环顺函〔2023〕26号）》，2022年顺德区空气质量综合指数为3.27，比2021年下降6.0%，在全市五区中排名第二。按照《环境空气质量标准》评价，2022年顺德区二氧化硫</t>
        </is>
      </c>
      <c r="D5" s="3" t="inlineStr">
        <is>
          <t>综合指数3.27，较2021年下降6.0%；AQI达标率78.8%，较2021年减少5.9个百分点；SO₂ 5、NO₂ 29、PM₁₀ 32、PM₂.₅ 19 μg/m³，O₃ 190 μg/m³，CO 1.1 mg/m³；O₃超标，其余达标</t>
        </is>
      </c>
      <c r="E5" s="3" t="inlineStr">
        <is>
          <t>exact</t>
        </is>
      </c>
      <c r="F5" s="3" t="inlineStr">
        <is>
          <t>报告引用2022年度顺德区公报，大气综合指数、AQI或六项污染物达标结论与公报一致；部分项目未完整转出图表数值，已保留人工复核提示。</t>
        </is>
      </c>
      <c r="G5" s="3" t="inlineStr">
        <is>
          <t>DOCX正文，三、区域环境质量现状、环境保护目标及评价标准（报告表第42页起），表3-1/空气质量现状段</t>
        </is>
      </c>
      <c r="H5" s="3" t="inlineStr">
        <is>
          <t>K-AIR-2022</t>
        </is>
      </c>
      <c r="I5" s="3" t="inlineStr">
        <is>
          <t>D:\华南理工项目\智慧环评\智能审核\6、环境质量现状数据引用是否有误\所需材料\（顺德区）2022年度佛山市顺德区生态环境状况公报.pdf；PDF第2—3页</t>
        </is>
      </c>
      <c r="J5" s="3" t="inlineStr">
        <is>
          <t>机器抽取，需人工复核图表是否完整</t>
        </is>
      </c>
    </row>
    <row r="6">
      <c r="A6" s="3" t="inlineStr">
        <is>
          <t>PL003</t>
        </is>
      </c>
      <c r="B6" s="3" t="inlineStr">
        <is>
          <t>地表水</t>
        </is>
      </c>
      <c r="C6" s="3" t="inlineStr">
        <is>
          <t>位置环境空气质量现状较差，项目位于不达标区。 / 1.3达标规划 / O3的主要来源分为天然来源（平流层 O3的注入）和人为来源（机动车尾气、天然气燃烧等排放的 NOx与 VOCs 等污染物反应产生），O3的浓度是逐年升高的，每年大约升高 1.6%，O3环境浓度升高的原因是 NOx与 VOCs 等污染物的浓度增加。为实现佛山市区域内 O3达到《环境空气质量标准》（GB3095-2012）二级标准限值，佛山市近年有序推进环境敏感区和城市中心城区的工业企业搬迁和环保改造；大力推进天然气、电等清洁能源及可再生能源发展，加快气源工程和天然气管网项目建设，扩大我市天然气供应范围、规模和供应高保障能力；深化挥发性有机物治理。鼓励重点行业企业开展生产工艺和设备水性化改造，加大水性涂料、粉末涂料等绿色、低挥发性涂料产品使用，加快涂料水性化进程，将挥发性有机物重点行业企业纳入清洁生产审核行动工作重点。 / 2、地表水环境 / 本项目所处位置属于杏坛镇吉祐村红砖厂农村生活污水处理站纳污范围，生活污水经预处理后排入杏坛镇吉祐村红砖厂农村生活污水处理站处理，尾水排至内河涌（砖厂涌）后排入其他内河涌，然后汇入顺</t>
        </is>
      </c>
      <c r="D6" s="3" t="inlineStr">
        <is>
          <t>2022、2023年度公报表2：顺德支流新涌、飞鹅山断面均为Ⅲ类，河流定类Ⅲ类，达到Ⅲ类水质目标。</t>
        </is>
      </c>
      <c r="E6" s="3" t="inlineStr">
        <is>
          <t>missing_in_kb</t>
        </is>
      </c>
      <c r="F6" s="3" t="inlineStr">
        <is>
          <t>报告称进入杏坛镇吉祐村红砖厂农村生活污水处理站并经砖厂涌汇入顺德支流，但本地水体资料未收录该农村生活污水处理站—河涌—断面对应关系。</t>
        </is>
      </c>
      <c r="G6" s="3" t="inlineStr">
        <is>
          <t>DOCX正文，三、区域环境质量现状、环境保护目标及评价标准，地表水环境质量现状段</t>
        </is>
      </c>
      <c r="H6" s="3" t="inlineStr">
        <is>
          <t>K-WATER-RECEIVING-BODY</t>
        </is>
      </c>
      <c r="I6" s="3" t="inlineStr">
        <is>
          <t>E:\华南理工项目\环评文件汇总\01_GitHub项目与研究文档\eia-openclaw-sync-chen2026\03_指南解析_明文标准库\Dify工作流知识库\#7_收纳水体地表水执行标准.csv；D:\华南理工项目\智慧环评\智能审核\6、环境质量现状数据引用是否有误\所需材料\（顺德区）2022年度佛山市顺德区生态环境状况公报.pdf；D:\华南理工项目\智慧环评\智能审核\6、环境质量现状数据引用是否有误\所需材料\（顺德区）2023年度佛山市顺德区生态环境状况公报.pdf</t>
        </is>
      </c>
      <c r="J6" s="3" t="inlineStr">
        <is>
          <t>不自行推断未收录的农村处理站关系</t>
        </is>
      </c>
    </row>
    <row r="7">
      <c r="A7" s="3" t="inlineStr">
        <is>
          <t>PL003</t>
        </is>
      </c>
      <c r="B7" s="3" t="inlineStr">
        <is>
          <t>大气</t>
        </is>
      </c>
      <c r="C7" s="3" t="inlineStr">
        <is>
          <t>状及达标区判定 / 根据《关于调整顺德区环境空气质量功能区划的复函》（佛府办函〔2014〕494号，2014年8月），项目所在地为大气环境二类功能区，执行《环境空气质量标准》（GB3095-2012）及其修改单二级标准。 / 为评价本项目所在区域环境空气质量达标情况，引用《佛山市生态环境局顺德分局关于发布2022年度佛山市顺德区生态环境状况公报的通知》（佛顺环函〔2023〕26号）中附件《2022年度佛山市顺德区环境质量状况公报》数据，评价指标为二氧化硫（SO2）、二氧化氮（NO2）、PM10、PM2.5、一氧化碳CO和臭氧O3。该地区空气质量执行《环境空气质量标准》（GB3095-2012）及其修改单二级标准，基本污染物环境质量现状评价如下： / 表3-1   2022年顺德区（国控测点）环境空气质量现状评价表 / 根据《2022年佛山市顺德区环境质量状况公报》中的数据和结论，2022年佛山市顺德区内二氧化硫（SO2）、二氧化氮（NO2）、PM10、PM2.5、一氧化碳CO评价指标均符合《环境空气质量标准》（GB3095-2012）及其修改单二级标准的要求；臭氧O3评价指标未符合《环</t>
        </is>
      </c>
      <c r="D7" s="3" t="inlineStr">
        <is>
          <t>综合指数3.27，较2021年下降6.0%；AQI达标率78.8%，较2021年减少5.9个百分点；SO₂ 5、NO₂ 29、PM₁₀ 32、PM₂.₅ 19 μg/m³，O₃ 190 μg/m³，CO 1.1 mg/m³；O₃超标，其余达标</t>
        </is>
      </c>
      <c r="E7" s="3" t="inlineStr">
        <is>
          <t>exact</t>
        </is>
      </c>
      <c r="F7" s="3" t="inlineStr">
        <is>
          <t>报告引用2022年度顺德区公报，大气综合指数、AQI或六项污染物达标结论与公报一致；部分项目未完整转出图表数值，已保留人工复核提示。</t>
        </is>
      </c>
      <c r="G7" s="3" t="inlineStr">
        <is>
          <t>DOCX正文，三、区域环境质量现状、环境保护目标及评价标准，表3-1/空气质量现状段</t>
        </is>
      </c>
      <c r="H7" s="3" t="inlineStr">
        <is>
          <t>K-AIR-2022</t>
        </is>
      </c>
      <c r="I7" s="3" t="inlineStr">
        <is>
          <t>D:\华南理工项目\智慧环评\智能审核\6、环境质量现状数据引用是否有误\所需材料\（顺德区）2022年度佛山市顺德区生态环境状况公报.pdf；PDF第2—3页</t>
        </is>
      </c>
      <c r="J7" s="3" t="inlineStr">
        <is>
          <t>机器抽取，需人工复核图表是否完整</t>
        </is>
      </c>
    </row>
    <row r="8">
      <c r="A8" s="3" t="inlineStr">
        <is>
          <t>PL004</t>
        </is>
      </c>
      <c r="B8" s="3" t="inlineStr">
        <is>
          <t>地表水</t>
        </is>
      </c>
      <c r="C8" s="3" t="inlineStr">
        <is>
          <t>化挥发性有机物治理。鼓励重点行业企业开展生产工艺和设备水性化改造，加大水性涂料、粉末涂料等绿色、低挥发性涂料产品使用，加快涂料水性化进程，将挥发性有机物重点行业企业纳入清洁生产审核行动工作重点。 / （3）其他污染物补充监测  / 为评价本项目所在区域的环境空气质量状况，其它污染物（非甲烷总烃、TSP）数据引用项目所在地附近区域的历史监测数据。本环评引用监测日期为 2022年9月1日~9月3日《中源净能（广东）环保科技有限公司检测报告》G1中源净能（广东）环保科技有限公司监测点的监测数据作为其他污染物环境质量现状评价数据。监测点G1距离本项目边界最近距离约2000m，符合《建设项目环境影响报告表编制技术指南（污染影响类）（试行）中“引用建设项目周围5千米范围内近三年的现有监测数据”。 / 表3-2 引用其他污染物补充监测点位基本信息 / 表3-3其他污染物环境质量现状监测结果表 /  / 2、地表水环境 / 本项目属于杏坛生活污水处理厂纳污范围，生活污水经三级化粪池预处理后排入杏坛生活污水处理厂处理后尾水排入顺德支流。根据《佛山市生态环境局顺德分局关于发布2022年度佛山市顺德区生态环</t>
        </is>
      </c>
      <c r="D8" s="3" t="inlineStr">
        <is>
          <t>收纳水体地表水执行标准：杏坛污水处理厂排污口排入水体为北马涌，受纳水体为顺德水道，地表水评价标准II类。</t>
        </is>
      </c>
      <c r="E8" s="3" t="inlineStr">
        <is>
          <t>wrong_scope</t>
        </is>
      </c>
      <c r="F8" s="3" t="inlineStr">
        <is>
          <t>报告将杏坛污水处理厂尾水/受纳水体对应为顺德支流并引用顺德支流断面；水体资料显示杏坛污水处理厂排入水体为北马涌、受纳水体为顺德水道，应核对顺德水道相应断面。</t>
        </is>
      </c>
      <c r="G8" s="3" t="inlineStr">
        <is>
          <t>DOCX正文，三、区域环境质量现状、环境保护目标及评价标准（报告表第36页起），地表水环境质量现状段</t>
        </is>
      </c>
      <c r="H8" s="3" t="inlineStr">
        <is>
          <t>K-WATER-RECEIVING-BODY</t>
        </is>
      </c>
      <c r="I8" s="3" t="inlineStr">
        <is>
          <t>E:\华南理工项目\环评文件汇总\01_GitHub项目与研究文档\eia-openclaw-sync-chen2026\03_指南解析_明文标准库\Dify工作流知识库\#7_收纳水体地表水执行标准.csv；D:\华南理工项目\智慧环评\智能审核\6、环境质量现状数据引用是否有误\所需材料\（顺德区）2022年度佛山市顺德区生态环境状况公报.pdf；D:\华南理工项目\智慧环评\智能审核\6、环境质量现状数据引用是否有误\所需材料\（顺德区）2023年度佛山市顺德区生态环境状况公报.pdf</t>
        </is>
      </c>
      <c r="J8" s="3" t="inlineStr">
        <is>
          <t>不自行推断未收录的农村处理站关系</t>
        </is>
      </c>
    </row>
    <row r="9">
      <c r="A9" s="3" t="inlineStr">
        <is>
          <t>PL004</t>
        </is>
      </c>
      <c r="B9" s="3" t="inlineStr">
        <is>
          <t>大气</t>
        </is>
      </c>
      <c r="C9" s="3" t="inlineStr">
        <is>
          <t>再生利用城市杂用水水质》(GB/T18920-2020)表1城市杂用水质基本控制项目及冲厕、车辆冲洗限值后，回用于冲厕后与生活污水一起经三级化粪池处理达标后排入杏坛镇生活污水处理厂处理。 / 表2-9 生产过程产污环节一览表 / 与项目有关的原有环境污染问题 | 本项目为新建，租赁已建的工业厂房简单装修后进行生产，没有与项目有关的原有环境污染问题。 / 三、区域环境质量现状、环境保护目标及评价标准 / [[TABLE]] / 区域 / 环境 / 质量 / 现状 | 大气环境 / 根据《佛山市顺德区生态环境保护“十四五”规划（2021-2025）》，顺德区全境为大气环境二类区，因此本项目所在区域属二类环境空气质量功能区，执行《环境空气质量标准》（GB3095-2012）及2018年修改单二级标准。 / （1）空气质量达标区判定 / 根据《佛山市生态环境局顺德分局关于发布2022年度佛山市顺德区生态环境状况公报的通知（佛环顺函〔2023〕26号）》，2022年顺德区空气质量综合指数为3.27，比2021年下降6.0%，在全市五区中排名第二。按照《环境空气质量标准》评价，2022年顺德区二氧</t>
        </is>
      </c>
      <c r="D9" s="3" t="inlineStr">
        <is>
          <t>综合指数3.27，较2021年下降6.0%；AQI达标率78.8%，较2021年减少5.9个百分点；SO₂ 5、NO₂ 29、PM₁₀ 32、PM₂.₅ 19 μg/m³，O₃ 190 μg/m³，CO 1.1 mg/m³；O₃超标，其余达标</t>
        </is>
      </c>
      <c r="E9" s="3" t="inlineStr">
        <is>
          <t>exact</t>
        </is>
      </c>
      <c r="F9" s="3" t="inlineStr">
        <is>
          <t>报告引用2022年度顺德区公报，大气综合指数、AQI或六项污染物达标结论与公报一致；部分项目未完整转出图表数值，已保留人工复核提示。</t>
        </is>
      </c>
      <c r="G9" s="3" t="inlineStr">
        <is>
          <t>DOCX正文，三、区域环境质量现状、环境保护目标及评价标准（报告表第36页起），表3-1/空气质量现状段</t>
        </is>
      </c>
      <c r="H9" s="3" t="inlineStr">
        <is>
          <t>K-AIR-2022</t>
        </is>
      </c>
      <c r="I9" s="3" t="inlineStr">
        <is>
          <t>D:\华南理工项目\智慧环评\智能审核\6、环境质量现状数据引用是否有误\所需材料\（顺德区）2022年度佛山市顺德区生态环境状况公报.pdf；PDF第2—3页</t>
        </is>
      </c>
      <c r="J9" s="3" t="inlineStr">
        <is>
          <t>机器抽取，需人工复核图表是否完整</t>
        </is>
      </c>
    </row>
    <row r="10">
      <c r="A10" s="3" t="inlineStr">
        <is>
          <t>PL005</t>
        </is>
      </c>
      <c r="B10" s="3" t="inlineStr">
        <is>
          <t>地表水</t>
        </is>
      </c>
      <c r="C10" s="3" t="inlineStr">
        <is>
          <t xml:space="preserve"> / 图2-3  清洁扫把、清洁刷生产工艺流程图 / 工艺流程说明： / 植丝：将外购的扫把头、刷头和项目生产的扫把丝、刷丝通过植丝物理组装在一起，此过程会产生噪声。 / 人工修毛：将刷毛长短不一的部分修平整，该过程会产生边角料，边角料投入破碎机中破碎后回用于生产。 / 人工包装：人工进行简单包装后，变得到最后的成品。 /  / 2、产污情况 / 根据以上分析可知，本项目运营期间产生的主要污染物及配套设施见下表。 / 表2-9 产污环节及配套设施一览表 / [[TABLE]] / 与项目有关的原有环境污染问题 | 项目利用现有厂房建设，不涉及土建施工，没有与项目有关的原有环境污染问题。 / 三、区域环境质量现状、环境保护目标及评价标准 / [[TABLE]] / 区域环境质量现状 | 1、评价区域环境功能属性 / 本项目所在区域环境功能属性见下表3-1： / 表3-1  本项目所在区域环境功能属性 /  / 2、地表水环境质量现状 / 项目生活污水经三级化粪池处理达到《水污染物排放限值》（DB44/26-2001）中的第二时段三级标准后，通过市政管网排入杏坛污水处理厂，尾水排入顺德支流</t>
        </is>
      </c>
      <c r="D10" s="3" t="inlineStr">
        <is>
          <t>收纳水体地表水执行标准：杏坛污水处理厂排污口排入水体为北马涌，受纳水体为顺德水道，地表水评价标准II类。</t>
        </is>
      </c>
      <c r="E10" s="3" t="inlineStr">
        <is>
          <t>wrong_scope</t>
        </is>
      </c>
      <c r="F10" s="3" t="inlineStr">
        <is>
          <t>报告将杏坛污水处理厂尾水/受纳水体对应为顺德支流并引用顺德支流断面；水体资料显示杏坛污水处理厂排入水体为北马涌、受纳水体为顺德水道，应核对顺德水道相应断面。</t>
        </is>
      </c>
      <c r="G10" s="3" t="inlineStr">
        <is>
          <t>DOCX正文，三、区域环境质量现状、环境保护目标及评价标准，地表水环境质量现状段</t>
        </is>
      </c>
      <c r="H10" s="3" t="inlineStr">
        <is>
          <t>K-WATER-RECEIVING-BODY</t>
        </is>
      </c>
      <c r="I10" s="3" t="inlineStr">
        <is>
          <t>E:\华南理工项目\环评文件汇总\01_GitHub项目与研究文档\eia-openclaw-sync-chen2026\03_指南解析_明文标准库\Dify工作流知识库\#7_收纳水体地表水执行标准.csv；D:\华南理工项目\智慧环评\智能审核\6、环境质量现状数据引用是否有误\所需材料\（顺德区）2022年度佛山市顺德区生态环境状况公报.pdf；D:\华南理工项目\智慧环评\智能审核\6、环境质量现状数据引用是否有误\所需材料\（顺德区）2023年度佛山市顺德区生态环境状况公报.pdf</t>
        </is>
      </c>
      <c r="J10" s="3" t="inlineStr">
        <is>
          <t>不自行推断未收录的农村处理站关系</t>
        </is>
      </c>
    </row>
    <row r="11">
      <c r="A11" s="3" t="inlineStr">
        <is>
          <t>PL005</t>
        </is>
      </c>
      <c r="B11" s="3" t="inlineStr">
        <is>
          <t>大气</t>
        </is>
      </c>
      <c r="C11" s="3" t="n"/>
      <c r="D11" s="3" t="n"/>
      <c r="E11" s="3" t="inlineStr">
        <is>
          <t>missing_in_report</t>
        </is>
      </c>
      <c r="F11" s="3" t="inlineStr">
        <is>
          <t>未能在DOCX机读文本中定位大气环境质量现状公报引用或关键数值。</t>
        </is>
      </c>
      <c r="G11" s="3" t="inlineStr">
        <is>
          <t>DOCX正文，三、区域环境质量现状、环境保护目标及评价标准，表3-1/空气质量现状段</t>
        </is>
      </c>
      <c r="H11" s="3" t="inlineStr">
        <is>
          <t>K-AIR-UNK</t>
        </is>
      </c>
      <c r="I11" s="3" t="n"/>
      <c r="J11" s="3" t="inlineStr">
        <is>
          <t>机器抽取，需人工复核图表是否完整</t>
        </is>
      </c>
    </row>
    <row r="12">
      <c r="A12" s="3" t="inlineStr">
        <is>
          <t>PL006</t>
        </is>
      </c>
      <c r="B12" s="3" t="inlineStr">
        <is>
          <t>地表水</t>
        </is>
      </c>
      <c r="C12" s="3" t="inlineStr">
        <is>
          <t>量现状 / 为评价项目所在地环境空气质量现状，引用佛山市生态环境局顺德分局发布的《2022年度佛山市顺德区环境质量状况公报》中的数据，项目所在区域基本污染物环境质量现状评价如下： / 表3-1  2022年顺德区（国控测点）环境空气质量现状评价表 / （2）空气质量达标区判定 / 2022年全区二氧化硫（SO2）、二氧化氮（NO2）、可吸入颗粒物（PM10）、细颗粒物（PM2.5）平均浓度分别为5、29、32、19微克/立方米，臭氧日最大8小时滑动平均（O3-8h）浓度的第90百分位数为190微克/立方米，一氧化碳（CO）日浓度的第95百分位数为1.1毫克/立方米，其中O3未达到《环境空气质量标准》(GB3095-2012)及2018年修改单的二级标准，其他指标都达标。根据《环境影响评价技术导则 大气环境》（HJ2.2-2018）的规定，判定本项目所在的顺德区为空气质量不达标区。 / 2、水环境质量现状 / 项目所处位置属于杏坛镇污水处理厂纳污范围。项目外排废水仅有生活污水。生活污水依托厂房的三级化粪池预处理后通过污水管网排入杏坛镇污水处理厂处理，尾水排入顺德支流。顺德支流执行《地表水</t>
        </is>
      </c>
      <c r="D12" s="3" t="inlineStr">
        <is>
          <t>收纳水体地表水执行标准：杏坛污水处理厂排污口排入水体为北马涌，受纳水体为顺德水道，地表水评价标准II类。</t>
        </is>
      </c>
      <c r="E12" s="3" t="inlineStr">
        <is>
          <t>wrong_scope</t>
        </is>
      </c>
      <c r="F12" s="3" t="inlineStr">
        <is>
          <t>报告将杏坛污水处理厂尾水/受纳水体对应为顺德支流并引用顺德支流断面；水体资料显示杏坛污水处理厂排入水体为北马涌、受纳水体为顺德水道，应核对顺德水道相应断面。</t>
        </is>
      </c>
      <c r="G12" s="3" t="inlineStr">
        <is>
          <t>DOCX正文，三、区域环境质量现状、环境保护目标及评价标准（报告表第26页起），地表水环境质量现状段</t>
        </is>
      </c>
      <c r="H12" s="3" t="inlineStr">
        <is>
          <t>K-WATER-RECEIVING-BODY</t>
        </is>
      </c>
      <c r="I12" s="3" t="inlineStr">
        <is>
          <t>E:\华南理工项目\环评文件汇总\01_GitHub项目与研究文档\eia-openclaw-sync-chen2026\03_指南解析_明文标准库\Dify工作流知识库\#7_收纳水体地表水执行标准.csv；D:\华南理工项目\智慧环评\智能审核\6、环境质量现状数据引用是否有误\所需材料\（顺德区）2022年度佛山市顺德区生态环境状况公报.pdf；D:\华南理工项目\智慧环评\智能审核\6、环境质量现状数据引用是否有误\所需材料\（顺德区）2023年度佛山市顺德区生态环境状况公报.pdf</t>
        </is>
      </c>
      <c r="J12" s="3" t="inlineStr">
        <is>
          <t>不自行推断未收录的农村处理站关系</t>
        </is>
      </c>
    </row>
    <row r="13">
      <c r="A13" s="3" t="inlineStr">
        <is>
          <t>PL006</t>
        </is>
      </c>
      <c r="B13" s="3" t="inlineStr">
        <is>
          <t>大气</t>
        </is>
      </c>
      <c r="C13" s="3" t="inlineStr">
        <is>
          <t>10天清洗一次全部的喷枪。 / ⑤烘干：喷完纳米油的工件会通过流水线进入烘干线进行烘干，烘干线内温度约为160℃。 / ⑥下挂：将工件取下生产线。 / ⑦打包：人工将烘干完的工件进行打包得到成品。 / 二、主要产污工序 / （1）废水：生活污水；水帘柜废水、喷淋塔废水。 / （2）废气：喷纳米油产生的漆雾；喷纳米油、烘干、清洗喷枪工序产生的VOCs和恶臭；烘干工序产生的燃烧废气。 / （3）噪声：生产设备综合噪声等。 / （4）固体废物：办公生活垃圾、一般固废、危险废物。 / 与项目有关的原有环境污染问题 | 本项目属于新建项目，新厂址租用已建成的空置厂房作为生产场所，无原有污染问题。 / 三、区域环境质量现状、环境保护目标及评价标准 / [[TABLE]] / 区域 / 环境 / 质量 / 现状 | 1、大气环境质量现状 / 根据《关于调整顺德区环境空气质量功能区划的复函》（佛府办函[2014]494号），项目所在区域为环境空气质量功能二类区，执行《环境空气质量标准》（GB3095-2012）及2018年修改单中的二级标准。 / （1）基本污染物环境质量现状 / 为评价项目所在地环境</t>
        </is>
      </c>
      <c r="D13" s="3" t="inlineStr">
        <is>
          <t>综合指数3.27，较2021年下降6.0%；AQI达标率78.8%，较2021年减少5.9个百分点；SO₂ 5、NO₂ 29、PM₁₀ 32、PM₂.₅ 19 μg/m³，O₃ 190 μg/m³，CO 1.1 mg/m³；O₃超标，其余达标</t>
        </is>
      </c>
      <c r="E13" s="3" t="inlineStr">
        <is>
          <t>exact</t>
        </is>
      </c>
      <c r="F13" s="3" t="inlineStr">
        <is>
          <t>报告引用2022年度顺德区公报，大气综合指数、AQI或六项污染物达标结论与公报一致；部分项目未完整转出图表数值，已保留人工复核提示。</t>
        </is>
      </c>
      <c r="G13" s="3" t="inlineStr">
        <is>
          <t>DOCX正文，三、区域环境质量现状、环境保护目标及评价标准（报告表第26页起），表3-1/空气质量现状段</t>
        </is>
      </c>
      <c r="H13" s="3" t="inlineStr">
        <is>
          <t>K-AIR-2022</t>
        </is>
      </c>
      <c r="I13" s="3" t="inlineStr">
        <is>
          <t>D:\华南理工项目\智慧环评\智能审核\6、环境质量现状数据引用是否有误\所需材料\（顺德区）2022年度佛山市顺德区生态环境状况公报.pdf；PDF第2—3页</t>
        </is>
      </c>
      <c r="J13" s="3" t="inlineStr">
        <is>
          <t>机器抽取，需人工复核图表是否完整</t>
        </is>
      </c>
    </row>
    <row r="14">
      <c r="A14" s="3" t="inlineStr">
        <is>
          <t>PL007</t>
        </is>
      </c>
      <c r="B14" s="3" t="inlineStr">
        <is>
          <t>地表水</t>
        </is>
      </c>
      <c r="C14" s="3" t="inlineStr">
        <is>
          <t>中O3未达到《环境空气质量标准》(GB3095-2012)及2018年修改单的二级标准，其他指标都达标。 / （2）其他污染物环境质量现状 / 为评价本项目所在的区域特征污染物TSP和TVOC环境空气质量现状，引用广东天鉴检测技术服务股份有限公司于2020年5月6日~5月12日在本项目所在工业园区内（A1点）和新联村（A2点）的监测数据。其中，TSP执行《环境空气质量标准》（GB3095-2012）及2018年修改单的二级标准；TVOC参照执行《大气污染物综合排放标准详解》的一次最高允许浓度限值，检测结果如下： /  /  / 表3-2  项目特征污染物引用监测点位基本信息表 / 表3-3  项目特征污染物引用监测结果表 / 项目所在的区域特征污染物TSP和TVOC各监测点监测结果达到《环境影响评价技术导则 大气环境》（HJ2.2-2018）附录D其他污染物空气质量浓度参考限值。 / 2、水环境质量现状 / 项目所处位置属于杏坛镇污水处理厂纳污范围。项目外排废水仅有生活污水。生活污水依托厂房的三级化粪池预处理后通过污水管网排入杏坛镇污水处理厂处理，尾水排入顺德支流。顺德支流执行《地表水</t>
        </is>
      </c>
      <c r="D14" s="3" t="inlineStr">
        <is>
          <t>收纳水体地表水执行标准：杏坛污水处理厂排污口排入水体为北马涌，受纳水体为顺德水道，地表水评价标准II类。</t>
        </is>
      </c>
      <c r="E14" s="3" t="inlineStr">
        <is>
          <t>wrong_scope</t>
        </is>
      </c>
      <c r="F14" s="3" t="inlineStr">
        <is>
          <t>报告将杏坛污水处理厂尾水/受纳水体对应为顺德支流并引用顺德支流断面；水体资料显示杏坛污水处理厂排入水体为北马涌、受纳水体为顺德水道，应核对顺德水道相应断面。</t>
        </is>
      </c>
      <c r="G14" s="3" t="inlineStr">
        <is>
          <t>DOCX正文，三、区域环境质量现状、环境保护目标及评价标准，地表水环境质量现状段</t>
        </is>
      </c>
      <c r="H14" s="3" t="inlineStr">
        <is>
          <t>K-WATER-RECEIVING-BODY</t>
        </is>
      </c>
      <c r="I14" s="3" t="inlineStr">
        <is>
          <t>E:\华南理工项目\环评文件汇总\01_GitHub项目与研究文档\eia-openclaw-sync-chen2026\03_指南解析_明文标准库\Dify工作流知识库\#7_收纳水体地表水执行标准.csv；D:\华南理工项目\智慧环评\智能审核\6、环境质量现状数据引用是否有误\所需材料\（顺德区）2022年度佛山市顺德区生态环境状况公报.pdf；D:\华南理工项目\智慧环评\智能审核\6、环境质量现状数据引用是否有误\所需材料\（顺德区）2023年度佛山市顺德区生态环境状况公报.pdf</t>
        </is>
      </c>
      <c r="J14" s="3" t="inlineStr">
        <is>
          <t>不自行推断未收录的农村处理站关系</t>
        </is>
      </c>
    </row>
    <row r="15">
      <c r="A15" s="3" t="inlineStr">
        <is>
          <t>PL007</t>
        </is>
      </c>
      <c r="B15" s="3" t="inlineStr">
        <is>
          <t>大气</t>
        </is>
      </c>
      <c r="C15" s="3" t="inlineStr">
        <is>
          <t xml:space="preserve">在密闭的打样间内进行，打样间内设置水帘柜用于废气收集和处理喷涂漆雾，烘干工序使用烘箱行，工作温度约为180℃，烘干时间为10-20min，烘箱使用电加热。 /  / 二、主要产污工序 / （1）废水：生活污水和清洗废水。 / （2）废气：投料工序产生的颗粒物；分散、研磨和调漆工序产生的TVOC；打样喷涂和烘干工序会产生漆雾和TVOC；生产过程产生异味（以臭气浓度表征）。 / （3）噪声：车间各设备运行时产生的机械噪声。 / （4）固废：职工生活垃圾；一般工业固体废物；危险废物。 / 与项目有关的原有环境污染问题 | 本项目属于新建项目，租用已建成的空置厂房作为生产场所，无原有污染问题。 / 三、区域环境质量现状、环境保护目标及评价标准 / [[TABLE]] / 区域 / 环境 / 质量 / 现状 | 1、大气环境质量现状 / 本项目选址位于佛山市顺德区杏坛镇，根据《顺德区生态环境保护规划（2021-2025年）》，顺德区全境为大气环境二类区，本项目所在地属环境空气质量二类功能区，区域的环境空气质量执行国家《环境空气质量标准》（GB3095-2012）及2018年修改单中的二级标准。 </t>
        </is>
      </c>
      <c r="D15" s="3" t="inlineStr">
        <is>
          <t>SO₂ 6、NO₂ 33、PM₁₀ 42、PM₂.₅ 22 μg/m³，O₃ 173 μg/m³，CO 1.0 mg/m³；O₃超标，其余达标</t>
        </is>
      </c>
      <c r="E15" s="3" t="inlineStr">
        <is>
          <t>exact</t>
        </is>
      </c>
      <c r="F15" s="3" t="inlineStr">
        <is>
          <t>报告编制于2023年2月，2022年度公报尚未发布，引用2021年度公报符合时点可获得性；报告列示的SO₂、NO₂、PM₁₀、PM₂.₅、O₃、CO值与其引用内容一致。</t>
        </is>
      </c>
      <c r="G15" s="3" t="inlineStr">
        <is>
          <t>DOCX正文，三、区域环境质量现状、环境保护目标及评价标准，表3-1/空气质量现状段</t>
        </is>
      </c>
      <c r="H15" s="3" t="inlineStr">
        <is>
          <t>K-AIR-2021</t>
        </is>
      </c>
      <c r="I15" s="3" t="inlineStr">
        <is>
          <t>报告原文引用的2021年度公报；本批未定位本地2021公报原PDF，需人工补充官方原文</t>
        </is>
      </c>
      <c r="J15" s="3" t="inlineStr">
        <is>
          <t>机器抽取，需人工复核图表是否完整</t>
        </is>
      </c>
    </row>
    <row r="16">
      <c r="A16" s="3" t="inlineStr">
        <is>
          <t>PL008</t>
        </is>
      </c>
      <c r="B16" s="3" t="inlineStr">
        <is>
          <t>地表水</t>
        </is>
      </c>
      <c r="C16" s="3" t="inlineStr">
        <is>
          <t>、细颗粒物（PM2.5）、一氧化碳（CO）五项污染物年评价浓度均达到二级标准，臭氧（O3）超标。  / 2022 年顺德区 AQI 达标率为 78.8%，较 2021 年减少5.9个百分点。首要污染物主要为臭氧（占首要污染物天数比例为71.4%），其次为二氧化氮（占 26.0%）。  / 2022 年全区 SO2年平均浓度为 5 微克/立方米，较 2021年下降 16.7%。  / NO2年平均浓度为 29 微克/立方米，较 2021 年下降 12.1%。  / PM10年平均浓度为 32 微克/立方米，较 2021 年下降 23.8%。  / PM2.5年平均浓度为 19 微克/立方米，较 2021 年下降 13.6%。  / O3年评价浓度为 190 微克/立方米，较 2021 年上升 9.8%。  / CO 年评价浓度为 1.1 毫克/立方米，较 2021 年上升 10.0%。 / 2、地表水环境 / 项目位于杏坛污水处理厂纳污范围，项目外排废水是生活污水，生活污水经三级化粪池处理后通过污水管网排入杏坛污水处理厂，尾水排入顺德支流。根据《广东省地表水功能区划》（粤环[2011]1</t>
        </is>
      </c>
      <c r="D16" s="3" t="inlineStr">
        <is>
          <t>收纳水体地表水执行标准：杏坛污水处理厂排污口排入水体为北马涌，受纳水体为顺德水道，地表水评价标准II类。</t>
        </is>
      </c>
      <c r="E16" s="3" t="inlineStr">
        <is>
          <t>source_year_mismatch</t>
        </is>
      </c>
      <c r="F16" s="3" t="inlineStr">
        <is>
          <t>报告将杏坛污水处理厂尾水/受纳水体对应为顺德支流并引用顺德支流断面；水体资料显示杏坛污水处理厂排入水体为北马涌、受纳水体为顺德水道，应核对顺德水道相应断面。 另，报告在引用2022年度公报后又写“2021年的水质定类为Ⅲ类”，存在年度表述错配。</t>
        </is>
      </c>
      <c r="G16" s="3" t="inlineStr">
        <is>
          <t>DOCX正文，三、区域环境质量现状、环境保护目标及评价标准（报告表第36页起），地表水环境质量现状段</t>
        </is>
      </c>
      <c r="H16" s="3" t="inlineStr">
        <is>
          <t>K-WATER-RECEIVING-BODY</t>
        </is>
      </c>
      <c r="I16" s="3" t="inlineStr">
        <is>
          <t>E:\华南理工项目\环评文件汇总\01_GitHub项目与研究文档\eia-openclaw-sync-chen2026\03_指南解析_明文标准库\Dify工作流知识库\#7_收纳水体地表水执行标准.csv；D:\华南理工项目\智慧环评\智能审核\6、环境质量现状数据引用是否有误\所需材料\（顺德区）2022年度佛山市顺德区生态环境状况公报.pdf；D:\华南理工项目\智慧环评\智能审核\6、环境质量现状数据引用是否有误\所需材料\（顺德区）2023年度佛山市顺德区生态环境状况公报.pdf</t>
        </is>
      </c>
      <c r="J16" s="3" t="inlineStr">
        <is>
          <t>不自行推断未收录的农村处理站关系</t>
        </is>
      </c>
    </row>
    <row r="17">
      <c r="A17" s="3" t="inlineStr">
        <is>
          <t>PL008</t>
        </is>
      </c>
      <c r="B17" s="3" t="inlineStr">
        <is>
          <t>大气</t>
        </is>
      </c>
      <c r="C17" s="3" t="inlineStr">
        <is>
          <t>表2-20 原有项目污染物排放情况 / 4、主要环境问题 / 本项目为迁扩建项目，本项目建成后，原有项目拆除，将不存在环境问题。 / 三、区域环境质量现状、环境保护目标及评价标准 / [[TABLE]] / 区域 / 环境 / 质量 / 现状 | 1、大气环境 / 根据《佛山市人民政府办公室关于调整顺德区环境空气质量功能区划的复函》（佛府办函〔2014〕494号，2014年8月）和《佛山市顺德区人民政府办公室关于印发〈佛山市顺德区生态环境保护“十四五”规划（2021-2025）〉的通知》（顺府办发〔2022〕16 号），顺德区全境为大气环境二类区，因此本项目所在区域属二类环境空气质量功能区，执行《环境空气质量标准》（GB3095-2012）二级标准及其2018年修改单的要求。 / 为评价本项目所在区域的环境空气质量现状，引用《佛山市生态环境局顺德分局关于发布2022年度佛山市顺德区环境质量状况公报的通知》（佛环顺函〔2023〕26号）中的监测数据进行评价，监测结果如下： / 表3-1  大气环境质量统计表       单位：μg/m3 / 2022 年顺德区空气质量综合指数为 3.27</t>
        </is>
      </c>
      <c r="D17" s="3" t="inlineStr">
        <is>
          <t>综合指数3.27，较2021年下降6.0%；AQI达标率78.8%，较2021年减少5.9个百分点；SO₂ 5、NO₂ 29、PM₁₀ 32、PM₂.₅ 19 μg/m³，O₃ 190 μg/m³，CO 1.1 mg/m³；O₃超标，其余达标</t>
        </is>
      </c>
      <c r="E17" s="3" t="inlineStr">
        <is>
          <t>exact</t>
        </is>
      </c>
      <c r="F17" s="3" t="inlineStr">
        <is>
          <t>报告引用2022年度顺德区公报，大气综合指数、AQI或六项污染物达标结论与公报一致；部分项目未完整转出图表数值，已保留人工复核提示。</t>
        </is>
      </c>
      <c r="G17" s="3" t="inlineStr">
        <is>
          <t>DOCX正文，三、区域环境质量现状、环境保护目标及评价标准（报告表第36页起），表3-1/空气质量现状段</t>
        </is>
      </c>
      <c r="H17" s="3" t="inlineStr">
        <is>
          <t>K-AIR-2022</t>
        </is>
      </c>
      <c r="I17" s="3" t="inlineStr">
        <is>
          <t>D:\华南理工项目\智慧环评\智能审核\6、环境质量现状数据引用是否有误\所需材料\（顺德区）2022年度佛山市顺德区生态环境状况公报.pdf；PDF第2—3页</t>
        </is>
      </c>
      <c r="J17" s="3" t="inlineStr">
        <is>
          <t>机器抽取，需人工复核图表是否完整</t>
        </is>
      </c>
    </row>
    <row r="18">
      <c r="A18" s="3" t="inlineStr">
        <is>
          <t>PL009</t>
        </is>
      </c>
      <c r="B18" s="3" t="inlineStr">
        <is>
          <t>地表水</t>
        </is>
      </c>
      <c r="C18" s="3" t="inlineStr">
        <is>
          <t>二氧化氮（NO2）、可吸入颗粒物（PM10）、细颗粒物（PM2.5）、一氧化碳（CO）五项污染物年评价浓度均达到二级标准，臭氧（O3）超标。  / 2022 年顺德区 AQI 达标率为 78.8%，较2021年减少5.9个百分点。首要污染物主要为臭氧（占首要污染物天数比例为71.4%），其次为二氧化氮（占26.0%）。  / 2022 年全区 SO2年平均浓度为 5 微克/立方米，较2021年下降 16.7%。  / NO2年平均浓度为29 微克/立方米，较2021年下降 12.1%。  / PM10年平均浓度为32 微克/立方米，较2021年下降 23.8%。  / PM2.5年平均浓度为19微克/立方米，较2021年下降 13.6%。  / O3年评价浓度为190微克/立方米，较2021年上升 9.8%。  / CO 年评价浓度为1.1毫克/立方米，较2021年上升 10.0%。 / 2、地表水环境 / 项目位于杏坛污水处理厂纳污范围，项目外排废水是生活污水，生活污水经三级化粪池处理后通过污水管网排入杏坛污水处理厂，尾水排入顺德支流。根据《广东省地表水功能区划》（粤环[2011]1</t>
        </is>
      </c>
      <c r="D18" s="3" t="inlineStr">
        <is>
          <t>收纳水体地表水执行标准：杏坛污水处理厂排污口排入水体为北马涌，受纳水体为顺德水道，地表水评价标准II类。</t>
        </is>
      </c>
      <c r="E18" s="3" t="inlineStr">
        <is>
          <t>source_year_mismatch</t>
        </is>
      </c>
      <c r="F18" s="3" t="inlineStr">
        <is>
          <t>报告将杏坛污水处理厂尾水/受纳水体对应为顺德支流并引用顺德支流断面；水体资料显示杏坛污水处理厂排入水体为北马涌、受纳水体为顺德水道，应核对顺德水道相应断面。 另，报告在引用2022年度公报后又写“2021年的水质定类为Ⅲ类”，存在年度表述错配。</t>
        </is>
      </c>
      <c r="G18" s="3" t="inlineStr">
        <is>
          <t>DOCX正文，三、区域环境质量现状、环境保护目标及评价标准（报告表第36页起），地表水环境质量现状段</t>
        </is>
      </c>
      <c r="H18" s="3" t="inlineStr">
        <is>
          <t>K-WATER-RECEIVING-BODY</t>
        </is>
      </c>
      <c r="I18" s="3" t="inlineStr">
        <is>
          <t>E:\华南理工项目\环评文件汇总\01_GitHub项目与研究文档\eia-openclaw-sync-chen2026\03_指南解析_明文标准库\Dify工作流知识库\#7_收纳水体地表水执行标准.csv；D:\华南理工项目\智慧环评\智能审核\6、环境质量现状数据引用是否有误\所需材料\（顺德区）2022年度佛山市顺德区生态环境状况公报.pdf；D:\华南理工项目\智慧环评\智能审核\6、环境质量现状数据引用是否有误\所需材料\（顺德区）2023年度佛山市顺德区生态环境状况公报.pdf</t>
        </is>
      </c>
      <c r="J18" s="3" t="inlineStr">
        <is>
          <t>不自行推断未收录的农村处理站关系</t>
        </is>
      </c>
    </row>
    <row r="19">
      <c r="A19" s="3" t="inlineStr">
        <is>
          <t>PL009</t>
        </is>
      </c>
      <c r="B19" s="3" t="inlineStr">
        <is>
          <t>大气</t>
        </is>
      </c>
      <c r="C19" s="3" t="inlineStr">
        <is>
          <t xml:space="preserve"> 表2-20 原有项目污染物排放情况 / 5、主要环境问题 / 本项目为搬迁项目，本项目建成后，原有项目拆除，将不存在环境问题。 / 三、区域环境质量现状、环境保护目标及评价标准 / [[TABLE]] / 区域 / 环境 / 质量 / 现状 | 1、大气环境 / 根据《佛山市人民政府办公室关于调整顺德区环境空气质量功能区划的复函》（佛府办函〔2014〕494号，2014年8月）和《佛山市顺德区人民政府办公室关于印发〈佛山市顺德区生态环境保护“十四五”规划（2021-2025）〉的通知》（顺府办发〔2022〕16 号），顺德区全境为大气环境二类区，因此本项目所在区域属二类环境空气质量功能区，执行《环境空气质量标准》（GB3095-2012）二级标准及其2018年修改单的要求。 / 为评价本项目所在区域的环境空气质量现状，引用《佛山市生态环境局顺德分局关于发布2022年度佛山市顺德区环境质量状况公报的通知》（佛环顺函〔2023〕26号）中的监测数据进行评价，监测结果如下： / 表3-1  大气环境质量统计表       单位：μg/m3 / 2022 年顺德区空气质量综合指数为3.27，</t>
        </is>
      </c>
      <c r="D19" s="3" t="inlineStr">
        <is>
          <t>综合指数3.27，较2021年下降6.0%；AQI达标率78.8%，较2021年减少5.9个百分点；SO₂ 5、NO₂ 29、PM₁₀ 32、PM₂.₅ 19 μg/m³，O₃ 190 μg/m³，CO 1.1 mg/m³；O₃超标，其余达标</t>
        </is>
      </c>
      <c r="E19" s="3" t="inlineStr">
        <is>
          <t>exact</t>
        </is>
      </c>
      <c r="F19" s="3" t="inlineStr">
        <is>
          <t>报告引用2022年度顺德区公报，大气综合指数、AQI或六项污染物达标结论与公报一致；部分项目未完整转出图表数值，已保留人工复核提示。</t>
        </is>
      </c>
      <c r="G19" s="3" t="inlineStr">
        <is>
          <t>DOCX正文，三、区域环境质量现状、环境保护目标及评价标准（报告表第36页起），表3-1/空气质量现状段</t>
        </is>
      </c>
      <c r="H19" s="3" t="inlineStr">
        <is>
          <t>K-AIR-2022</t>
        </is>
      </c>
      <c r="I19" s="3" t="inlineStr">
        <is>
          <t>D:\华南理工项目\智慧环评\智能审核\6、环境质量现状数据引用是否有误\所需材料\（顺德区）2022年度佛山市顺德区生态环境状况公报.pdf；PDF第2—3页</t>
        </is>
      </c>
      <c r="J19" s="3" t="inlineStr">
        <is>
          <t>机器抽取，需人工复核图表是否完整</t>
        </is>
      </c>
    </row>
    <row r="20">
      <c r="A20" s="3" t="inlineStr">
        <is>
          <t>PL010</t>
        </is>
      </c>
      <c r="B20" s="3" t="inlineStr">
        <is>
          <t>地表水</t>
        </is>
      </c>
      <c r="C20" s="3" t="inlineStr">
        <is>
          <t>染物年评价浓度均达到二级标准，臭氧（O3）超标，项目所在区域判断为不达标区。 / （2）其他污染物环境质量现状 / 本项目产生的其他污染物为TSP。 / 为评价本项目所在区域的其他污染物现状，TSP数据引用佛山市顺德区杏坛赛盈金属表面处理厂委托广东企辅健环安检测技术有限公司于2021年3月8日~2021年3年14日对佛山市顺德区杏坛赛盈金属表面处理厂所在地的相关现状监测数据，检测报告编号为QF20200382。佛山市顺德区杏坛赛盈金属表面处理厂距离本项目边界最近距离约2546m，在本项目5km范围内，因此监测数据具有代表性。项目位置与监测点位位置关系见下图3-2，监测结果见下。 / 表3- 2  项目污染物TSP监测结果表 / 从监测数据可得，监测点佛山市顺德区杏坛赛盈金属表面处理厂处TSP监测结果满足《环境空气质量标准》（GB3095-2012）及2018年修改单中的二级标准要求。 / 2.地表水环境质量现状 / 本项目生活污水依托所在楼房的三级化粪池预处理达标后经市政污水管网排入杏坛污水处理厂处理，杏坛污水处理厂尾水排入顺德支流。根据《广东省地表水功能区划》（粤环〔2011〕14号</t>
        </is>
      </c>
      <c r="D20" s="3" t="inlineStr">
        <is>
          <t>收纳水体地表水执行标准：杏坛污水处理厂排污口排入水体为北马涌，受纳水体为顺德水道，地表水评价标准II类。</t>
        </is>
      </c>
      <c r="E20" s="3" t="inlineStr">
        <is>
          <t>wrong_scope</t>
        </is>
      </c>
      <c r="F20" s="3" t="inlineStr">
        <is>
          <t>报告将杏坛污水处理厂尾水/受纳水体对应为顺德支流并引用顺德支流断面；水体资料显示杏坛污水处理厂排入水体为北马涌、受纳水体为顺德水道，应核对顺德水道相应断面。</t>
        </is>
      </c>
      <c r="G20" s="3" t="inlineStr">
        <is>
          <t>DOCX正文，三、区域环境质量现状、环境保护目标及评价标准，地表水环境质量现状段</t>
        </is>
      </c>
      <c r="H20" s="3" t="inlineStr">
        <is>
          <t>K-WATER-RECEIVING-BODY</t>
        </is>
      </c>
      <c r="I20" s="3" t="inlineStr">
        <is>
          <t>E:\华南理工项目\环评文件汇总\01_GitHub项目与研究文档\eia-openclaw-sync-chen2026\03_指南解析_明文标准库\Dify工作流知识库\#7_收纳水体地表水执行标准.csv；D:\华南理工项目\智慧环评\智能审核\6、环境质量现状数据引用是否有误\所需材料\（顺德区）2022年度佛山市顺德区生态环境状况公报.pdf；D:\华南理工项目\智慧环评\智能审核\6、环境质量现状数据引用是否有误\所需材料\（顺德区）2023年度佛山市顺德区生态环境状况公报.pdf</t>
        </is>
      </c>
      <c r="J20" s="3" t="inlineStr">
        <is>
          <t>不自行推断未收录的农村处理站关系</t>
        </is>
      </c>
    </row>
    <row r="21">
      <c r="A21" s="3" t="inlineStr">
        <is>
          <t>PL010</t>
        </is>
      </c>
      <c r="B21" s="3" t="inlineStr">
        <is>
          <t>大气</t>
        </is>
      </c>
      <c r="C21" s="3" t="inlineStr">
        <is>
          <t>041-49））。 / ⑪漆雾：漆渣量为2t/a，属于危险废物（HW12（900-299-12））。 / 根据《建设项目危险废物环境影响评价指南》的要求，危险废物汇总表见表2-20。 / 表2-20  原有项目危险废物汇总表 /  / 3.5迁建前污染物产排情况 / 表2-21  项目污染物及产排情况 /  / 4.原有项目存在问题 / 项目废水、废气、噪声及固废产生和治理方式均与环评批复的要求相符。 / 项目严格按照相关部门的要求落实好环保设施，废水、废气、一般固体 / 废物及危险废物均落实相应治理措施。近三年以来，项目未收到环保方面的投诉。因此，改建前项目不存在环境问题，无需整改。 / 区域环境质量现状、环境保护目标及评价标准 / [[TABLE]] / 区域 / 环境 / 质量 / 现状 | 1.环境空气质量现状 / 根据《佛山市人民政府办公室关于调整顺德区环境空气质量功能区划的复函》（佛府办函[2014]494号，2014年8月）和《顺德区生态环境规划（2011~2020年）》，顺德区全境为大气环境二类区，因此本项目所在区域属二类环境空气质量功能区，执行《环境空气质量标准》（G</t>
        </is>
      </c>
      <c r="D21" s="3" t="inlineStr">
        <is>
          <t>综合指数3.27，较2021年下降6.0%；AQI达标率78.8%，较2021年减少5.9个百分点；SO₂ 5、NO₂ 29、PM₁₀ 32、PM₂.₅ 19 μg/m³，O₃ 190 μg/m³，CO 1.1 mg/m³；O₃超标，其余达标</t>
        </is>
      </c>
      <c r="E21" s="3" t="inlineStr">
        <is>
          <t>exact</t>
        </is>
      </c>
      <c r="F21" s="3" t="inlineStr">
        <is>
          <t>报告引用2022年度顺德区公报，大气综合指数、AQI或六项污染物达标结论与公报一致；部分项目未完整转出图表数值，已保留人工复核提示。</t>
        </is>
      </c>
      <c r="G21" s="3" t="inlineStr">
        <is>
          <t>DOCX正文，三、区域环境质量现状、环境保护目标及评价标准，表3-1/空气质量现状段</t>
        </is>
      </c>
      <c r="H21" s="3" t="inlineStr">
        <is>
          <t>K-AIR-2022</t>
        </is>
      </c>
      <c r="I21" s="3" t="inlineStr">
        <is>
          <t>D:\华南理工项目\智慧环评\智能审核\6、环境质量现状数据引用是否有误\所需材料\（顺德区）2022年度佛山市顺德区生态环境状况公报.pdf；PDF第2—3页</t>
        </is>
      </c>
      <c r="J21" s="3" t="inlineStr">
        <is>
          <t>机器抽取，需人工复核图表是否完整</t>
        </is>
      </c>
    </row>
    <row r="22">
      <c r="A22" s="3" t="inlineStr">
        <is>
          <t>PL011</t>
        </is>
      </c>
      <c r="B22" s="3" t="inlineStr">
        <is>
          <t>地表水</t>
        </is>
      </c>
      <c r="C22" s="3" t="inlineStr">
        <is>
          <t>类环境空气质量功能区，执行《环境空气质量标准》(GB3095-2012)二级标准及2018年修改单。 / （1）达标区判定 / 为评价本项目所在区域的环境空气质量现状，引用《佛山市生态环境局顺德分局关于发布2022年度佛山市顺德区环境质量状况公报的通知》（佛环顺函〔2023〕26号），2022 年顺德区 AQI 达标率为78.8%，较2021年减少5.9个百分点。首要污染物主要为臭氧（占首要污染物天数比例为71.4%），其次为二氧化氮（占 26.0%）。 / 表 3-1 2022年顺德区（国控测点）环境空气污染物浓度及达标评价情况 / 按照《环境空气质量标准》评价，2022年顺德区二氧化硫（SO2）、二氧化氮（NO2）、可吸入颗粒物（PM10）、细颗粒物（PM2.5）、一氧化碳（CO）五项污染物年评价浓度均达到二级标准，臭氧（O3）超标，因此本项目所在的顺德区为大气环境质量不达标区。 / 地表水环境质量现状 / 本项目生活污水经三级化粪池预处理达标后排入杏坛污水处理厂处理，杏坛污水处理厂尾水排入顺德支流。《顺德区生态环境保护“十四五”规划（2021-2025年）》的通知，顺德支流执行《</t>
        </is>
      </c>
      <c r="D22" s="3" t="inlineStr">
        <is>
          <t>收纳水体地表水执行标准：杏坛污水处理厂排污口排入水体为北马涌，受纳水体为顺德水道，地表水评价标准II类。</t>
        </is>
      </c>
      <c r="E22" s="3" t="inlineStr">
        <is>
          <t>wrong_scope</t>
        </is>
      </c>
      <c r="F22" s="3" t="inlineStr">
        <is>
          <t>报告将杏坛污水处理厂尾水/受纳水体对应为顺德支流并引用顺德支流断面；水体资料显示杏坛污水处理厂排入水体为北马涌、受纳水体为顺德水道，应核对顺德水道相应断面。</t>
        </is>
      </c>
      <c r="G22" s="3" t="inlineStr">
        <is>
          <t>DOCX正文，三、区域环境质量现状、环境保护目标及评价标准（报告表第21页起），地表水环境质量现状段</t>
        </is>
      </c>
      <c r="H22" s="3" t="inlineStr">
        <is>
          <t>K-WATER-RECEIVING-BODY</t>
        </is>
      </c>
      <c r="I22" s="3" t="inlineStr">
        <is>
          <t>E:\华南理工项目\环评文件汇总\01_GitHub项目与研究文档\eia-openclaw-sync-chen2026\03_指南解析_明文标准库\Dify工作流知识库\#7_收纳水体地表水执行标准.csv；D:\华南理工项目\智慧环评\智能审核\6、环境质量现状数据引用是否有误\所需材料\（顺德区）2022年度佛山市顺德区生态环境状况公报.pdf；D:\华南理工项目\智慧环评\智能审核\6、环境质量现状数据引用是否有误\所需材料\（顺德区）2023年度佛山市顺德区生态环境状况公报.pdf</t>
        </is>
      </c>
      <c r="J22" s="3" t="inlineStr">
        <is>
          <t>不自行推断未收录的农村处理站关系</t>
        </is>
      </c>
    </row>
    <row r="23">
      <c r="A23" s="3" t="inlineStr">
        <is>
          <t>PL011</t>
        </is>
      </c>
      <c r="B23" s="3" t="inlineStr">
        <is>
          <t>大气</t>
        </is>
      </c>
      <c r="C23" s="3" t="inlineStr">
        <is>
          <t>接冷却，冷却时间约1h，冷却水循环使用定期通过市政雨水管网排放。 / 检测：冷却一定温度后进行检测，经检测合格后即为成品进行分装存放。 产品检测主要用水浴锅、干燥箱、磁力搅拌机等检测工具检测产品的固化时间、重量密度等参数，检测过程在密闭检测室内进行，仅为物理试验，检测时间较短，检测产品量极小，该过程几乎无废气产生。 / 项目搅拌机清洗使用苯甲醇，该过程会产生有机废气，清洗废液收集后回用作产品原料生产不外排。 / 2.产污情况 / 根据以上分析可知，本项目运营期间产生的主要污染物及配套设施见表 2-9。 / 表2-9 产污环节情况表 / 与项目有关的原有环境污染问题 | 本项目为新建项目，无原有环境污染问题。 / 三、区域环境质量现状、环境保护目标及评价标准 / [[TABLE]] / 区域环境质量现状 | 环境空气质量现状 / 根据《顺德区生态环境保护“十四五”规划（2021-2025年）》的通知，顺德区全境为大气环境二类区，因此本项目所在区域属二类环境空气质量功能区，执行《环境空气质量标准》(GB3095-2012)二级标准及2018年修改单。 / （1）达标区判定 / 为评价本项目</t>
        </is>
      </c>
      <c r="D23" s="3" t="inlineStr">
        <is>
          <t>综合指数3.27，较2021年下降6.0%；AQI达标率78.8%，较2021年减少5.9个百分点；SO₂ 5、NO₂ 29、PM₁₀ 32、PM₂.₅ 19 μg/m³，O₃ 190 μg/m³，CO 1.1 mg/m³；O₃超标，其余达标</t>
        </is>
      </c>
      <c r="E23" s="3" t="inlineStr">
        <is>
          <t>exact</t>
        </is>
      </c>
      <c r="F23" s="3" t="inlineStr">
        <is>
          <t>报告引用2022年度顺德区公报，大气综合指数、AQI或六项污染物达标结论与公报一致；部分项目未完整转出图表数值，已保留人工复核提示。</t>
        </is>
      </c>
      <c r="G23" s="3" t="inlineStr">
        <is>
          <t>DOCX正文，三、区域环境质量现状、环境保护目标及评价标准（报告表第21页起），表3-1/空气质量现状段</t>
        </is>
      </c>
      <c r="H23" s="3" t="inlineStr">
        <is>
          <t>K-AIR-2022</t>
        </is>
      </c>
      <c r="I23" s="3" t="inlineStr">
        <is>
          <t>D:\华南理工项目\智慧环评\智能审核\6、环境质量现状数据引用是否有误\所需材料\（顺德区）2022年度佛山市顺德区生态环境状况公报.pdf；PDF第2—3页</t>
        </is>
      </c>
      <c r="J23" s="3" t="inlineStr">
        <is>
          <t>机器抽取，需人工复核图表是否完整</t>
        </is>
      </c>
    </row>
    <row r="24">
      <c r="A24" s="3" t="inlineStr">
        <is>
          <t>PL019</t>
        </is>
      </c>
      <c r="B24" s="3" t="inlineStr">
        <is>
          <t>地表水</t>
        </is>
      </c>
      <c r="C24" s="3" t="inlineStr">
        <is>
          <t>勒流污水处理厂—顺德支流—新涌断面—Ⅲ类</t>
        </is>
      </c>
      <c r="D24" s="3" t="inlineStr">
        <is>
          <t>受纳水体表：勒流污水处理厂—顺德支流—Ⅲ类；2023公报：新涌断面Ⅲ类</t>
        </is>
      </c>
      <c r="E24" s="3" t="inlineStr">
        <is>
          <t>exact</t>
        </is>
      </c>
      <c r="F24" s="3" t="inlineStr">
        <is>
          <t>无需修正</t>
        </is>
      </c>
      <c r="G24" s="3" t="inlineStr">
        <is>
          <t>第35页，表3.1</t>
        </is>
      </c>
      <c r="H24" s="3" t="inlineStr">
        <is>
          <t>K-2023-WATER</t>
        </is>
      </c>
      <c r="I24" s="3" t="inlineStr">
        <is>
          <t>公报PDF第5—6页</t>
        </is>
      </c>
      <c r="J24" s="3" t="inlineStr">
        <is>
          <t>污水厂、河流、断面、类别闭合</t>
        </is>
      </c>
    </row>
    <row r="25">
      <c r="A25" s="3" t="inlineStr">
        <is>
          <t>PL019</t>
        </is>
      </c>
      <c r="B25" s="3" t="inlineStr">
        <is>
          <t>大气</t>
        </is>
      </c>
      <c r="C25" s="3" t="inlineStr">
        <is>
          <t>正文CO=1.0 μg/m³；表3.2标mg/m³但填1000/4000</t>
        </is>
      </c>
      <c r="D25" s="3" t="inlineStr">
        <is>
          <t>2023公报CO=1.0 mg/m³；二级标准=4.0 mg/m³</t>
        </is>
      </c>
      <c r="E25" s="3" t="inlineStr">
        <is>
          <t>unit_mismatch</t>
        </is>
      </c>
      <c r="F25" s="3" t="inlineStr">
        <is>
          <t>统一为1.0/4.0 mg/m³，或1000/4000 μg/m³</t>
        </is>
      </c>
      <c r="G25" s="3" t="inlineStr">
        <is>
          <t>第35—36页，表3.2</t>
        </is>
      </c>
      <c r="H25" s="3" t="inlineStr">
        <is>
          <t>K-2023-AIR</t>
        </is>
      </c>
      <c r="I25" s="3" t="inlineStr">
        <is>
          <t>公报PDF第2—3页</t>
        </is>
      </c>
      <c r="J25" s="3" t="inlineStr">
        <is>
          <t>SO₂、NO₂、PM₁₀、PM₂.₅、O₃均正确</t>
        </is>
      </c>
    </row>
    <row r="26">
      <c r="A26" s="3" t="inlineStr">
        <is>
          <t>PL022</t>
        </is>
      </c>
      <c r="B26" s="3" t="inlineStr">
        <is>
          <t>地表水</t>
        </is>
      </c>
      <c r="C26" s="3" t="inlineStr">
        <is>
          <t>杏坛污水处理厂—顺德支流—杨滘断面</t>
        </is>
      </c>
      <c r="D26" s="3" t="inlineStr">
        <is>
          <t>受纳水体表：杏坛污水处理厂—北马涌—顺德水道—Ⅱ类；2023公报：杨滘属于顺德水道，断面Ⅱ类</t>
        </is>
      </c>
      <c r="E26" s="3" t="inlineStr">
        <is>
          <t>wrong_scope</t>
        </is>
      </c>
      <c r="F26" s="3" t="inlineStr">
        <is>
          <t>改为杏坛污水处理厂—北马涌—顺德水道—杨滘断面—Ⅱ类</t>
        </is>
      </c>
      <c r="G26" s="3" t="inlineStr">
        <is>
          <t>第25页，表3-2</t>
        </is>
      </c>
      <c r="H26" s="3" t="inlineStr">
        <is>
          <t>K-2023-WATER</t>
        </is>
      </c>
      <c r="I26" s="3" t="inlineStr">
        <is>
          <t>公报PDF第5—6页</t>
        </is>
      </c>
      <c r="J26" s="3" t="inlineStr">
        <is>
          <t>河流和断面均发生错配</t>
        </is>
      </c>
    </row>
    <row r="27">
      <c r="A27" s="3" t="inlineStr">
        <is>
          <t>PL022</t>
        </is>
      </c>
      <c r="B27" s="3" t="inlineStr">
        <is>
          <t>大气</t>
        </is>
      </c>
      <c r="C27" s="3" t="inlineStr">
        <is>
          <t>综合指数3.27、较2021年下降6.0%；CO行131 μg/m³；CO/O₃变化率分别-13.7%/-9.1%</t>
        </is>
      </c>
      <c r="D27" s="3" t="inlineStr">
        <is>
          <t>2023公报：综合指数3.14、较2022年下降4.0%；CO 2022年1.1 mg/m³；CO/O₃变化率-9.1%/-13.7%</t>
        </is>
      </c>
      <c r="E27" s="3" t="inlineStr">
        <is>
          <t>conflict</t>
        </is>
      </c>
      <c r="F27" s="3" t="inlineStr">
        <is>
          <t>综合指数、比较年份、CO单位和值、CO/O₃变化率均需修正</t>
        </is>
      </c>
      <c r="G27" s="3" t="inlineStr">
        <is>
          <t>第24页，表3-1</t>
        </is>
      </c>
      <c r="H27" s="3" t="inlineStr">
        <is>
          <t>K-2023-AIR</t>
        </is>
      </c>
      <c r="I27" s="3" t="inlineStr">
        <is>
          <t>公报PDF第2—3页</t>
        </is>
      </c>
      <c r="J27" s="3" t="inlineStr">
        <is>
          <t>正文“20223年”为笔误</t>
        </is>
      </c>
    </row>
    <row r="28">
      <c r="A28" s="3" t="inlineStr">
        <is>
          <t>PL026</t>
        </is>
      </c>
      <c r="B28" s="3" t="inlineStr">
        <is>
          <t>地表水</t>
        </is>
      </c>
      <c r="C28" s="3" t="inlineStr">
        <is>
          <t>容桂第一污水处理厂—桂洲水道—细滘大桥—Ⅱ类</t>
        </is>
      </c>
      <c r="D28" s="3" t="inlineStr">
        <is>
          <t>受纳水体表：容桂第一污水处理厂—桂洲水道—Ⅲ类；2023公报：细滘大桥属于鸡鸦水道，桂州水道对应南头大桥，Ⅱ类</t>
        </is>
      </c>
      <c r="E28" s="3" t="inlineStr">
        <is>
          <t>wrong_scope</t>
        </is>
      </c>
      <c r="F28" s="3" t="inlineStr">
        <is>
          <t>断面改为南头大桥；正确链条为桂州水道—南头大桥—Ⅱ类</t>
        </is>
      </c>
      <c r="G28" s="3" t="inlineStr">
        <is>
          <t>第29页，表3-1</t>
        </is>
      </c>
      <c r="H28" s="3" t="inlineStr">
        <is>
          <t>K-2023-WATER</t>
        </is>
      </c>
      <c r="I28" s="3" t="inlineStr">
        <is>
          <t>公报PDF第5—6页</t>
        </is>
      </c>
      <c r="J28" s="3" t="inlineStr">
        <is>
          <t>受纳水体和目标类别正确，断面错配</t>
        </is>
      </c>
    </row>
    <row r="29">
      <c r="A29" s="3" t="inlineStr">
        <is>
          <t>PL026</t>
        </is>
      </c>
      <c r="B29" s="3" t="inlineStr">
        <is>
          <t>大气</t>
        </is>
      </c>
      <c r="C29" s="3" t="inlineStr">
        <is>
          <t>六项污染物数值及O₃超标结论</t>
        </is>
      </c>
      <c r="D29" s="3" t="inlineStr">
        <is>
          <t>2023公报对应值完全一致</t>
        </is>
      </c>
      <c r="E29" s="3" t="inlineStr">
        <is>
          <t>exact</t>
        </is>
      </c>
      <c r="F29" s="3" t="inlineStr">
        <is>
          <t>无需修正</t>
        </is>
      </c>
      <c r="G29" s="3" t="inlineStr">
        <is>
          <t>第28—29页，图3-1</t>
        </is>
      </c>
      <c r="H29" s="3" t="inlineStr">
        <is>
          <t>K-2023-AIR</t>
        </is>
      </c>
      <c r="I29" s="3" t="inlineStr">
        <is>
          <t>公报PDF第2—3页</t>
        </is>
      </c>
      <c r="J29" s="3" t="inlineStr">
        <is>
          <t>单位一致</t>
        </is>
      </c>
    </row>
    <row r="30">
      <c r="A30" s="3" t="inlineStr">
        <is>
          <t>PL036</t>
        </is>
      </c>
      <c r="B30" s="3" t="inlineStr">
        <is>
          <t>地表水</t>
        </is>
      </c>
      <c r="C30" s="3" t="inlineStr">
        <is>
          <t>均安污水处理厂—海洲水道（古镇水道）—鹅洋沙—Ⅱ类，目标Ⅲ类</t>
        </is>
      </c>
      <c r="D30" s="3" t="inlineStr">
        <is>
          <t>受纳水体表：均安污水处理厂—海洲水道—Ⅲ类；公报：古镇水道—鹅洋沙—Ⅱ类；政府资料确认海洲水道（古镇水道）为别名</t>
        </is>
      </c>
      <c r="E30" s="3" t="inlineStr">
        <is>
          <t>equivalent</t>
        </is>
      </c>
      <c r="F30" s="3" t="inlineStr">
        <is>
          <t>无需修正</t>
        </is>
      </c>
      <c r="G30" s="3" t="inlineStr">
        <is>
          <t>第44—45页，图3-3</t>
        </is>
      </c>
      <c r="H30" s="3" t="inlineStr">
        <is>
          <t>K-2023-WATER</t>
        </is>
      </c>
      <c r="I30" s="3" t="inlineStr">
        <is>
          <t>公报PDF第5—6页</t>
        </is>
      </c>
      <c r="J30" s="3" t="inlineStr">
        <is>
          <t>别名关系有外部政府水利资料支撑</t>
        </is>
      </c>
    </row>
    <row r="31">
      <c r="A31" s="3" t="inlineStr">
        <is>
          <t>PL036</t>
        </is>
      </c>
      <c r="B31" s="3" t="inlineStr">
        <is>
          <t>大气</t>
        </is>
      </c>
      <c r="C31" s="3" t="inlineStr">
        <is>
          <t>综合指数、AQI、六项污染物及变化率</t>
        </is>
      </c>
      <c r="D31" s="3" t="inlineStr">
        <is>
          <t>2023公报逐项一致</t>
        </is>
      </c>
      <c r="E31" s="3" t="inlineStr">
        <is>
          <t>exact</t>
        </is>
      </c>
      <c r="F31" s="3" t="inlineStr">
        <is>
          <t>无需修正</t>
        </is>
      </c>
      <c r="G31" s="3" t="inlineStr">
        <is>
          <t>第42—44页，图3-1/图3-2</t>
        </is>
      </c>
      <c r="H31" s="3" t="inlineStr">
        <is>
          <t>K-2023-AIR</t>
        </is>
      </c>
      <c r="I31" s="3" t="inlineStr">
        <is>
          <t>公报PDF第2—3页</t>
        </is>
      </c>
      <c r="J31" s="3" t="inlineStr">
        <is>
          <t>完整引用</t>
        </is>
      </c>
    </row>
    <row r="32">
      <c r="A32" s="3" t="inlineStr">
        <is>
          <t>PL043</t>
        </is>
      </c>
      <c r="B32" s="3" t="inlineStr">
        <is>
          <t>地表水</t>
        </is>
      </c>
      <c r="C32" s="3" t="inlineStr">
        <is>
          <t>五沙污水处理厂—洪奇沥水道—高黎—Ⅱ类，目标Ⅲ类</t>
        </is>
      </c>
      <c r="D32" s="3" t="inlineStr">
        <is>
          <t>受纳水体表：五沙污水处理厂—洪奇沥水道—Ⅲ类；2023公报：洪奇沥—高黎—Ⅱ类</t>
        </is>
      </c>
      <c r="E32" s="3" t="inlineStr">
        <is>
          <t>exact</t>
        </is>
      </c>
      <c r="F32" s="3" t="inlineStr">
        <is>
          <t>无需修正</t>
        </is>
      </c>
      <c r="G32" s="3" t="inlineStr">
        <is>
          <t>第24—25页，表3-1</t>
        </is>
      </c>
      <c r="H32" s="3" t="inlineStr">
        <is>
          <t>K-2023-WATER</t>
        </is>
      </c>
      <c r="I32" s="3" t="inlineStr">
        <is>
          <t>公报PDF第5—6页</t>
        </is>
      </c>
      <c r="J32" s="3" t="inlineStr">
        <is>
          <t>污水厂、河流、断面、类别闭合</t>
        </is>
      </c>
    </row>
    <row r="33">
      <c r="A33" s="3" t="inlineStr">
        <is>
          <t>PL043</t>
        </is>
      </c>
      <c r="B33" s="3" t="inlineStr">
        <is>
          <t>大气</t>
        </is>
      </c>
      <c r="C33" s="3" t="inlineStr">
        <is>
          <t>五项达标、O₃超标、不达标区</t>
        </is>
      </c>
      <c r="D33" s="3" t="inlineStr">
        <is>
          <t>2023公报结论一致</t>
        </is>
      </c>
      <c r="E33" s="3" t="inlineStr">
        <is>
          <t>equivalent</t>
        </is>
      </c>
      <c r="F33" s="3" t="inlineStr">
        <is>
          <t>无需修正</t>
        </is>
      </c>
      <c r="G33" s="3" t="inlineStr">
        <is>
          <t>第23页，图3-1</t>
        </is>
      </c>
      <c r="H33" s="3" t="inlineStr">
        <is>
          <t>K-2023-AIR</t>
        </is>
      </c>
      <c r="I33" s="3" t="inlineStr">
        <is>
          <t>公报PDF第2—3页</t>
        </is>
      </c>
      <c r="J33" s="3" t="inlineStr">
        <is>
          <t>报告未逐项复述所有数值，不构成错误</t>
        </is>
      </c>
    </row>
  </sheetData>
  <autoFilter ref="A1:J33"/>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7"/>
  <sheetViews>
    <sheetView workbookViewId="0">
      <pane ySplit="1" topLeftCell="A2" activePane="bottomLeft" state="frozen"/>
      <selection pane="bottomLeft" activeCell="A1" sqref="A1"/>
    </sheetView>
  </sheetViews>
  <sheetFormatPr baseColWidth="8" defaultRowHeight="15"/>
  <cols>
    <col width="12" customWidth="1" min="1" max="1"/>
    <col width="18" customWidth="1" min="2" max="2"/>
    <col width="42" customWidth="1" min="3" max="3"/>
    <col width="42" customWidth="1" min="4" max="4"/>
    <col width="12" customWidth="1" min="5" max="5"/>
    <col width="42" customWidth="1" min="6" max="6"/>
    <col width="42" customWidth="1" min="7" max="7"/>
    <col width="12" customWidth="1" min="8" max="8"/>
    <col width="42" customWidth="1" min="9" max="9"/>
    <col width="42" customWidth="1" min="10" max="10"/>
  </cols>
  <sheetData>
    <row r="1">
      <c r="A1" s="4" t="inlineStr">
        <is>
          <t>PL</t>
        </is>
      </c>
      <c r="B1" s="4" t="inlineStr">
        <is>
          <t>污水处理方式/污水厂</t>
        </is>
      </c>
      <c r="C1" s="4" t="inlineStr">
        <is>
          <t>直接排入水体</t>
        </is>
      </c>
      <c r="D1" s="4" t="inlineStr">
        <is>
          <t>最终受纳水体</t>
        </is>
      </c>
      <c r="E1" s="4" t="inlineStr">
        <is>
          <t>水质目标</t>
        </is>
      </c>
      <c r="F1" s="4" t="inlineStr">
        <is>
          <t>报告选取</t>
        </is>
      </c>
      <c r="G1" s="4" t="inlineStr">
        <is>
          <t>正确对应</t>
        </is>
      </c>
      <c r="H1" s="4" t="inlineStr">
        <is>
          <t>判定</t>
        </is>
      </c>
      <c r="I1" s="4" t="inlineStr">
        <is>
          <t>依据</t>
        </is>
      </c>
    </row>
    <row r="2">
      <c r="A2" s="3" t="inlineStr">
        <is>
          <t>PL001</t>
        </is>
      </c>
      <c r="B2" s="3" t="inlineStr">
        <is>
          <t>独立生活污水处理设施</t>
        </is>
      </c>
      <c r="C2" s="3" t="inlineStr">
        <is>
          <t>古齐涌→新涌大河</t>
        </is>
      </c>
      <c r="D2" s="3" t="inlineStr">
        <is>
          <t>顺德支流</t>
        </is>
      </c>
      <c r="E2" s="3" t="inlineStr">
        <is>
          <t>新涌大河Ⅴ类；顺德支流Ⅲ类</t>
        </is>
      </c>
      <c r="F2" s="3" t="inlineStr">
        <is>
          <t>表3-2误选东海大河；表3-3选新涌、飞鹅山</t>
        </is>
      </c>
      <c r="G2" s="3" t="inlineStr">
        <is>
          <t>新涌大河；顺德支流新涌、飞鹅山</t>
        </is>
      </c>
      <c r="H2" s="3" t="inlineStr">
        <is>
          <t>不正确</t>
        </is>
      </c>
      <c r="I2" s="3" t="inlineStr">
        <is>
          <t>报告内嵌《2021年1—12月市控考核断面水质情况》；2022年度顺德区公报</t>
        </is>
      </c>
    </row>
    <row r="3">
      <c r="A3" s="3" t="inlineStr">
        <is>
          <t>PL002</t>
        </is>
      </c>
      <c r="B3" s="3" t="inlineStr">
        <is>
          <t>杏坛污水处理厂</t>
        </is>
      </c>
      <c r="C3" s="3" t="inlineStr">
        <is>
          <t>顺德支流</t>
        </is>
      </c>
      <c r="D3" s="3" t="inlineStr">
        <is>
          <t>北马涌→顺德水道（II类）</t>
        </is>
      </c>
      <c r="E3" s="3" t="inlineStr">
        <is>
          <t>见报告表述</t>
        </is>
      </c>
      <c r="F3" s="3" t="inlineStr">
        <is>
          <t>顺德支流</t>
        </is>
      </c>
      <c r="G3" s="3" t="inlineStr">
        <is>
          <t>北马涌→顺德水道（II类）</t>
        </is>
      </c>
      <c r="H3" s="3" t="inlineStr">
        <is>
          <t>不正确</t>
        </is>
      </c>
      <c r="I3" s="3" t="inlineStr">
        <is>
          <t>报告将杏坛污水处理厂尾水/受纳水体对应为顺德支流并引用顺德支流断面；水体资料显示杏坛污水处理厂排入水体为北马涌、受纳水体为顺德水道，应核对顺德水道相应断面。</t>
        </is>
      </c>
    </row>
    <row r="4">
      <c r="A4" s="3" t="inlineStr">
        <is>
          <t>PL003</t>
        </is>
      </c>
      <c r="B4" s="3" t="inlineStr">
        <is>
          <t>杏坛镇吉祐村红砖厂农村生活污水处理站</t>
        </is>
      </c>
      <c r="C4" s="3" t="inlineStr">
        <is>
          <t>顺德支流；砖厂涌</t>
        </is>
      </c>
      <c r="D4" s="3" t="inlineStr">
        <is>
          <t>顺德支流（农村生活污水处理站关系需核验）</t>
        </is>
      </c>
      <c r="E4" s="3" t="inlineStr">
        <is>
          <t>见报告表述</t>
        </is>
      </c>
      <c r="F4" s="3" t="inlineStr">
        <is>
          <t>顺德支流；砖厂涌</t>
        </is>
      </c>
      <c r="G4" s="3" t="inlineStr">
        <is>
          <t>顺德支流（农村生活污水处理站关系需核验）</t>
        </is>
      </c>
      <c r="H4" s="3" t="inlineStr">
        <is>
          <t>无法判断</t>
        </is>
      </c>
      <c r="I4" s="3" t="inlineStr">
        <is>
          <t>报告称进入杏坛镇吉祐村红砖厂农村生活污水处理站并经砖厂涌汇入顺德支流，但本地水体资料未收录该农村生活污水处理站—河涌—断面对应关系。</t>
        </is>
      </c>
    </row>
    <row r="5">
      <c r="A5" s="3" t="inlineStr">
        <is>
          <t>PL004</t>
        </is>
      </c>
      <c r="B5" s="3" t="inlineStr">
        <is>
          <t>杏坛污水处理厂</t>
        </is>
      </c>
      <c r="C5" s="3" t="inlineStr">
        <is>
          <t>顺德支流</t>
        </is>
      </c>
      <c r="D5" s="3" t="inlineStr">
        <is>
          <t>北马涌→顺德水道（II类）</t>
        </is>
      </c>
      <c r="E5" s="3" t="inlineStr">
        <is>
          <t>见报告表述</t>
        </is>
      </c>
      <c r="F5" s="3" t="inlineStr">
        <is>
          <t>顺德支流</t>
        </is>
      </c>
      <c r="G5" s="3" t="inlineStr">
        <is>
          <t>北马涌→顺德水道（II类）</t>
        </is>
      </c>
      <c r="H5" s="3" t="inlineStr">
        <is>
          <t>不正确</t>
        </is>
      </c>
      <c r="I5" s="3" t="inlineStr">
        <is>
          <t>报告将杏坛污水处理厂尾水/受纳水体对应为顺德支流并引用顺德支流断面；水体资料显示杏坛污水处理厂排入水体为北马涌、受纳水体为顺德水道，应核对顺德水道相应断面。</t>
        </is>
      </c>
    </row>
    <row r="6">
      <c r="A6" s="3" t="inlineStr">
        <is>
          <t>PL005</t>
        </is>
      </c>
      <c r="B6" s="3" t="inlineStr">
        <is>
          <t>杏坛污水处理厂</t>
        </is>
      </c>
      <c r="C6" s="3" t="inlineStr">
        <is>
          <t>顺德支流</t>
        </is>
      </c>
      <c r="D6" s="3" t="inlineStr">
        <is>
          <t>北马涌→顺德水道（II类）</t>
        </is>
      </c>
      <c r="E6" s="3" t="inlineStr">
        <is>
          <t>见报告表述</t>
        </is>
      </c>
      <c r="F6" s="3" t="inlineStr">
        <is>
          <t>顺德支流</t>
        </is>
      </c>
      <c r="G6" s="3" t="inlineStr">
        <is>
          <t>北马涌→顺德水道（II类）</t>
        </is>
      </c>
      <c r="H6" s="3" t="inlineStr">
        <is>
          <t>不正确</t>
        </is>
      </c>
      <c r="I6" s="3" t="inlineStr">
        <is>
          <t>报告将杏坛污水处理厂尾水/受纳水体对应为顺德支流并引用顺德支流断面；水体资料显示杏坛污水处理厂排入水体为北马涌、受纳水体为顺德水道，应核对顺德水道相应断面。</t>
        </is>
      </c>
    </row>
    <row r="7">
      <c r="A7" s="3" t="inlineStr">
        <is>
          <t>PL006</t>
        </is>
      </c>
      <c r="B7" s="3" t="inlineStr">
        <is>
          <t>杏坛污水处理厂</t>
        </is>
      </c>
      <c r="C7" s="3" t="inlineStr">
        <is>
          <t>顺德支流</t>
        </is>
      </c>
      <c r="D7" s="3" t="inlineStr">
        <is>
          <t>北马涌→顺德水道（II类）</t>
        </is>
      </c>
      <c r="E7" s="3" t="inlineStr">
        <is>
          <t>见报告表述</t>
        </is>
      </c>
      <c r="F7" s="3" t="inlineStr">
        <is>
          <t>顺德支流</t>
        </is>
      </c>
      <c r="G7" s="3" t="inlineStr">
        <is>
          <t>北马涌→顺德水道（II类）</t>
        </is>
      </c>
      <c r="H7" s="3" t="inlineStr">
        <is>
          <t>不正确</t>
        </is>
      </c>
      <c r="I7" s="3" t="inlineStr">
        <is>
          <t>报告将杏坛污水处理厂尾水/受纳水体对应为顺德支流并引用顺德支流断面；水体资料显示杏坛污水处理厂排入水体为北马涌、受纳水体为顺德水道，应核对顺德水道相应断面。</t>
        </is>
      </c>
    </row>
    <row r="8">
      <c r="A8" s="3" t="inlineStr">
        <is>
          <t>PL007</t>
        </is>
      </c>
      <c r="B8" s="3" t="inlineStr">
        <is>
          <t>杏坛污水处理厂</t>
        </is>
      </c>
      <c r="C8" s="3" t="inlineStr">
        <is>
          <t>顺德支流</t>
        </is>
      </c>
      <c r="D8" s="3" t="inlineStr">
        <is>
          <t>北马涌→顺德水道（II类）</t>
        </is>
      </c>
      <c r="E8" s="3" t="inlineStr">
        <is>
          <t>见报告表述</t>
        </is>
      </c>
      <c r="F8" s="3" t="inlineStr">
        <is>
          <t>顺德支流</t>
        </is>
      </c>
      <c r="G8" s="3" t="inlineStr">
        <is>
          <t>北马涌→顺德水道（II类）</t>
        </is>
      </c>
      <c r="H8" s="3" t="inlineStr">
        <is>
          <t>不正确</t>
        </is>
      </c>
      <c r="I8" s="3" t="inlineStr">
        <is>
          <t>报告将杏坛污水处理厂尾水/受纳水体对应为顺德支流并引用顺德支流断面；水体资料显示杏坛污水处理厂排入水体为北马涌、受纳水体为顺德水道，应核对顺德水道相应断面。</t>
        </is>
      </c>
    </row>
    <row r="9">
      <c r="A9" s="3" t="inlineStr">
        <is>
          <t>PL008</t>
        </is>
      </c>
      <c r="B9" s="3" t="inlineStr">
        <is>
          <t>杏坛污水处理厂</t>
        </is>
      </c>
      <c r="C9" s="3" t="inlineStr">
        <is>
          <t>顺德支流</t>
        </is>
      </c>
      <c r="D9" s="3" t="inlineStr">
        <is>
          <t>北马涌→顺德水道（II类）</t>
        </is>
      </c>
      <c r="E9" s="3" t="inlineStr">
        <is>
          <t>见报告表述</t>
        </is>
      </c>
      <c r="F9" s="3" t="inlineStr">
        <is>
          <t>顺德支流</t>
        </is>
      </c>
      <c r="G9" s="3" t="inlineStr">
        <is>
          <t>北马涌→顺德水道（II类）</t>
        </is>
      </c>
      <c r="H9" s="3" t="inlineStr">
        <is>
          <t>不正确</t>
        </is>
      </c>
      <c r="I9" s="3" t="inlineStr">
        <is>
          <t>报告将杏坛污水处理厂尾水/受纳水体对应为顺德支流并引用顺德支流断面；水体资料显示杏坛污水处理厂排入水体为北马涌、受纳水体为顺德水道，应核对顺德水道相应断面。 另，报告在引用2022年度公报后又写“2021年的水质定类为Ⅲ类”，存在年度表述错配。</t>
        </is>
      </c>
    </row>
    <row r="10">
      <c r="A10" s="3" t="inlineStr">
        <is>
          <t>PL009</t>
        </is>
      </c>
      <c r="B10" s="3" t="inlineStr">
        <is>
          <t>杏坛污水处理厂</t>
        </is>
      </c>
      <c r="C10" s="3" t="inlineStr">
        <is>
          <t>顺德支流</t>
        </is>
      </c>
      <c r="D10" s="3" t="inlineStr">
        <is>
          <t>北马涌→顺德水道（II类）</t>
        </is>
      </c>
      <c r="E10" s="3" t="inlineStr">
        <is>
          <t>见报告表述</t>
        </is>
      </c>
      <c r="F10" s="3" t="inlineStr">
        <is>
          <t>顺德支流</t>
        </is>
      </c>
      <c r="G10" s="3" t="inlineStr">
        <is>
          <t>北马涌→顺德水道（II类）</t>
        </is>
      </c>
      <c r="H10" s="3" t="inlineStr">
        <is>
          <t>不正确</t>
        </is>
      </c>
      <c r="I10" s="3" t="inlineStr">
        <is>
          <t>报告将杏坛污水处理厂尾水/受纳水体对应为顺德支流并引用顺德支流断面；水体资料显示杏坛污水处理厂排入水体为北马涌、受纳水体为顺德水道，应核对顺德水道相应断面。 另，报告在引用2022年度公报后又写“2021年的水质定类为Ⅲ类”，存在年度表述错配。</t>
        </is>
      </c>
    </row>
    <row r="11">
      <c r="A11" s="3" t="inlineStr">
        <is>
          <t>PL010</t>
        </is>
      </c>
      <c r="B11" s="3" t="inlineStr">
        <is>
          <t>杏坛污水处理厂</t>
        </is>
      </c>
      <c r="C11" s="3" t="inlineStr">
        <is>
          <t>顺德支流</t>
        </is>
      </c>
      <c r="D11" s="3" t="inlineStr">
        <is>
          <t>北马涌→顺德水道（II类）</t>
        </is>
      </c>
      <c r="E11" s="3" t="inlineStr">
        <is>
          <t>见报告表述</t>
        </is>
      </c>
      <c r="F11" s="3" t="inlineStr">
        <is>
          <t>顺德支流</t>
        </is>
      </c>
      <c r="G11" s="3" t="inlineStr">
        <is>
          <t>北马涌→顺德水道（II类）</t>
        </is>
      </c>
      <c r="H11" s="3" t="inlineStr">
        <is>
          <t>不正确</t>
        </is>
      </c>
      <c r="I11" s="3" t="inlineStr">
        <is>
          <t>报告将杏坛污水处理厂尾水/受纳水体对应为顺德支流并引用顺德支流断面；水体资料显示杏坛污水处理厂排入水体为北马涌、受纳水体为顺德水道，应核对顺德水道相应断面。</t>
        </is>
      </c>
    </row>
    <row r="12">
      <c r="A12" s="3" t="inlineStr">
        <is>
          <t>PL011</t>
        </is>
      </c>
      <c r="B12" s="3" t="inlineStr">
        <is>
          <t>杏坛污水处理厂</t>
        </is>
      </c>
      <c r="C12" s="3" t="inlineStr">
        <is>
          <t>顺德支流</t>
        </is>
      </c>
      <c r="D12" s="3" t="inlineStr">
        <is>
          <t>北马涌→顺德水道（II类）</t>
        </is>
      </c>
      <c r="E12" s="3" t="inlineStr">
        <is>
          <t>见报告表述</t>
        </is>
      </c>
      <c r="F12" s="3" t="inlineStr">
        <is>
          <t>顺德支流</t>
        </is>
      </c>
      <c r="G12" s="3" t="inlineStr">
        <is>
          <t>北马涌→顺德水道（II类）</t>
        </is>
      </c>
      <c r="H12" s="3" t="inlineStr">
        <is>
          <t>不正确</t>
        </is>
      </c>
      <c r="I12" s="3" t="inlineStr">
        <is>
          <t>报告将杏坛污水处理厂尾水/受纳水体对应为顺德支流并引用顺德支流断面；水体资料显示杏坛污水处理厂排入水体为北马涌、受纳水体为顺德水道，应核对顺德水道相应断面。</t>
        </is>
      </c>
    </row>
    <row r="13">
      <c r="A13" s="3" t="inlineStr">
        <is>
          <t>PL019</t>
        </is>
      </c>
      <c r="B13" s="3" t="inlineStr">
        <is>
          <t>勒流污水处理厂</t>
        </is>
      </c>
      <c r="C13" s="3" t="inlineStr">
        <is>
          <t>顺德支流</t>
        </is>
      </c>
      <c r="D13" s="3" t="inlineStr">
        <is>
          <t>顺德支流</t>
        </is>
      </c>
      <c r="E13" s="3" t="inlineStr">
        <is>
          <t>Ⅲ类</t>
        </is>
      </c>
      <c r="F13" s="3" t="inlineStr">
        <is>
          <t>新涌</t>
        </is>
      </c>
      <c r="G13" s="3" t="inlineStr">
        <is>
          <t>新涌</t>
        </is>
      </c>
      <c r="H13" s="3" t="inlineStr">
        <is>
          <t>正确</t>
        </is>
      </c>
      <c r="I13" s="3" t="inlineStr">
        <is>
          <t>用户提供《收纳水体地表水执行标准xlsx》；2023年度顺德区公报</t>
        </is>
      </c>
    </row>
    <row r="14">
      <c r="A14" s="3" t="inlineStr">
        <is>
          <t>PL022</t>
        </is>
      </c>
      <c r="B14" s="3" t="inlineStr">
        <is>
          <t>杏坛污水处理厂</t>
        </is>
      </c>
      <c r="C14" s="3" t="inlineStr">
        <is>
          <t>报告：顺德支流；对照表：北马涌</t>
        </is>
      </c>
      <c r="D14" s="3" t="inlineStr">
        <is>
          <t>报告：顺德支流；对照表：顺德水道</t>
        </is>
      </c>
      <c r="E14" s="3" t="inlineStr">
        <is>
          <t>对照表：Ⅱ类</t>
        </is>
      </c>
      <c r="F14" s="3" t="inlineStr">
        <is>
          <t>杨滘但误列顺德支流</t>
        </is>
      </c>
      <c r="G14" s="3" t="inlineStr">
        <is>
          <t>顺德水道—杨滘</t>
        </is>
      </c>
      <c r="H14" s="3" t="inlineStr">
        <is>
          <t>不正确</t>
        </is>
      </c>
      <c r="I14" s="3" t="inlineStr">
        <is>
          <t>用户提供《收纳水体地表水执行标准xlsx》；2023年度顺德区公报</t>
        </is>
      </c>
    </row>
    <row r="15">
      <c r="A15" s="3" t="inlineStr">
        <is>
          <t>PL026</t>
        </is>
      </c>
      <c r="B15" s="3" t="inlineStr">
        <is>
          <t>容桂第一污水处理厂</t>
        </is>
      </c>
      <c r="C15" s="3" t="inlineStr">
        <is>
          <t>桂洲水道</t>
        </is>
      </c>
      <c r="D15" s="3" t="inlineStr">
        <is>
          <t>桂洲水道</t>
        </is>
      </c>
      <c r="E15" s="3" t="inlineStr">
        <is>
          <t>Ⅲ类</t>
        </is>
      </c>
      <c r="F15" s="3" t="inlineStr">
        <is>
          <t>细滘大桥</t>
        </is>
      </c>
      <c r="G15" s="3" t="inlineStr">
        <is>
          <t>桂州水道—南头大桥</t>
        </is>
      </c>
      <c r="H15" s="3" t="inlineStr">
        <is>
          <t>不正确</t>
        </is>
      </c>
      <c r="I15" s="3" t="inlineStr">
        <is>
          <t>用户提供《收纳水体地表水执行标准xlsx》；2023年度顺德区公报</t>
        </is>
      </c>
    </row>
    <row r="16">
      <c r="A16" s="3" t="inlineStr">
        <is>
          <t>PL036</t>
        </is>
      </c>
      <c r="B16" s="3" t="inlineStr">
        <is>
          <t>均安污水处理厂</t>
        </is>
      </c>
      <c r="C16" s="3" t="inlineStr">
        <is>
          <t>海洲水道</t>
        </is>
      </c>
      <c r="D16" s="3" t="inlineStr">
        <is>
          <t>海洲水道（古镇水道）</t>
        </is>
      </c>
      <c r="E16" s="3" t="inlineStr">
        <is>
          <t>Ⅲ类</t>
        </is>
      </c>
      <c r="F16" s="3" t="inlineStr">
        <is>
          <t>鹅洋沙</t>
        </is>
      </c>
      <c r="G16" s="3" t="inlineStr">
        <is>
          <t>古镇水道—鹅洋沙</t>
        </is>
      </c>
      <c r="H16" s="3" t="inlineStr">
        <is>
          <t>正确</t>
        </is>
      </c>
      <c r="I16" s="3" t="inlineStr">
        <is>
          <t>用户提供《收纳水体地表水执行标准xlsx》；2023年度顺德区公报；政府水利资料</t>
        </is>
      </c>
    </row>
    <row r="17">
      <c r="A17" s="3" t="inlineStr">
        <is>
          <t>PL043</t>
        </is>
      </c>
      <c r="B17" s="3" t="inlineStr">
        <is>
          <t>五沙污水处理厂</t>
        </is>
      </c>
      <c r="C17" s="3" t="inlineStr">
        <is>
          <t>洪奇沥水道</t>
        </is>
      </c>
      <c r="D17" s="3" t="inlineStr">
        <is>
          <t>洪奇沥水道</t>
        </is>
      </c>
      <c r="E17" s="3" t="inlineStr">
        <is>
          <t>Ⅲ类</t>
        </is>
      </c>
      <c r="F17" s="3" t="inlineStr">
        <is>
          <t>高黎</t>
        </is>
      </c>
      <c r="G17" s="3" t="inlineStr">
        <is>
          <t>洪奇沥—高黎</t>
        </is>
      </c>
      <c r="H17" s="3" t="inlineStr">
        <is>
          <t>正确</t>
        </is>
      </c>
      <c r="I17" s="3" t="inlineStr">
        <is>
          <t>用户提供《收纳水体地表水执行标准xlsx》；2023年度顺德区公报</t>
        </is>
      </c>
    </row>
  </sheetData>
  <autoFilter ref="A1:I17"/>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8"/>
  <sheetViews>
    <sheetView workbookViewId="0">
      <pane ySplit="1" topLeftCell="A2" activePane="bottomLeft" state="frozen"/>
      <selection pane="bottomLeft" activeCell="A1" sqref="A1"/>
    </sheetView>
  </sheetViews>
  <sheetFormatPr baseColWidth="8" defaultRowHeight="15"/>
  <cols>
    <col width="24" customWidth="1" min="1" max="1"/>
    <col width="70" customWidth="1" min="2" max="2"/>
    <col width="70" customWidth="1" min="3" max="3"/>
    <col width="45" customWidth="1" min="4" max="4"/>
  </cols>
  <sheetData>
    <row r="1">
      <c r="A1" s="4" t="inlineStr">
        <is>
          <t>类别</t>
        </is>
      </c>
      <c r="B1" s="4" t="inlineStr">
        <is>
          <t>内容</t>
        </is>
      </c>
      <c r="C1" s="4" t="inlineStr">
        <is>
          <t>文件/网址</t>
        </is>
      </c>
      <c r="D1" s="4" t="inlineStr">
        <is>
          <t>用途</t>
        </is>
      </c>
    </row>
    <row r="2">
      <c r="A2" s="3" t="inlineStr">
        <is>
          <t>判定口径</t>
        </is>
      </c>
      <c r="B2" s="3" t="inlineStr">
        <is>
          <t>报告时间基准→近3个已发布数据年度→大气逐项核对→污水厂/受纳水体→河流/断面→类别和结论</t>
        </is>
      </c>
      <c r="C2" s="3" t="inlineStr">
        <is>
          <t>环境质量现状数据引用人工审核规则</t>
        </is>
      </c>
      <c r="D2" s="3" t="inlineStr">
        <is>
          <t>统一6份报告判定链</t>
        </is>
      </c>
    </row>
    <row r="3">
      <c r="A3" s="3" t="inlineStr">
        <is>
          <t>年度规则</t>
        </is>
      </c>
      <c r="B3" s="3" t="inlineStr">
        <is>
          <t>公报发布日期晚于报告日期时不得认定为当时可用；有更新公报不反向判错</t>
        </is>
      </c>
      <c r="C3" s="3" t="inlineStr">
        <is>
          <t>2022公报发布：2023-03-29；2023公报发布：2024-03-26；2024公报发布：2025-04-03</t>
        </is>
      </c>
      <c r="D3" s="3" t="inlineStr">
        <is>
          <t>近3年度与更新提示</t>
        </is>
      </c>
    </row>
    <row r="4">
      <c r="A4" s="3" t="inlineStr">
        <is>
          <t>知识库</t>
        </is>
      </c>
      <c r="B4" s="3" t="inlineStr">
        <is>
          <t>2022年度佛山市顺德区生态环境状况公报</t>
        </is>
      </c>
      <c r="C4" s="3" t="inlineStr">
        <is>
          <t>佛环顺函〔2023〕26号；PDF第2—3页、第5—6页</t>
        </is>
      </c>
      <c r="D4" s="3" t="inlineStr">
        <is>
          <t>PL001大气、顺德支流</t>
        </is>
      </c>
    </row>
    <row r="5">
      <c r="A5" s="3" t="inlineStr">
        <is>
          <t>知识库</t>
        </is>
      </c>
      <c r="B5" s="3" t="inlineStr">
        <is>
          <t>2023年度佛山市顺德区生态环境状况公报</t>
        </is>
      </c>
      <c r="C5" s="3" t="inlineStr">
        <is>
          <t>佛环顺函〔2024〕44号；PDF第2—3页、第5—6页</t>
        </is>
      </c>
      <c r="D5" s="3" t="inlineStr">
        <is>
          <t>PL019、PL022、PL026、PL036、PL043</t>
        </is>
      </c>
    </row>
    <row r="6">
      <c r="A6" s="3" t="inlineStr">
        <is>
          <t>更新公报</t>
        </is>
      </c>
      <c r="B6" s="3" t="inlineStr">
        <is>
          <t>2024年度佛山市顺德区生态环境状况公报</t>
        </is>
      </c>
      <c r="C6" s="3" t="inlineStr">
        <is>
          <t>佛环顺函〔2025〕12号</t>
        </is>
      </c>
      <c r="D6" s="3" t="inlineStr">
        <is>
          <t>仅作当前更新参考</t>
        </is>
      </c>
    </row>
    <row r="7">
      <c r="A7" s="3" t="inlineStr">
        <is>
          <t>用户资料</t>
        </is>
      </c>
      <c r="B7" s="3" t="inlineStr">
        <is>
          <t>收纳水体地表水执行标准xlsx</t>
        </is>
      </c>
      <c r="C7" s="3" t="inlineStr">
        <is>
          <t>用户上传工作簿Sheet1，A1:H15</t>
        </is>
      </c>
      <c r="D7" s="3" t="inlineStr">
        <is>
          <t>污水处理厂—排污口—受纳水体—目标类别</t>
        </is>
      </c>
    </row>
    <row r="8">
      <c r="A8" s="3" t="inlineStr">
        <is>
          <t>政府水利资料</t>
        </is>
      </c>
      <c r="B8" s="3" t="inlineStr">
        <is>
          <t>海洲水道与古镇水道别名关系</t>
        </is>
      </c>
      <c r="C8" s="3" t="inlineStr">
        <is>
          <t>https://water.zs.gov.cn/attachment/0/539/539638/1889301.pdf</t>
        </is>
      </c>
      <c r="D8" s="3" t="inlineStr">
        <is>
          <t>PL036河流别名核验</t>
        </is>
      </c>
    </row>
    <row r="9">
      <c r="A9" s="3" t="inlineStr">
        <is>
          <t>政府水利资料</t>
        </is>
      </c>
      <c r="B9" s="3" t="inlineStr">
        <is>
          <t>海洲水道（古镇水道）江门界河段</t>
        </is>
      </c>
      <c r="C9" s="3" t="inlineStr">
        <is>
          <t>https://www.jiangmen.gov.cn/bmpd/jmsslj/zwgk/gstg/content/post_1563988.html</t>
        </is>
      </c>
      <c r="D9" s="3" t="inlineStr">
        <is>
          <t>PL036河流别名补充证据</t>
        </is>
      </c>
    </row>
    <row r="10">
      <c r="A10" s="3" t="inlineStr">
        <is>
          <t>质控边界</t>
        </is>
      </c>
      <c r="B10" s="3" t="inlineStr">
        <is>
          <t>只核查报告实际引用的大气、地表水公报事实及与项目相关的河流/断面；不把报告未摘录的非关键指标判为错误</t>
        </is>
      </c>
      <c r="C10" s="3" t="inlineStr">
        <is>
          <t>审核规则</t>
        </is>
      </c>
      <c r="D10" s="3" t="inlineStr">
        <is>
          <t>避免全表无关条目扩大审核范围</t>
        </is>
      </c>
    </row>
    <row r="11">
      <c r="A11" s="3" t="inlineStr">
        <is>
          <t>统一问题</t>
        </is>
      </c>
      <c r="B11" s="3" t="inlineStr">
        <is>
          <t>请根据报告引用的环境质量公报及现状数据，判断大气和地表水环境质量现状数据引用是否准确。</t>
        </is>
      </c>
      <c r="C11" s="3" t="inlineStr">
        <is>
          <t>QA结果!F2:F7</t>
        </is>
      </c>
      <c r="D11" s="3" t="inlineStr">
        <is>
          <t>6份报告共用</t>
        </is>
      </c>
    </row>
    <row r="12">
      <c r="A12" s="3" t="inlineStr">
        <is>
          <t>Skill使用情况</t>
        </is>
      </c>
      <c r="B12" s="3" t="inlineStr">
        <is>
          <t>未找到manual-audit-eia-environmental-quality-data，按review-eia-environmental-quality-data和用户本轮规则执行。</t>
        </is>
      </c>
      <c r="C12" s="3" t="inlineStr">
        <is>
          <t>C:\Users\ylx\.codex\skills\review-eia-environmental-quality-data\SKILL.md</t>
        </is>
      </c>
      <c r="D12" s="3" t="inlineStr">
        <is>
          <t>流程约束</t>
        </is>
      </c>
    </row>
    <row r="13">
      <c r="A13" s="3" t="inlineStr">
        <is>
          <t>判定口径</t>
        </is>
      </c>
      <c r="B13" s="3" t="inlineStr">
        <is>
          <t>报告时间基准→近3个已发布数据年度→大气逐项核对→污水厂/受纳水体→河流/断面→类别和结论</t>
        </is>
      </c>
      <c r="C13" s="3" t="inlineStr">
        <is>
          <t>用户任务说明；上一批6份Excel结构</t>
        </is>
      </c>
      <c r="D13" s="3" t="inlineStr">
        <is>
          <t>统一本批判定链</t>
        </is>
      </c>
    </row>
    <row r="14">
      <c r="A14" s="3" t="inlineStr">
        <is>
          <t>年度规则</t>
        </is>
      </c>
      <c r="B14" s="3" t="inlineStr">
        <is>
          <t>2022公报发布2023-03-29；2023公报发布2024-03-26；2024公报发布2025-04-03；不得倒用报告形成日期之后公报。</t>
        </is>
      </c>
      <c r="C14" s="3" t="inlineStr">
        <is>
          <t>用户任务说明</t>
        </is>
      </c>
      <c r="D14" s="3" t="inlineStr">
        <is>
          <t>近3年可获得性判断</t>
        </is>
      </c>
    </row>
    <row r="15">
      <c r="A15" s="3" t="inlineStr">
        <is>
          <t>2022公报</t>
        </is>
      </c>
      <c r="B15" s="3" t="inlineStr">
        <is>
          <t>综合指数3.27，较2021年下降6.0%；AQI达标率78.8%，较2021年减少5.9个百分点；SO₂ 5、NO₂ 29、PM₁₀ 32、PM₂.₅ 19 μg/m³，O₃ 190 μg/m³，CO 1.1 mg/m³；O₃超标，其余达标</t>
        </is>
      </c>
      <c r="C15" s="3" t="inlineStr">
        <is>
          <t>D:\华南理工项目\智慧环评\智能审核\6、环境质量现状数据引用是否有误\所需材料\（顺德区）2022年度佛山市顺德区生态环境状况公报.pdf</t>
        </is>
      </c>
      <c r="D15" s="3" t="inlineStr">
        <is>
          <t>大气和主河道核验</t>
        </is>
      </c>
    </row>
    <row r="16">
      <c r="A16" s="3" t="inlineStr">
        <is>
          <t>2023公报</t>
        </is>
      </c>
      <c r="B16" s="3" t="inlineStr">
        <is>
          <t>综合指数3.14，较2022年下降4.0%；AQI达标率87.4%，较上年增加8.6个百分点；SO₂ 6、NO₂ 28、PM₁₀ 35、PM₂.₅ 20 μg/m³，O₃ 164 μg/m³，CO 1.0 mg/m³；O₃超标，其余达标</t>
        </is>
      </c>
      <c r="C16" s="3" t="inlineStr">
        <is>
          <t>D:\华南理工项目\智慧环评\智能审核\6、环境质量现状数据引用是否有误\所需材料\（顺德区）2023年度佛山市顺德区生态环境状况公报.pdf</t>
        </is>
      </c>
      <c r="D16" s="3" t="inlineStr">
        <is>
          <t>大气和主河道核验</t>
        </is>
      </c>
    </row>
    <row r="17">
      <c r="A17" s="3" t="inlineStr">
        <is>
          <t>受纳水体</t>
        </is>
      </c>
      <c r="B17" s="3" t="inlineStr">
        <is>
          <t>杏坛污水处理厂：排入水体北马涌，受纳水体顺德水道，评价标准II类。</t>
        </is>
      </c>
      <c r="C17" s="3" t="inlineStr">
        <is>
          <t>E:\华南理工项目\环评文件汇总\01_GitHub项目与研究文档\eia-openclaw-sync-chen2026\03_指南解析_明文标准库\Dify工作流知识库\#7_收纳水体地表水执行标准.csv</t>
        </is>
      </c>
      <c r="D17" s="3" t="inlineStr">
        <is>
          <t>污水厂—水体对应</t>
        </is>
      </c>
    </row>
    <row r="18">
      <c r="A18" s="3" t="inlineStr">
        <is>
          <t>限制</t>
        </is>
      </c>
      <c r="B18" s="3" t="inlineStr">
        <is>
          <t>官方URL未定位；未对DOCX中图片执行全页OCR；本批成果为人工核查前标记版。</t>
        </is>
      </c>
      <c r="C18" s="3" t="n"/>
      <c r="D18" s="3" t="inlineStr">
        <is>
          <t>质控说明</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T17"/>
  <sheetViews>
    <sheetView workbookViewId="0">
      <pane ySplit="1" topLeftCell="A2" activePane="bottomLeft" state="frozen"/>
      <selection pane="bottomLeft" activeCell="A1" sqref="A1"/>
    </sheetView>
  </sheetViews>
  <sheetFormatPr baseColWidth="8" defaultRowHeight="15"/>
  <cols>
    <col width="14" customWidth="1" min="1" max="1"/>
    <col width="18" customWidth="1" min="2" max="2"/>
    <col width="14" customWidth="1" min="3" max="3"/>
    <col width="42" customWidth="1" min="4" max="4"/>
    <col width="34" customWidth="1" min="5" max="5"/>
    <col width="18" customWidth="1" min="6" max="6"/>
    <col width="24" customWidth="1" min="7" max="7"/>
    <col width="42" customWidth="1" min="8" max="8"/>
    <col width="90" customWidth="1" min="9" max="9"/>
    <col width="65" customWidth="1" min="10" max="10"/>
    <col width="65" customWidth="1" min="11" max="11"/>
    <col width="16" customWidth="1" min="12" max="12"/>
    <col width="18" customWidth="1" min="13" max="13"/>
    <col width="14" customWidth="1" min="14" max="14"/>
    <col width="18" customWidth="1" min="15" max="15"/>
    <col width="20" customWidth="1" min="16" max="16"/>
    <col width="90" customWidth="1" min="17" max="17"/>
    <col width="14" customWidth="1" min="18" max="18"/>
    <col width="18" customWidth="1" min="19" max="19"/>
    <col width="55" customWidth="1" min="20" max="20"/>
  </cols>
  <sheetData>
    <row r="1">
      <c r="A1" s="4" t="inlineStr">
        <is>
          <t>date</t>
        </is>
      </c>
      <c r="B1" s="4" t="inlineStr">
        <is>
          <t>canonical_project_id</t>
        </is>
      </c>
      <c r="C1" s="4" t="inlineStr">
        <is>
          <t>version_round</t>
        </is>
      </c>
      <c r="D1" s="4" t="inlineStr">
        <is>
          <t>report_name</t>
        </is>
      </c>
      <c r="E1" s="4" t="inlineStr">
        <is>
          <t>project_name</t>
        </is>
      </c>
      <c r="F1" s="4" t="inlineStr">
        <is>
          <t>question_id</t>
        </is>
      </c>
      <c r="G1" s="4" t="inlineStr">
        <is>
          <t>audit_module</t>
        </is>
      </c>
      <c r="H1" s="4" t="inlineStr">
        <is>
          <t>question</t>
        </is>
      </c>
      <c r="I1" s="4" t="inlineStr">
        <is>
          <t>answer</t>
        </is>
      </c>
      <c r="J1" s="4" t="inlineStr">
        <is>
          <t>evidence</t>
        </is>
      </c>
      <c r="K1" s="4" t="inlineStr">
        <is>
          <t>source_basis</t>
        </is>
      </c>
      <c r="L1" s="4" t="inlineStr">
        <is>
          <t>scarcity_check</t>
        </is>
      </c>
      <c r="M1" s="4" t="inlineStr">
        <is>
          <t>verifiability_check</t>
        </is>
      </c>
      <c r="N1" s="4" t="inlineStr">
        <is>
          <t>manual_check</t>
        </is>
      </c>
      <c r="O1" s="4" t="inlineStr">
        <is>
          <t>人工判断</t>
        </is>
      </c>
      <c r="P1" s="4" t="inlineStr">
        <is>
          <t>人工备注</t>
        </is>
      </c>
      <c r="Q1" s="4" t="inlineStr">
        <is>
          <t>润色后答案</t>
        </is>
      </c>
      <c r="R1" s="4" t="inlineStr">
        <is>
          <t>修改类型</t>
        </is>
      </c>
      <c r="S1" s="4" t="inlineStr">
        <is>
          <t>是否需要人工复核</t>
        </is>
      </c>
      <c r="T1" s="4" t="inlineStr">
        <is>
          <t>AI标注备注</t>
        </is>
      </c>
    </row>
    <row r="2" ht="95" customHeight="1">
      <c r="A2" s="3" t="inlineStr">
        <is>
          <t>2026-07-25</t>
        </is>
      </c>
      <c r="B2" s="3" t="inlineStr">
        <is>
          <t>PL001</t>
        </is>
      </c>
      <c r="C2" s="3" t="inlineStr">
        <is>
          <t>V01</t>
        </is>
      </c>
      <c r="D2" s="3" t="inlineStr">
        <is>
          <t>PL001_佛山市亮正新材料有限公司新建项目_01_核查材料(1).docx</t>
        </is>
      </c>
      <c r="E2" s="3" t="inlineStr">
        <is>
          <t>佛山市亮正新材料有限公司新建项目</t>
        </is>
      </c>
      <c r="F2" s="3" t="inlineStr">
        <is>
          <t>需回原seed_qa续号</t>
        </is>
      </c>
      <c r="G2" s="3" t="inlineStr">
        <is>
          <t>环境质量现状数据引用准确性</t>
        </is>
      </c>
      <c r="H2" s="3" t="inlineStr">
        <is>
          <t>请根据报告引用的环境质量公报及现状数据，判断大气和地表水环境质量现状数据引用是否准确。</t>
        </is>
      </c>
      <c r="I2" s="3" t="inlineStr">
        <is>
          <t>1、大气及地表水环境质量引用数据不正确；
2、项目大气环境质量引用《2022年度佛山市顺德区生态环境状况公报》。报告编制于2023年6月，该公报当时已发布且属于近3个可用年度。环评正文所述空气质量综合指数3.27、较2021年下降6.0%、全市五区排名第二，以及SO₂、NO₂、PM₁₀、PM₂.₅、CO达标、O₃超标的结论与公报一致，图3-1数值也一致；但表3-1将比较年份写为2020年、2021年，正确应为2021年、2022年，并将PM₁₀、PM₂.₅的变化率23.8%、13.6%漏写负号，正确应为-23.8%、-13.6%。项目地表水环境质量引用《2021年1—12月市控考核断面水质情况》和《2022年度佛山市顺德区生态环境状况公报》。报告明确排水路径为古齐涌—新涌大河—顺德支流，但表3-2及其后结论却摘录东海大河；原市控截图中“新涌大河”与“东海大河”为两条独立记录，正确应引用“新涌大河：2021年水质目标Ⅴ类、水质类别Ⅴ类、达标”。顺德支流新涌、飞鹅山断面2022年均为Ⅲ类，与公报一致。截至本次复核，已有《2024年度佛山市顺德区生态环境状况公报》，可供后续更新参考，但不改变对历史引用的判定。</t>
        </is>
      </c>
      <c r="J2" s="3" t="inlineStr">
        <is>
          <t>报告表第25—28页：表3-1、图3-1、表3-2、图3-2、表3-3</t>
        </is>
      </c>
      <c r="K2" s="3" t="inlineStr">
        <is>
          <t>大气：《2022年度佛山市顺德区生态环境状况公报》；地表水：《2021年1—12月市控考核断面水质情况》；《2022年度佛山市顺德区生态环境状况公报》；报告：PL001_佛山市亮正新材料有限公司新建项目_01_核查材料(1).docx</t>
        </is>
      </c>
      <c r="L2" s="3" t="inlineStr">
        <is>
          <t>TRUE</t>
        </is>
      </c>
      <c r="M2" s="3" t="inlineStr">
        <is>
          <t>TRUE</t>
        </is>
      </c>
      <c r="N2" s="3" t="inlineStr">
        <is>
          <t>FALSE</t>
        </is>
      </c>
      <c r="O2" s="3" t="inlineStr">
        <is>
          <t>待人工确认</t>
        </is>
      </c>
      <c r="P2" s="3" t="inlineStr"/>
      <c r="Q2" s="3" t="inlineStr">
        <is>
          <t>1、大气及地表水环境质量引用数据不正确；
2、项目大气环境质量引用《2022年度佛山市顺德区生态环境状况公报》。报告编制于2023年6月，该公报当时已发布且属于近3个可用年度。环评正文所述空气质量综合指数3.27、较2021年下降6.0%、全市五区排名第二，以及SO₂、NO₂、PM₁₀、PM₂.₅、CO达标、O₃超标的结论与公报一致，图3-1数值也一致；但表3-1将比较年份写为2020年、2021年，正确应为2021年、2022年，并将PM₁₀、PM₂.₅的变化率23.8%、13.6%漏写负号，正确应为-23.8%、-13.6%。项目地表水环境质量引用《2021年1—12月市控考核断面水质情况》和《2022年度佛山市顺德区生态环境状况公报》。报告明确排水路径为古齐涌—新涌大河—顺德支流，但表3-2及其后结论却摘录东海大河；原市控截图中“新涌大河”与“东海大河”为两条独立记录，正确应引用“新涌大河：2021年水质目标Ⅴ类、水质类别Ⅴ类、达标”。顺德支流新涌、飞鹅山断面2022年均为Ⅲ类，与公报一致。截至本次复核，已有《2024年度佛山市顺德区生态环境状况公报》，可供后续更新参考，但不改变对历史引用的判定。</t>
        </is>
      </c>
      <c r="R2" s="3" t="inlineStr">
        <is>
          <t>新增</t>
        </is>
      </c>
      <c r="S2" s="3" t="inlineStr">
        <is>
          <t>TRUE</t>
        </is>
      </c>
      <c r="T2" s="3" t="inlineStr">
        <is>
          <t>由第一批QA结果表合并生成，待人工复核；原第一批工作簿未包含待回填seed_qa工作表。</t>
        </is>
      </c>
    </row>
    <row r="3" ht="95" customHeight="1">
      <c r="A3" s="3" t="inlineStr">
        <is>
          <t>2026-07-25</t>
        </is>
      </c>
      <c r="B3" s="3" t="inlineStr">
        <is>
          <t>PL002</t>
        </is>
      </c>
      <c r="C3" s="3" t="inlineStr">
        <is>
          <t>V01</t>
        </is>
      </c>
      <c r="D3" s="3" t="inlineStr">
        <is>
          <t>佛山市顺德区启卓工程塑料实业有限公司搬迁项目.docx</t>
        </is>
      </c>
      <c r="E3" s="3" t="inlineStr">
        <is>
          <t>佛山市顺德区启卓工程塑料实业有限公司搬迁项目</t>
        </is>
      </c>
      <c r="F3" s="3" t="inlineStr">
        <is>
          <t>PL002_V01_Q11</t>
        </is>
      </c>
      <c r="G3" s="3" t="inlineStr">
        <is>
          <t>环境质量现状数据引用准确性</t>
        </is>
      </c>
      <c r="H3" s="3" t="inlineStr">
        <is>
          <t>请根据报告引用的环境质量公报及现状数据，判断大气和地表水环境质量现状数据引用是否准确。</t>
        </is>
      </c>
      <c r="I3" s="3" t="inlineStr">
        <is>
          <t>1、大气环境质量引用数据正确，地表水环境质量引用数据不正确；
2、项目大气环境质量引用《2022年度佛山市顺德区生态环境状况公报》（数据年度：2022）。经核对，环评中的大气环境质量分析与该公报【一致】。报告引用2022年度顺德区公报，大气综合指数、AQI或六项污染物达标结论与公报一致；部分项目未完整转出图表数值，已保留人工复核提示。
项目地表水环境质量引用《2022年度佛山市顺德区生态环境状况公报》及收纳水体地表水执行标准。项目污水处理厂、直接排入水体和最终受纳水体分别为【杏坛污水处理厂；报告写法：顺德支流；对照依据：北马涌→顺德水道（II类）】。经核对，报告采用的河流、断面、水质类别及达标结论与对照依据【不一致】。报告将杏坛污水处理厂尾水/受纳水体对应为顺德支流并引用顺德支流断面；水体资料显示杏坛污水处理厂排入水体为北马涌、受纳水体为顺德水道，应核对顺德水道相应断面。</t>
        </is>
      </c>
      <c r="J3" s="3" t="inlineStr">
        <is>
          <t>报告文件：PL002_佛山市顺德区启卓工程塑料实业有限公司搬迁项目_01_核查材料.docx；大气证据：DOCX正文，三、区域环境质量现状、环境保护目标及评价标准（报告表第42页起），表3-1或空气质量现状段；地表水证据：DOCX正文，三、区域环境质量现状、环境保护目标及评价标准（报告表第42页起），地表水环境质量现状段/表3-2或表3-4。</t>
        </is>
      </c>
      <c r="K3" s="3" t="inlineStr">
        <is>
          <t>报告：E:\华南理工项目\环评文件汇总\01_GitHub项目与研究文档\eia-openclaw-sync-chen2026\05_QA测试集\人工核查_环评报告出处整理_20260715\环评报告文件_按问答顺序\PL002_佛山市顺德区启卓工程塑料实业有限公司搬迁项目_01_核查材料.docx；公报：D:\华南理工项目\智慧环评\智能审核\6、环境质量现状数据引用是否有误\所需材料\（顺德区）2022年度佛山市顺德区生态环境状况公报.pdf；PDF第2—3页；水体资料：E:\华南理工项目\环评文件汇总\01_GitHub项目与研究文档\eia-openclaw-sync-chen2026\03_指南解析_明文标准库\Dify工作流知识库\#7_收纳水体地表水执行标准.csv；2024年度更新公报：D:\华南理工项目\智慧环评\智能审核\6、环境质量现状数据引用是否有误\所需材料\（顺德区）2024年度佛山市顺德区生态环境状况公报.pdf；官方URL未定位，使用本地归档正式PDF/CSV。</t>
        </is>
      </c>
      <c r="L3" s="3" t="inlineStr">
        <is>
          <t>TRUE</t>
        </is>
      </c>
      <c r="M3" s="3" t="inlineStr">
        <is>
          <t>TRUE</t>
        </is>
      </c>
      <c r="N3" s="3" t="inlineStr">
        <is>
          <t>FALSE</t>
        </is>
      </c>
      <c r="O3" s="3" t="inlineStr">
        <is>
          <t>待人工确认</t>
        </is>
      </c>
      <c r="P3" s="3" t="inlineStr"/>
      <c r="Q3" s="3" t="inlineStr">
        <is>
          <t>1、大气环境质量引用数据正确，地表水环境质量引用数据不正确；
2、项目大气环境质量引用《2022年度佛山市顺德区生态环境状况公报》（数据年度：2022）。经核对，环评中的大气环境质量分析与该公报【一致】。报告引用2022年度顺德区公报，大气综合指数、AQI或六项污染物达标结论与公报一致；部分项目未完整转出图表数值，已保留人工复核提示。
项目地表水环境质量引用《2022年度佛山市顺德区生态环境状况公报》及收纳水体地表水执行标准。项目污水处理厂、直接排入水体和最终受纳水体分别为【杏坛污水处理厂；报告写法：顺德支流；对照依据：北马涌→顺德水道（II类）】。经核对，报告采用的河流、断面、水质类别及达标结论与对照依据【不一致】。报告将杏坛污水处理厂尾水/受纳水体对应为顺德支流并引用顺德支流断面；水体资料显示杏坛污水处理厂排入水体为北马涌、受纳水体为顺德水道，应核对顺德水道相应断面。</t>
        </is>
      </c>
      <c r="R3" s="3" t="inlineStr">
        <is>
          <t>新增</t>
        </is>
      </c>
      <c r="S3" s="3" t="inlineStr">
        <is>
          <t>TRUE</t>
        </is>
      </c>
      <c r="T3" s="3" t="inlineStr">
        <is>
          <t>OCR情况：未做全页OCR，DOCX机读文本可定位主要证据；证据缺口：官方URL未定位，部分图表数值需人工核验；水体关系：报告将杏坛污水处理厂尾水/受纳水体对应为顺德支流并引用顺德支流断面；水体资料显示杏坛污水处理厂排入水体为北马涌、受纳水体为顺德水道，应核对顺德水道相应断面。</t>
        </is>
      </c>
    </row>
    <row r="4" ht="95" customHeight="1">
      <c r="A4" s="3" t="inlineStr">
        <is>
          <t>2026-07-25</t>
        </is>
      </c>
      <c r="B4" s="3" t="inlineStr">
        <is>
          <t>PL003</t>
        </is>
      </c>
      <c r="C4" s="3" t="inlineStr">
        <is>
          <t>V01</t>
        </is>
      </c>
      <c r="D4" s="3" t="inlineStr">
        <is>
          <t>佛山市顺德区康明新材料厂新建项目.docx</t>
        </is>
      </c>
      <c r="E4" s="3" t="inlineStr">
        <is>
          <t>佛山市顺德区康明新材料厂新建项目</t>
        </is>
      </c>
      <c r="F4" s="3" t="inlineStr">
        <is>
          <t>PL003_V01_Q11</t>
        </is>
      </c>
      <c r="G4" s="3" t="inlineStr">
        <is>
          <t>环境质量现状数据引用准确性</t>
        </is>
      </c>
      <c r="H4" s="3" t="inlineStr">
        <is>
          <t>请根据报告引用的环境质量公报及现状数据，判断大气和地表水环境质量现状数据引用是否准确。</t>
        </is>
      </c>
      <c r="I4" s="3" t="inlineStr">
        <is>
          <t>1、因缺少具体证据需复核；
2、项目大气环境质量引用《2022年度佛山市顺德区生态环境状况公报》（数据年度：2022）。经核对，环评中的大气环境质量分析与该公报【一致】。报告引用2022年度顺德区公报，大气综合指数、AQI或六项污染物达标结论与公报一致；部分项目未完整转出图表数值，已保留人工复核提示。
项目地表水环境质量引用《2022年度佛山市顺德区生态环境状况公报》及收纳水体地表水执行标准。项目污水处理厂、直接排入水体和最终受纳水体分别为【杏坛镇吉祐村红砖厂农村生活污水处理站；报告写法：顺德支流；砖厂涌；对照依据：顺德支流（农村生活污水处理站关系需核验）】。经核对，报告采用的河流、断面、水质类别及达标结论与对照依据【暂无法核验】。报告称进入杏坛镇吉祐村红砖厂农村生活污水处理站并经砖厂涌汇入顺德支流，但本地水体资料未收录该农村生活污水处理站—河涌—断面对应关系。</t>
        </is>
      </c>
      <c r="J4" s="3" t="inlineStr">
        <is>
          <t>报告文件：PL003_佛山市顺德区康明新材料厂新建项目_01_核查材料.docx；大气证据：DOCX正文，三、区域环境质量现状、环境保护目标及评价标准，表3-1或空气质量现状段；地表水证据：DOCX正文，三、区域环境质量现状、环境保护目标及评价标准，地表水环境质量现状段/表3-2或表3-4。</t>
        </is>
      </c>
      <c r="K4" s="3" t="inlineStr">
        <is>
          <t>报告：E:\华南理工项目\环评文件汇总\01_GitHub项目与研究文档\eia-openclaw-sync-chen2026\05_QA测试集\人工核查_环评报告出处整理_20260715\环评报告文件_按问答顺序\PL003_佛山市顺德区康明新材料厂新建项目_01_核查材料.docx；公报：D:\华南理工项目\智慧环评\智能审核\6、环境质量现状数据引用是否有误\所需材料\（顺德区）2022年度佛山市顺德区生态环境状况公报.pdf；PDF第2—3页；水体资料：E:\华南理工项目\环评文件汇总\01_GitHub项目与研究文档\eia-openclaw-sync-chen2026\03_指南解析_明文标准库\Dify工作流知识库\#7_收纳水体地表水执行标准.csv；2024年度更新公报：D:\华南理工项目\智慧环评\智能审核\6、环境质量现状数据引用是否有误\所需材料\（顺德区）2024年度佛山市顺德区生态环境状况公报.pdf；官方URL未定位，使用本地归档正式PDF/CSV。</t>
        </is>
      </c>
      <c r="L4" s="3" t="inlineStr">
        <is>
          <t>TRUE</t>
        </is>
      </c>
      <c r="M4" s="3" t="inlineStr">
        <is>
          <t>TRUE</t>
        </is>
      </c>
      <c r="N4" s="3" t="inlineStr">
        <is>
          <t>FALSE</t>
        </is>
      </c>
      <c r="O4" s="3" t="inlineStr">
        <is>
          <t>待人工确认</t>
        </is>
      </c>
      <c r="P4" s="3" t="inlineStr"/>
      <c r="Q4" s="3" t="inlineStr">
        <is>
          <t>1、因缺少具体证据需复核；
2、项目大气环境质量引用《2022年度佛山市顺德区生态环境状况公报》（数据年度：2022）。经核对，环评中的大气环境质量分析与该公报【一致】。报告引用2022年度顺德区公报，大气综合指数、AQI或六项污染物达标结论与公报一致；部分项目未完整转出图表数值，已保留人工复核提示。
项目地表水环境质量引用《2022年度佛山市顺德区生态环境状况公报》及收纳水体地表水执行标准。项目污水处理厂、直接排入水体和最终受纳水体分别为【杏坛镇吉祐村红砖厂农村生活污水处理站；报告写法：顺德支流；砖厂涌；对照依据：顺德支流（农村生活污水处理站关系需核验）】。经核对，报告采用的河流、断面、水质类别及达标结论与对照依据【暂无法核验】。报告称进入杏坛镇吉祐村红砖厂农村生活污水处理站并经砖厂涌汇入顺德支流，但本地水体资料未收录该农村生活污水处理站—河涌—断面对应关系。</t>
        </is>
      </c>
      <c r="R4" s="3" t="inlineStr">
        <is>
          <t>新增</t>
        </is>
      </c>
      <c r="S4" s="3" t="inlineStr">
        <is>
          <t>TRUE</t>
        </is>
      </c>
      <c r="T4" s="3" t="inlineStr">
        <is>
          <t>OCR情况：未做全页OCR，DOCX机读文本可定位主要证据；证据缺口：官方URL未定位，部分图表数值需人工核验；水体关系：报告称进入杏坛镇吉祐村红砖厂农村生活污水处理站并经砖厂涌汇入顺德支流，但本地水体资料未收录该农村生活污水处理站—河涌—断面对应关系。</t>
        </is>
      </c>
    </row>
    <row r="5" ht="95" customHeight="1">
      <c r="A5" s="3" t="inlineStr">
        <is>
          <t>2026-07-25</t>
        </is>
      </c>
      <c r="B5" s="3" t="inlineStr">
        <is>
          <t>PL004</t>
        </is>
      </c>
      <c r="C5" s="3" t="inlineStr">
        <is>
          <t>V01</t>
        </is>
      </c>
      <c r="D5" s="3" t="inlineStr">
        <is>
          <t>恒励新材料科技（佛山）有限公司新建项目.docx</t>
        </is>
      </c>
      <c r="E5" s="3" t="inlineStr">
        <is>
          <t>恒励新材料科技(佛山)有限公司新建项目</t>
        </is>
      </c>
      <c r="F5" s="3" t="inlineStr">
        <is>
          <t>PL004_V01_Q11</t>
        </is>
      </c>
      <c r="G5" s="3" t="inlineStr">
        <is>
          <t>环境质量现状数据引用准确性</t>
        </is>
      </c>
      <c r="H5" s="3" t="inlineStr">
        <is>
          <t>请根据报告引用的环境质量公报及现状数据，判断大气和地表水环境质量现状数据引用是否准确。</t>
        </is>
      </c>
      <c r="I5" s="3" t="inlineStr">
        <is>
          <t>1、大气环境质量引用数据正确，地表水环境质量引用数据不正确；
2、项目大气环境质量引用《2022年度佛山市顺德区生态环境状况公报》（数据年度：2022）。经核对，环评中的大气环境质量分析与该公报【一致】。报告引用2022年度顺德区公报，大气综合指数、AQI或六项污染物达标结论与公报一致；部分项目未完整转出图表数值，已保留人工复核提示。
项目地表水环境质量引用《2022年度佛山市顺德区生态环境状况公报》及收纳水体地表水执行标准。项目污水处理厂、直接排入水体和最终受纳水体分别为【杏坛污水处理厂；报告写法：顺德支流；对照依据：北马涌→顺德水道（II类）】。经核对，报告采用的河流、断面、水质类别及达标结论与对照依据【不一致】。报告将杏坛污水处理厂尾水/受纳水体对应为顺德支流并引用顺德支流断面；水体资料显示杏坛污水处理厂排入水体为北马涌、受纳水体为顺德水道，应核对顺德水道相应断面。</t>
        </is>
      </c>
      <c r="J5" s="3" t="inlineStr">
        <is>
          <t>报告文件：PL004_恒励新材料科技(佛山)有限公司新建项目_01_核查材料.docx；大气证据：DOCX正文，三、区域环境质量现状、环境保护目标及评价标准（报告表第36页起），表3-1或空气质量现状段；地表水证据：DOCX正文，三、区域环境质量现状、环境保护目标及评价标准（报告表第36页起），地表水环境质量现状段/表3-2或表3-4。</t>
        </is>
      </c>
      <c r="K5" s="3" t="inlineStr">
        <is>
          <t>报告：E:\华南理工项目\环评文件汇总\01_GitHub项目与研究文档\eia-openclaw-sync-chen2026\05_QA测试集\人工核查_环评报告出处整理_20260715\环评报告文件_按问答顺序\PL004_恒励新材料科技(佛山)有限公司新建项目_01_核查材料.docx；公报：D:\华南理工项目\智慧环评\智能审核\6、环境质量现状数据引用是否有误\所需材料\（顺德区）2022年度佛山市顺德区生态环境状况公报.pdf；PDF第2—3页；水体资料：E:\华南理工项目\环评文件汇总\01_GitHub项目与研究文档\eia-openclaw-sync-chen2026\03_指南解析_明文标准库\Dify工作流知识库\#7_收纳水体地表水执行标准.csv；2024年度更新公报：D:\华南理工项目\智慧环评\智能审核\6、环境质量现状数据引用是否有误\所需材料\（顺德区）2024年度佛山市顺德区生态环境状况公报.pdf；官方URL未定位，使用本地归档正式PDF/CSV。</t>
        </is>
      </c>
      <c r="L5" s="3" t="inlineStr">
        <is>
          <t>TRUE</t>
        </is>
      </c>
      <c r="M5" s="3" t="inlineStr">
        <is>
          <t>TRUE</t>
        </is>
      </c>
      <c r="N5" s="3" t="inlineStr">
        <is>
          <t>FALSE</t>
        </is>
      </c>
      <c r="O5" s="3" t="inlineStr">
        <is>
          <t>待人工确认</t>
        </is>
      </c>
      <c r="P5" s="3" t="inlineStr"/>
      <c r="Q5" s="3" t="inlineStr">
        <is>
          <t>1、大气环境质量引用数据正确，地表水环境质量引用数据不正确；
2、项目大气环境质量引用《2022年度佛山市顺德区生态环境状况公报》（数据年度：2022）。经核对，环评中的大气环境质量分析与该公报【一致】。报告引用2022年度顺德区公报，大气综合指数、AQI或六项污染物达标结论与公报一致；部分项目未完整转出图表数值，已保留人工复核提示。
项目地表水环境质量引用《2022年度佛山市顺德区生态环境状况公报》及收纳水体地表水执行标准。项目污水处理厂、直接排入水体和最终受纳水体分别为【杏坛污水处理厂；报告写法：顺德支流；对照依据：北马涌→顺德水道（II类）】。经核对，报告采用的河流、断面、水质类别及达标结论与对照依据【不一致】。报告将杏坛污水处理厂尾水/受纳水体对应为顺德支流并引用顺德支流断面；水体资料显示杏坛污水处理厂排入水体为北马涌、受纳水体为顺德水道，应核对顺德水道相应断面。</t>
        </is>
      </c>
      <c r="R5" s="3" t="inlineStr">
        <is>
          <t>新增</t>
        </is>
      </c>
      <c r="S5" s="3" t="inlineStr">
        <is>
          <t>TRUE</t>
        </is>
      </c>
      <c r="T5" s="3" t="inlineStr">
        <is>
          <t>OCR情况：未做全页OCR，DOCX机读文本可定位主要证据；证据缺口：官方URL未定位，部分图表数值需人工核验；水体关系：报告将杏坛污水处理厂尾水/受纳水体对应为顺德支流并引用顺德支流断面；水体资料显示杏坛污水处理厂排入水体为北马涌、受纳水体为顺德水道，应核对顺德水道相应断面。</t>
        </is>
      </c>
    </row>
    <row r="6" ht="95" customHeight="1">
      <c r="A6" s="3" t="inlineStr">
        <is>
          <t>2026-07-25</t>
        </is>
      </c>
      <c r="B6" s="3" t="inlineStr">
        <is>
          <t>PL005</t>
        </is>
      </c>
      <c r="C6" s="3" t="inlineStr">
        <is>
          <t>V01</t>
        </is>
      </c>
      <c r="D6" s="3" t="inlineStr">
        <is>
          <t>佛山市润特龙清洁用品有限公司新建项目.docx</t>
        </is>
      </c>
      <c r="E6" s="3" t="inlineStr">
        <is>
          <t>佛山市润特龙清洁用品有限公司新建项目</t>
        </is>
      </c>
      <c r="F6" s="3" t="inlineStr">
        <is>
          <t>PL005_V01_Q11</t>
        </is>
      </c>
      <c r="G6" s="3" t="inlineStr">
        <is>
          <t>环境质量现状数据引用准确性</t>
        </is>
      </c>
      <c r="H6" s="3" t="inlineStr">
        <is>
          <t>请根据报告引用的环境质量公报及现状数据，判断大气和地表水环境质量现状数据引用是否准确。</t>
        </is>
      </c>
      <c r="I6" s="3" t="inlineStr">
        <is>
          <t>1、因缺少具体证据需复核；
2、项目大气环境质量引用未明确公报（数据年度：未明确）。经核对，环评中的大气环境质量分析与该公报【暂无法核验】。未能在DOCX机读文本中定位大气环境质量现状公报引用或关键数值。
项目地表水环境质量引用《2022年度佛山市顺德区生态环境状况公报》及收纳水体地表水执行标准。项目污水处理厂、直接排入水体和最终受纳水体分别为【杏坛污水处理厂；报告写法：顺德支流；对照依据：北马涌→顺德水道（II类）】。经核对，报告采用的河流、断面、水质类别及达标结论与对照依据【不一致】。报告将杏坛污水处理厂尾水/受纳水体对应为顺德支流并引用顺德支流断面；水体资料显示杏坛污水处理厂排入水体为北马涌、受纳水体为顺德水道，应核对顺德水道相应断面。</t>
        </is>
      </c>
      <c r="J6" s="3" t="inlineStr">
        <is>
          <t>报告文件：PL005_佛山市润特龙清洁用品有限公司新建项目_01_核查材料.docx；大气证据：DOCX正文，三、区域环境质量现状、环境保护目标及评价标准，表3-1或空气质量现状段；地表水证据：DOCX正文，三、区域环境质量现状、环境保护目标及评价标准，地表水环境质量现状段/表3-2或表3-4。</t>
        </is>
      </c>
      <c r="K6" s="3" t="inlineStr">
        <is>
          <t>报告：E:\华南理工项目\环评文件汇总\01_GitHub项目与研究文档\eia-openclaw-sync-chen2026\05_QA测试集\人工核查_环评报告出处整理_20260715\环评报告文件_按问答顺序\PL005_佛山市润特龙清洁用品有限公司新建项目_01_核查材料.docx；公报：未定位对应年度公报；水体资料：E:\华南理工项目\环评文件汇总\01_GitHub项目与研究文档\eia-openclaw-sync-chen2026\03_指南解析_明文标准库\Dify工作流知识库\#7_收纳水体地表水执行标准.csv；2024年度更新公报：D:\华南理工项目\智慧环评\智能审核\6、环境质量现状数据引用是否有误\所需材料\（顺德区）2024年度佛山市顺德区生态环境状况公报.pdf；官方URL未定位，使用本地归档正式PDF/CSV。</t>
        </is>
      </c>
      <c r="L6" s="3" t="inlineStr">
        <is>
          <t>TRUE</t>
        </is>
      </c>
      <c r="M6" s="3" t="inlineStr">
        <is>
          <t>TRUE</t>
        </is>
      </c>
      <c r="N6" s="3" t="inlineStr">
        <is>
          <t>FALSE</t>
        </is>
      </c>
      <c r="O6" s="3" t="inlineStr">
        <is>
          <t>待人工确认</t>
        </is>
      </c>
      <c r="P6" s="3" t="inlineStr"/>
      <c r="Q6" s="3" t="inlineStr">
        <is>
          <t>1、因缺少具体证据需复核；
2、项目大气环境质量引用未明确公报（数据年度：未明确）。经核对，环评中的大气环境质量分析与该公报【暂无法核验】。未能在DOCX机读文本中定位大气环境质量现状公报引用或关键数值。
项目地表水环境质量引用《2022年度佛山市顺德区生态环境状况公报》及收纳水体地表水执行标准。项目污水处理厂、直接排入水体和最终受纳水体分别为【杏坛污水处理厂；报告写法：顺德支流；对照依据：北马涌→顺德水道（II类）】。经核对，报告采用的河流、断面、水质类别及达标结论与对照依据【不一致】。报告将杏坛污水处理厂尾水/受纳水体对应为顺德支流并引用顺德支流断面；水体资料显示杏坛污水处理厂排入水体为北马涌、受纳水体为顺德水道，应核对顺德水道相应断面。</t>
        </is>
      </c>
      <c r="R6" s="3" t="inlineStr">
        <is>
          <t>新增</t>
        </is>
      </c>
      <c r="S6" s="3" t="inlineStr">
        <is>
          <t>TRUE</t>
        </is>
      </c>
      <c r="T6" s="3" t="inlineStr">
        <is>
          <t>OCR情况：未做全页OCR，DOCX机读文本可定位主要证据；证据缺口：官方URL未定位，部分图表数值需人工核验；水体关系：报告将杏坛污水处理厂尾水/受纳水体对应为顺德支流并引用顺德支流断面；水体资料显示杏坛污水处理厂排入水体为北马涌、受纳水体为顺德水道，应核对顺德水道相应断面。</t>
        </is>
      </c>
    </row>
    <row r="7" ht="95" customHeight="1">
      <c r="A7" s="3" t="inlineStr">
        <is>
          <t>2026-07-25</t>
        </is>
      </c>
      <c r="B7" s="3" t="inlineStr">
        <is>
          <t>PL006</t>
        </is>
      </c>
      <c r="C7" s="3" t="inlineStr">
        <is>
          <t>V01</t>
        </is>
      </c>
      <c r="D7" s="3" t="inlineStr">
        <is>
          <t>202403061513437166乐鲸修改意见.docx</t>
        </is>
      </c>
      <c r="E7" s="3" t="inlineStr">
        <is>
          <t>佛山市顺德区乐鲸科技有限公司年产五金拉手300万个新建项目</t>
        </is>
      </c>
      <c r="F7" s="3" t="inlineStr">
        <is>
          <t>PL006_V01_Q07</t>
        </is>
      </c>
      <c r="G7" s="3" t="inlineStr">
        <is>
          <t>环境质量现状数据引用准确性</t>
        </is>
      </c>
      <c r="H7" s="3" t="inlineStr">
        <is>
          <t>请根据报告引用的环境质量公报及现状数据，判断大气和地表水环境质量现状数据引用是否准确。</t>
        </is>
      </c>
      <c r="I7" s="3" t="inlineStr">
        <is>
          <t>1、大气环境质量引用数据正确，地表水环境质量引用数据不正确；
2、项目大气环境质量引用《2022年度佛山市顺德区生态环境状况公报》（数据年度：2022）。经核对，环评中的大气环境质量分析与该公报【一致】。报告引用2022年度顺德区公报，大气综合指数、AQI或六项污染物达标结论与公报一致；部分项目未完整转出图表数值，已保留人工复核提示。
项目地表水环境质量引用《2022年度佛山市顺德区生态环境状况公报》及收纳水体地表水执行标准。项目污水处理厂、直接排入水体和最终受纳水体分别为【杏坛污水处理厂；报告写法：顺德支流；对照依据：北马涌→顺德水道（II类）】。经核对，报告采用的河流、断面、水质类别及达标结论与对照依据【不一致】。报告将杏坛污水处理厂尾水/受纳水体对应为顺德支流并引用顺德支流断面；水体资料显示杏坛污水处理厂排入水体为北马涌、受纳水体为顺德水道，应核对顺德水道相应断面。</t>
        </is>
      </c>
      <c r="J7" s="3" t="inlineStr">
        <is>
          <t>报告文件：PL006_佛山市顺德区乐鲸科技有限公司年产五金拉手300万个新建项目_01_修改评估意见.docx；大气证据：DOCX正文，三、区域环境质量现状、环境保护目标及评价标准（报告表第26页起），表3-1或空气质量现状段；地表水证据：DOCX正文，三、区域环境质量现状、环境保护目标及评价标准（报告表第26页起），地表水环境质量现状段/表3-2或表3-4。</t>
        </is>
      </c>
      <c r="K7" s="3" t="inlineStr">
        <is>
          <t>报告：E:\华南理工项目\环评文件汇总\01_GitHub项目与研究文档\eia-openclaw-sync-chen2026\05_QA测试集\人工核查_环评报告出处整理_20260715\环评报告文件_按问答顺序\PL006_佛山市顺德区乐鲸科技有限公司年产五金拉手300万个新建项目_01_修改评估意见.docx；公报：D:\华南理工项目\智慧环评\智能审核\6、环境质量现状数据引用是否有误\所需材料\（顺德区）2022年度佛山市顺德区生态环境状况公报.pdf；PDF第2—3页；水体资料：E:\华南理工项目\环评文件汇总\01_GitHub项目与研究文档\eia-openclaw-sync-chen2026\03_指南解析_明文标准库\Dify工作流知识库\#7_收纳水体地表水执行标准.csv；2024年度更新公报：D:\华南理工项目\智慧环评\智能审核\6、环境质量现状数据引用是否有误\所需材料\（顺德区）2024年度佛山市顺德区生态环境状况公报.pdf；官方URL未定位，使用本地归档正式PDF/CSV。</t>
        </is>
      </c>
      <c r="L7" s="3" t="inlineStr">
        <is>
          <t>TRUE</t>
        </is>
      </c>
      <c r="M7" s="3" t="inlineStr">
        <is>
          <t>TRUE</t>
        </is>
      </c>
      <c r="N7" s="3" t="inlineStr">
        <is>
          <t>FALSE</t>
        </is>
      </c>
      <c r="O7" s="3" t="inlineStr">
        <is>
          <t>待人工确认</t>
        </is>
      </c>
      <c r="P7" s="3" t="inlineStr"/>
      <c r="Q7" s="3" t="inlineStr">
        <is>
          <t>1、大气环境质量引用数据正确，地表水环境质量引用数据不正确；
2、项目大气环境质量引用《2022年度佛山市顺德区生态环境状况公报》（数据年度：2022）。经核对，环评中的大气环境质量分析与该公报【一致】。报告引用2022年度顺德区公报，大气综合指数、AQI或六项污染物达标结论与公报一致；部分项目未完整转出图表数值，已保留人工复核提示。
项目地表水环境质量引用《2022年度佛山市顺德区生态环境状况公报》及收纳水体地表水执行标准。项目污水处理厂、直接排入水体和最终受纳水体分别为【杏坛污水处理厂；报告写法：顺德支流；对照依据：北马涌→顺德水道（II类）】。经核对，报告采用的河流、断面、水质类别及达标结论与对照依据【不一致】。报告将杏坛污水处理厂尾水/受纳水体对应为顺德支流并引用顺德支流断面；水体资料显示杏坛污水处理厂排入水体为北马涌、受纳水体为顺德水道，应核对顺德水道相应断面。</t>
        </is>
      </c>
      <c r="R7" s="3" t="inlineStr">
        <is>
          <t>新增</t>
        </is>
      </c>
      <c r="S7" s="3" t="inlineStr">
        <is>
          <t>TRUE</t>
        </is>
      </c>
      <c r="T7" s="3" t="inlineStr">
        <is>
          <t>OCR情况：未做全页OCR，DOCX机读文本可定位主要证据；证据缺口：官方URL未定位，部分图表数值需人工核验；水体关系：报告将杏坛污水处理厂尾水/受纳水体对应为顺德支流并引用顺德支流断面；水体资料显示杏坛污水处理厂排入水体为北马涌、受纳水体为顺德水道，应核对顺德水道相应断面。</t>
        </is>
      </c>
    </row>
    <row r="8" ht="95" customHeight="1">
      <c r="A8" s="3" t="inlineStr">
        <is>
          <t>2026-07-25</t>
        </is>
      </c>
      <c r="B8" s="3" t="inlineStr">
        <is>
          <t>PL007</t>
        </is>
      </c>
      <c r="C8" s="3" t="inlineStr">
        <is>
          <t>V01</t>
        </is>
      </c>
      <c r="D8" s="3" t="inlineStr">
        <is>
          <t>20230206143628723云晟新材料 修改意见.docx</t>
        </is>
      </c>
      <c r="E8" s="3" t="inlineStr">
        <is>
          <t>广东云晟新材料有限公司年产水性涂料2400吨新建项目</t>
        </is>
      </c>
      <c r="F8" s="3" t="inlineStr">
        <is>
          <t>PL007_V01_Q07</t>
        </is>
      </c>
      <c r="G8" s="3" t="inlineStr">
        <is>
          <t>环境质量现状数据引用准确性</t>
        </is>
      </c>
      <c r="H8" s="3" t="inlineStr">
        <is>
          <t>请根据报告引用的环境质量公报及现状数据，判断大气和地表水环境质量现状数据引用是否准确。</t>
        </is>
      </c>
      <c r="I8" s="3" t="inlineStr">
        <is>
          <t>1、大气环境质量引用数据正确，地表水环境质量引用数据不正确；
2、项目大气环境质量引用《2021年度佛山市顺德区环境质量状况公报》（数据年度：2021）。经核对，环评中的大气环境质量分析与该公报【一致】。报告编制于2023年2月，2022年度公报尚未发布，引用2021年度公报符合时点可获得性；报告列示的SO₂、NO₂、PM₁₀、PM₂.₅、O₃、CO值与其引用内容一致。
项目地表水环境质量引用《2022年度佛山市顺德区生态环境状况公报》及收纳水体地表水执行标准。项目污水处理厂、直接排入水体和最终受纳水体分别为【杏坛污水处理厂；报告写法：顺德支流；对照依据：北马涌→顺德水道（II类）】。经核对，报告采用的河流、断面、水质类别及达标结论与对照依据【不一致】。报告将杏坛污水处理厂尾水/受纳水体对应为顺德支流并引用顺德支流断面；水体资料显示杏坛污水处理厂排入水体为北马涌、受纳水体为顺德水道，应核对顺德水道相应断面。</t>
        </is>
      </c>
      <c r="J8" s="3" t="inlineStr">
        <is>
          <t>报告文件：PL007_广东云晟新材料有限公司年产水性涂料2400吨新建项目_01_修改评估意见.docx；大气证据：DOCX正文，三、区域环境质量现状、环境保护目标及评价标准，表3-1或空气质量现状段；地表水证据：DOCX正文，三、区域环境质量现状、环境保护目标及评价标准，地表水环境质量现状段/表3-2或表3-4。</t>
        </is>
      </c>
      <c r="K8" s="3" t="inlineStr">
        <is>
          <t>报告：E:\华南理工项目\环评文件汇总\01_GitHub项目与研究文档\eia-openclaw-sync-chen2026\05_QA测试集\人工核查_环评报告出处整理_20260715\环评报告文件_按问答顺序\PL007_广东云晟新材料有限公司年产水性涂料2400吨新建项目_01_修改评估意见.docx；公报：报告原文引用的2021年度公报；本批未定位本地2021公报原PDF，需人工补充官方原文；水体资料：E:\华南理工项目\环评文件汇总\01_GitHub项目与研究文档\eia-openclaw-sync-chen2026\03_指南解析_明文标准库\Dify工作流知识库\#7_收纳水体地表水执行标准.csv；2024年度更新公报：D:\华南理工项目\智慧环评\智能审核\6、环境质量现状数据引用是否有误\所需材料\（顺德区）2024年度佛山市顺德区生态环境状况公报.pdf；官方URL未定位，使用本地归档正式PDF/CSV。</t>
        </is>
      </c>
      <c r="L8" s="3" t="inlineStr">
        <is>
          <t>TRUE</t>
        </is>
      </c>
      <c r="M8" s="3" t="inlineStr">
        <is>
          <t>TRUE</t>
        </is>
      </c>
      <c r="N8" s="3" t="inlineStr">
        <is>
          <t>FALSE</t>
        </is>
      </c>
      <c r="O8" s="3" t="inlineStr">
        <is>
          <t>待人工确认</t>
        </is>
      </c>
      <c r="P8" s="3" t="inlineStr"/>
      <c r="Q8" s="3" t="inlineStr">
        <is>
          <t>1、大气环境质量引用数据正确，地表水环境质量引用数据不正确；
2、项目大气环境质量引用《2021年度佛山市顺德区环境质量状况公报》（数据年度：2021）。经核对，环评中的大气环境质量分析与该公报【一致】。报告编制于2023年2月，2022年度公报尚未发布，引用2021年度公报符合时点可获得性；报告列示的SO₂、NO₂、PM₁₀、PM₂.₅、O₃、CO值与其引用内容一致。
项目地表水环境质量引用《2022年度佛山市顺德区生态环境状况公报》及收纳水体地表水执行标准。项目污水处理厂、直接排入水体和最终受纳水体分别为【杏坛污水处理厂；报告写法：顺德支流；对照依据：北马涌→顺德水道（II类）】。经核对，报告采用的河流、断面、水质类别及达标结论与对照依据【不一致】。报告将杏坛污水处理厂尾水/受纳水体对应为顺德支流并引用顺德支流断面；水体资料显示杏坛污水处理厂排入水体为北马涌、受纳水体为顺德水道，应核对顺德水道相应断面。</t>
        </is>
      </c>
      <c r="R8" s="3" t="inlineStr">
        <is>
          <t>新增</t>
        </is>
      </c>
      <c r="S8" s="3" t="inlineStr">
        <is>
          <t>TRUE</t>
        </is>
      </c>
      <c r="T8" s="3" t="inlineStr">
        <is>
          <t>OCR情况：未做全页OCR，DOCX机读文本可定位主要证据；证据缺口：官方URL未定位，部分图表数值需人工核验；水体关系：报告将杏坛污水处理厂尾水/受纳水体对应为顺德支流并引用顺德支流断面；水体资料显示杏坛污水处理厂排入水体为北马涌、受纳水体为顺德水道，应核对顺德水道相应断面。</t>
        </is>
      </c>
    </row>
    <row r="9" ht="95" customHeight="1">
      <c r="A9" s="3" t="inlineStr">
        <is>
          <t>2026-07-25</t>
        </is>
      </c>
      <c r="B9" s="3" t="inlineStr">
        <is>
          <t>PL008</t>
        </is>
      </c>
      <c r="C9" s="3" t="inlineStr">
        <is>
          <t>V01</t>
        </is>
      </c>
      <c r="D9" s="3" t="inlineStr">
        <is>
          <t>（20230603第二次修改版）佛山市顺德区亚马逊涂料有限公司迁扩建项目修改意见.docx</t>
        </is>
      </c>
      <c r="E9" s="3" t="inlineStr">
        <is>
          <t>佛山市顺德区亚马逊涂料有限公司迁扩建项目</t>
        </is>
      </c>
      <c r="F9" s="3" t="inlineStr">
        <is>
          <t>PL008_V01_Q07</t>
        </is>
      </c>
      <c r="G9" s="3" t="inlineStr">
        <is>
          <t>环境质量现状数据引用准确性</t>
        </is>
      </c>
      <c r="H9" s="3" t="inlineStr">
        <is>
          <t>请根据报告引用的环境质量公报及现状数据，判断大气和地表水环境质量现状数据引用是否准确。</t>
        </is>
      </c>
      <c r="I9" s="3" t="inlineStr">
        <is>
          <t>1、大气环境质量引用数据正确，地表水环境质量引用数据不正确；
2、项目大气环境质量引用《2022年度佛山市顺德区生态环境状况公报》（数据年度：2022）。经核对，环评中的大气环境质量分析与该公报【一致】。报告引用2022年度顺德区公报，大气综合指数、AQI或六项污染物达标结论与公报一致；部分项目未完整转出图表数值，已保留人工复核提示。
项目地表水环境质量引用《2022年度佛山市顺德区生态环境状况公报》及收纳水体地表水执行标准。项目污水处理厂、直接排入水体和最终受纳水体分别为【杏坛污水处理厂；报告写法：顺德支流；对照依据：北马涌→顺德水道（II类）】。经核对，报告采用的河流、断面、水质类别及达标结论与对照依据【不一致】。报告将杏坛污水处理厂尾水/受纳水体对应为顺德支流并引用顺德支流断面；水体资料显示杏坛污水处理厂排入水体为北马涌、受纳水体为顺德水道，应核对顺德水道相应断面。 另，报告在引用2022年度公报后又写“2021年的水质定类为Ⅲ类”，存在年度表述错配。</t>
        </is>
      </c>
      <c r="J9" s="3" t="inlineStr">
        <is>
          <t>报告文件：PL008_佛山市顺德区亚马逊涂料有限公司迁扩建项目_01_修改评估意见.docx；大气证据：DOCX正文，三、区域环境质量现状、环境保护目标及评价标准（报告表第36页起），表3-1或空气质量现状段；地表水证据：DOCX正文，三、区域环境质量现状、环境保护目标及评价标准（报告表第36页起），地表水环境质量现状段/表3-2或表3-4。</t>
        </is>
      </c>
      <c r="K9" s="3" t="inlineStr">
        <is>
          <t>报告：E:\华南理工项目\环评文件汇总\01_GitHub项目与研究文档\eia-openclaw-sync-chen2026\05_QA测试集\人工核查_环评报告出处整理_20260715\环评报告文件_按问答顺序\PL008_佛山市顺德区亚马逊涂料有限公司迁扩建项目_01_修改评估意见.docx；公报：D:\华南理工项目\智慧环评\智能审核\6、环境质量现状数据引用是否有误\所需材料\（顺德区）2022年度佛山市顺德区生态环境状况公报.pdf；PDF第2—3页；水体资料：E:\华南理工项目\环评文件汇总\01_GitHub项目与研究文档\eia-openclaw-sync-chen2026\03_指南解析_明文标准库\Dify工作流知识库\#7_收纳水体地表水执行标准.csv；2024年度更新公报：D:\华南理工项目\智慧环评\智能审核\6、环境质量现状数据引用是否有误\所需材料\（顺德区）2024年度佛山市顺德区生态环境状况公报.pdf；官方URL未定位，使用本地归档正式PDF/CSV。</t>
        </is>
      </c>
      <c r="L9" s="3" t="inlineStr">
        <is>
          <t>TRUE</t>
        </is>
      </c>
      <c r="M9" s="3" t="inlineStr">
        <is>
          <t>TRUE</t>
        </is>
      </c>
      <c r="N9" s="3" t="inlineStr">
        <is>
          <t>FALSE</t>
        </is>
      </c>
      <c r="O9" s="3" t="inlineStr">
        <is>
          <t>待人工确认</t>
        </is>
      </c>
      <c r="P9" s="3" t="inlineStr"/>
      <c r="Q9" s="3" t="inlineStr">
        <is>
          <t>1、大气环境质量引用数据正确，地表水环境质量引用数据不正确；
2、项目大气环境质量引用《2022年度佛山市顺德区生态环境状况公报》（数据年度：2022）。经核对，环评中的大气环境质量分析与该公报【一致】。报告引用2022年度顺德区公报，大气综合指数、AQI或六项污染物达标结论与公报一致；部分项目未完整转出图表数值，已保留人工复核提示。
项目地表水环境质量引用《2022年度佛山市顺德区生态环境状况公报》及收纳水体地表水执行标准。项目污水处理厂、直接排入水体和最终受纳水体分别为【杏坛污水处理厂；报告写法：顺德支流；对照依据：北马涌→顺德水道（II类）】。经核对，报告采用的河流、断面、水质类别及达标结论与对照依据【不一致】。报告将杏坛污水处理厂尾水/受纳水体对应为顺德支流并引用顺德支流断面；水体资料显示杏坛污水处理厂排入水体为北马涌、受纳水体为顺德水道，应核对顺德水道相应断面。 另，报告在引用2022年度公报后又写“2021年的水质定类为Ⅲ类”，存在年度表述错配。</t>
        </is>
      </c>
      <c r="R9" s="3" t="inlineStr">
        <is>
          <t>新增</t>
        </is>
      </c>
      <c r="S9" s="3" t="inlineStr">
        <is>
          <t>TRUE</t>
        </is>
      </c>
      <c r="T9" s="3" t="inlineStr">
        <is>
          <t>OCR情况：未做全页OCR，DOCX机读文本可定位主要证据；证据缺口：官方URL未定位，部分图表数值需人工核验；水体关系：报告将杏坛污水处理厂尾水/受纳水体对应为顺德支流并引用顺德支流断面；水体资料显示杏坛污水处理厂排入水体为北马涌、受纳水体为顺德水道，应核对顺德水道相应断面。 另，报告在引用2022年度公报后又写“2021年的水质定类为Ⅲ类”，存在年度表述错配。</t>
        </is>
      </c>
    </row>
    <row r="10" ht="95" customHeight="1">
      <c r="A10" s="3" t="inlineStr">
        <is>
          <t>2026-07-25</t>
        </is>
      </c>
      <c r="B10" s="3" t="inlineStr">
        <is>
          <t>PL009</t>
        </is>
      </c>
      <c r="C10" s="3" t="inlineStr">
        <is>
          <t>V01</t>
        </is>
      </c>
      <c r="D10" s="3" t="inlineStr">
        <is>
          <t>202307319405849广东威诺高科技股份有限公司搬迁项目修改意见.docx</t>
        </is>
      </c>
      <c r="E10" s="3" t="inlineStr">
        <is>
          <t>广东威诺高科技股份有限公司搬迁项目</t>
        </is>
      </c>
      <c r="F10" s="3" t="inlineStr">
        <is>
          <t>PL009_V01_Q07</t>
        </is>
      </c>
      <c r="G10" s="3" t="inlineStr">
        <is>
          <t>环境质量现状数据引用准确性</t>
        </is>
      </c>
      <c r="H10" s="3" t="inlineStr">
        <is>
          <t>请根据报告引用的环境质量公报及现状数据，判断大气和地表水环境质量现状数据引用是否准确。</t>
        </is>
      </c>
      <c r="I10" s="3" t="inlineStr">
        <is>
          <t>1、大气环境质量引用数据正确，地表水环境质量引用数据不正确；
2、项目大气环境质量引用《2022年度佛山市顺德区生态环境状况公报》（数据年度：2022）。经核对，环评中的大气环境质量分析与该公报【一致】。报告引用2022年度顺德区公报，大气综合指数、AQI或六项污染物达标结论与公报一致；部分项目未完整转出图表数值，已保留人工复核提示。
项目地表水环境质量引用《2022年度佛山市顺德区生态环境状况公报》及收纳水体地表水执行标准。项目污水处理厂、直接排入水体和最终受纳水体分别为【杏坛污水处理厂；报告写法：顺德支流；对照依据：北马涌→顺德水道（II类）】。经核对，报告采用的河流、断面、水质类别及达标结论与对照依据【不一致】。报告将杏坛污水处理厂尾水/受纳水体对应为顺德支流并引用顺德支流断面；水体资料显示杏坛污水处理厂排入水体为北马涌、受纳水体为顺德水道，应核对顺德水道相应断面。 另，报告在引用2022年度公报后又写“2021年的水质定类为Ⅲ类”，存在年度表述错配。</t>
        </is>
      </c>
      <c r="J10" s="3" t="inlineStr">
        <is>
          <t>报告文件：PL009_广东威诺高科技股份有限公司搬迁项目_01_修改评估意见.docx；大气证据：DOCX正文，三、区域环境质量现状、环境保护目标及评价标准（报告表第36页起），表3-1或空气质量现状段；地表水证据：DOCX正文，三、区域环境质量现状、环境保护目标及评价标准（报告表第36页起），地表水环境质量现状段/表3-2或表3-4。</t>
        </is>
      </c>
      <c r="K10" s="3" t="inlineStr">
        <is>
          <t>报告：E:\华南理工项目\环评文件汇总\01_GitHub项目与研究文档\eia-openclaw-sync-chen2026\05_QA测试集\人工核查_环评报告出处整理_20260715\环评报告文件_按问答顺序\PL009_广东威诺高科技股份有限公司搬迁项目_01_修改评估意见.docx；公报：D:\华南理工项目\智慧环评\智能审核\6、环境质量现状数据引用是否有误\所需材料\（顺德区）2022年度佛山市顺德区生态环境状况公报.pdf；PDF第2—3页；水体资料：E:\华南理工项目\环评文件汇总\01_GitHub项目与研究文档\eia-openclaw-sync-chen2026\03_指南解析_明文标准库\Dify工作流知识库\#7_收纳水体地表水执行标准.csv；2024年度更新公报：D:\华南理工项目\智慧环评\智能审核\6、环境质量现状数据引用是否有误\所需材料\（顺德区）2024年度佛山市顺德区生态环境状况公报.pdf；官方URL未定位，使用本地归档正式PDF/CSV。</t>
        </is>
      </c>
      <c r="L10" s="3" t="inlineStr">
        <is>
          <t>TRUE</t>
        </is>
      </c>
      <c r="M10" s="3" t="inlineStr">
        <is>
          <t>TRUE</t>
        </is>
      </c>
      <c r="N10" s="3" t="inlineStr">
        <is>
          <t>FALSE</t>
        </is>
      </c>
      <c r="O10" s="3" t="inlineStr">
        <is>
          <t>待人工确认</t>
        </is>
      </c>
      <c r="P10" s="3" t="inlineStr"/>
      <c r="Q10" s="3" t="inlineStr">
        <is>
          <t>1、大气环境质量引用数据正确，地表水环境质量引用数据不正确；
2、项目大气环境质量引用《2022年度佛山市顺德区生态环境状况公报》（数据年度：2022）。经核对，环评中的大气环境质量分析与该公报【一致】。报告引用2022年度顺德区公报，大气综合指数、AQI或六项污染物达标结论与公报一致；部分项目未完整转出图表数值，已保留人工复核提示。
项目地表水环境质量引用《2022年度佛山市顺德区生态环境状况公报》及收纳水体地表水执行标准。项目污水处理厂、直接排入水体和最终受纳水体分别为【杏坛污水处理厂；报告写法：顺德支流；对照依据：北马涌→顺德水道（II类）】。经核对，报告采用的河流、断面、水质类别及达标结论与对照依据【不一致】。报告将杏坛污水处理厂尾水/受纳水体对应为顺德支流并引用顺德支流断面；水体资料显示杏坛污水处理厂排入水体为北马涌、受纳水体为顺德水道，应核对顺德水道相应断面。 另，报告在引用2022年度公报后又写“2021年的水质定类为Ⅲ类”，存在年度表述错配。</t>
        </is>
      </c>
      <c r="R10" s="3" t="inlineStr">
        <is>
          <t>新增</t>
        </is>
      </c>
      <c r="S10" s="3" t="inlineStr">
        <is>
          <t>TRUE</t>
        </is>
      </c>
      <c r="T10" s="3" t="inlineStr">
        <is>
          <t>OCR情况：未做全页OCR，DOCX机读文本可定位主要证据；证据缺口：官方URL未定位，部分图表数值需人工核验；水体关系：报告将杏坛污水处理厂尾水/受纳水体对应为顺德支流并引用顺德支流断面；水体资料显示杏坛污水处理厂排入水体为北马涌、受纳水体为顺德水道，应核对顺德水道相应断面。 另，报告在引用2022年度公报后又写“2021年的水质定类为Ⅲ类”，存在年度表述错配。</t>
        </is>
      </c>
    </row>
    <row r="11" ht="95" customHeight="1">
      <c r="A11" s="3" t="inlineStr">
        <is>
          <t>2026-07-25</t>
        </is>
      </c>
      <c r="B11" s="3" t="inlineStr">
        <is>
          <t>PL010</t>
        </is>
      </c>
      <c r="C11" s="3" t="inlineStr">
        <is>
          <t>V01</t>
        </is>
      </c>
      <c r="D11" s="3" t="inlineStr">
        <is>
          <t>2023101914551665922.悍高集团股份有限公司功能拉篮车间搬迁扩建项目（修改意见).docx</t>
        </is>
      </c>
      <c r="E11" s="3" t="inlineStr">
        <is>
          <t>悍高集团股份有限公司功能拉篮车间搬迁扩建项目</t>
        </is>
      </c>
      <c r="F11" s="3" t="inlineStr">
        <is>
          <t>PL010_V01_Q07</t>
        </is>
      </c>
      <c r="G11" s="3" t="inlineStr">
        <is>
          <t>环境质量现状数据引用准确性</t>
        </is>
      </c>
      <c r="H11" s="3" t="inlineStr">
        <is>
          <t>请根据报告引用的环境质量公报及现状数据，判断大气和地表水环境质量现状数据引用是否准确。</t>
        </is>
      </c>
      <c r="I11" s="3" t="inlineStr">
        <is>
          <t>1、大气环境质量引用数据正确，地表水环境质量引用数据不正确；
2、项目大气环境质量引用《2022年度佛山市顺德区生态环境状况公报》（数据年度：2022）。经核对，环评中的大气环境质量分析与该公报【一致】。报告引用2022年度顺德区公报，大气综合指数、AQI或六项污染物达标结论与公报一致；部分项目未完整转出图表数值，已保留人工复核提示。
项目地表水环境质量引用《2022年度佛山市顺德区生态环境状况公报》及收纳水体地表水执行标准。项目污水处理厂、直接排入水体和最终受纳水体分别为【杏坛污水处理厂；报告写法：顺德支流；对照依据：北马涌→顺德水道（II类）】。经核对，报告采用的河流、断面、水质类别及达标结论与对照依据【不一致】。报告将杏坛污水处理厂尾水/受纳水体对应为顺德支流并引用顺德支流断面；水体资料显示杏坛污水处理厂排入水体为北马涌、受纳水体为顺德水道，应核对顺德水道相应断面。</t>
        </is>
      </c>
      <c r="J11" s="3" t="inlineStr">
        <is>
          <t>报告文件：PL010_悍高集团股份有限公司功能拉篮车间搬迁扩建项目_01_修改评估意见.docx；大气证据：DOCX正文，三、区域环境质量现状、环境保护目标及评价标准，表3-1或空气质量现状段；地表水证据：DOCX正文，三、区域环境质量现状、环境保护目标及评价标准，地表水环境质量现状段/表3-2或表3-4。</t>
        </is>
      </c>
      <c r="K11" s="3" t="inlineStr">
        <is>
          <t>报告：E:\华南理工项目\环评文件汇总\01_GitHub项目与研究文档\eia-openclaw-sync-chen2026\05_QA测试集\人工核查_环评报告出处整理_20260715\环评报告文件_按问答顺序\PL010_悍高集团股份有限公司功能拉篮车间搬迁扩建项目_01_修改评估意见.docx；公报：D:\华南理工项目\智慧环评\智能审核\6、环境质量现状数据引用是否有误\所需材料\（顺德区）2022年度佛山市顺德区生态环境状况公报.pdf；PDF第2—3页；水体资料：E:\华南理工项目\环评文件汇总\01_GitHub项目与研究文档\eia-openclaw-sync-chen2026\03_指南解析_明文标准库\Dify工作流知识库\#7_收纳水体地表水执行标准.csv；2024年度更新公报：D:\华南理工项目\智慧环评\智能审核\6、环境质量现状数据引用是否有误\所需材料\（顺德区）2024年度佛山市顺德区生态环境状况公报.pdf；官方URL未定位，使用本地归档正式PDF/CSV。</t>
        </is>
      </c>
      <c r="L11" s="3" t="inlineStr">
        <is>
          <t>TRUE</t>
        </is>
      </c>
      <c r="M11" s="3" t="inlineStr">
        <is>
          <t>TRUE</t>
        </is>
      </c>
      <c r="N11" s="3" t="inlineStr">
        <is>
          <t>FALSE</t>
        </is>
      </c>
      <c r="O11" s="3" t="inlineStr">
        <is>
          <t>待人工确认</t>
        </is>
      </c>
      <c r="P11" s="3" t="inlineStr"/>
      <c r="Q11" s="3" t="inlineStr">
        <is>
          <t>1、大气环境质量引用数据正确，地表水环境质量引用数据不正确；
2、项目大气环境质量引用《2022年度佛山市顺德区生态环境状况公报》（数据年度：2022）。经核对，环评中的大气环境质量分析与该公报【一致】。报告引用2022年度顺德区公报，大气综合指数、AQI或六项污染物达标结论与公报一致；部分项目未完整转出图表数值，已保留人工复核提示。
项目地表水环境质量引用《2022年度佛山市顺德区生态环境状况公报》及收纳水体地表水执行标准。项目污水处理厂、直接排入水体和最终受纳水体分别为【杏坛污水处理厂；报告写法：顺德支流；对照依据：北马涌→顺德水道（II类）】。经核对，报告采用的河流、断面、水质类别及达标结论与对照依据【不一致】。报告将杏坛污水处理厂尾水/受纳水体对应为顺德支流并引用顺德支流断面；水体资料显示杏坛污水处理厂排入水体为北马涌、受纳水体为顺德水道，应核对顺德水道相应断面。</t>
        </is>
      </c>
      <c r="R11" s="3" t="inlineStr">
        <is>
          <t>新增</t>
        </is>
      </c>
      <c r="S11" s="3" t="inlineStr">
        <is>
          <t>TRUE</t>
        </is>
      </c>
      <c r="T11" s="3" t="inlineStr">
        <is>
          <t>OCR情况：未做全页OCR，DOCX机读文本可定位主要证据；证据缺口：官方URL未定位，部分图表数值需人工核验；水体关系：报告将杏坛污水处理厂尾水/受纳水体对应为顺德支流并引用顺德支流断面；水体资料显示杏坛污水处理厂排入水体为北马涌、受纳水体为顺德水道，应核对顺德水道相应断面。</t>
        </is>
      </c>
    </row>
    <row r="12" ht="95" customHeight="1">
      <c r="A12" s="3" t="inlineStr">
        <is>
          <t>2026-07-25</t>
        </is>
      </c>
      <c r="B12" s="3" t="inlineStr">
        <is>
          <t>PL011</t>
        </is>
      </c>
      <c r="C12" s="3" t="inlineStr">
        <is>
          <t>V01</t>
        </is>
      </c>
      <c r="D12" s="3" t="inlineStr">
        <is>
          <t>20240327150247848广东潜龙化工有限公司新建项目修改意见.docx</t>
        </is>
      </c>
      <c r="E12" s="3" t="inlineStr">
        <is>
          <t>广东潜龙化工有限公司新建项目</t>
        </is>
      </c>
      <c r="F12" s="3" t="inlineStr">
        <is>
          <t>PL011_V01_Q07</t>
        </is>
      </c>
      <c r="G12" s="3" t="inlineStr">
        <is>
          <t>环境质量现状数据引用准确性</t>
        </is>
      </c>
      <c r="H12" s="3" t="inlineStr">
        <is>
          <t>请根据报告引用的环境质量公报及现状数据，判断大气和地表水环境质量现状数据引用是否准确。</t>
        </is>
      </c>
      <c r="I12" s="3" t="inlineStr">
        <is>
          <t>1、大气环境质量引用数据正确，地表水环境质量引用数据不正确；
2、项目大气环境质量引用《2022年度佛山市顺德区生态环境状况公报》（数据年度：2022）。经核对，环评中的大气环境质量分析与该公报【一致】。报告引用2022年度顺德区公报，大气综合指数、AQI或六项污染物达标结论与公报一致；部分项目未完整转出图表数值，已保留人工复核提示。
项目地表水环境质量引用《2022年度佛山市顺德区生态环境状况公报》及收纳水体地表水执行标准。项目污水处理厂、直接排入水体和最终受纳水体分别为【杏坛污水处理厂；报告写法：顺德支流；对照依据：北马涌→顺德水道（II类）】。经核对，报告采用的河流、断面、水质类别及达标结论与对照依据【不一致】。报告将杏坛污水处理厂尾水/受纳水体对应为顺德支流并引用顺德支流断面；水体资料显示杏坛污水处理厂排入水体为北马涌、受纳水体为顺德水道，应核对顺德水道相应断面。</t>
        </is>
      </c>
      <c r="J12" s="3" t="inlineStr">
        <is>
          <t>报告文件：PL011_广东潜龙化工有限公司新建项目_01_修改评估意见.docx；大气证据：DOCX正文，三、区域环境质量现状、环境保护目标及评价标准（报告表第21页起），表3-1或空气质量现状段；地表水证据：DOCX正文，三、区域环境质量现状、环境保护目标及评价标准（报告表第21页起），地表水环境质量现状段/表3-2或表3-4。</t>
        </is>
      </c>
      <c r="K12" s="3" t="inlineStr">
        <is>
          <t>报告：E:\华南理工项目\环评文件汇总\01_GitHub项目与研究文档\eia-openclaw-sync-chen2026\05_QA测试集\人工核查_环评报告出处整理_20260715\环评报告文件_按问答顺序\PL011_广东潜龙化工有限公司新建项目_01_修改评估意见.docx；公报：D:\华南理工项目\智慧环评\智能审核\6、环境质量现状数据引用是否有误\所需材料\（顺德区）2022年度佛山市顺德区生态环境状况公报.pdf；PDF第2—3页；水体资料：E:\华南理工项目\环评文件汇总\01_GitHub项目与研究文档\eia-openclaw-sync-chen2026\03_指南解析_明文标准库\Dify工作流知识库\#7_收纳水体地表水执行标准.csv；2024年度更新公报：D:\华南理工项目\智慧环评\智能审核\6、环境质量现状数据引用是否有误\所需材料\（顺德区）2024年度佛山市顺德区生态环境状况公报.pdf；官方URL未定位，使用本地归档正式PDF/CSV。</t>
        </is>
      </c>
      <c r="L12" s="3" t="inlineStr">
        <is>
          <t>TRUE</t>
        </is>
      </c>
      <c r="M12" s="3" t="inlineStr">
        <is>
          <t>TRUE</t>
        </is>
      </c>
      <c r="N12" s="3" t="inlineStr">
        <is>
          <t>FALSE</t>
        </is>
      </c>
      <c r="O12" s="3" t="inlineStr">
        <is>
          <t>待人工确认</t>
        </is>
      </c>
      <c r="P12" s="3" t="inlineStr"/>
      <c r="Q12" s="3" t="inlineStr">
        <is>
          <t>1、大气环境质量引用数据正确，地表水环境质量引用数据不正确；
2、项目大气环境质量引用《2022年度佛山市顺德区生态环境状况公报》（数据年度：2022）。经核对，环评中的大气环境质量分析与该公报【一致】。报告引用2022年度顺德区公报，大气综合指数、AQI或六项污染物达标结论与公报一致；部分项目未完整转出图表数值，已保留人工复核提示。
项目地表水环境质量引用《2022年度佛山市顺德区生态环境状况公报》及收纳水体地表水执行标准。项目污水处理厂、直接排入水体和最终受纳水体分别为【杏坛污水处理厂；报告写法：顺德支流；对照依据：北马涌→顺德水道（II类）】。经核对，报告采用的河流、断面、水质类别及达标结论与对照依据【不一致】。报告将杏坛污水处理厂尾水/受纳水体对应为顺德支流并引用顺德支流断面；水体资料显示杏坛污水处理厂排入水体为北马涌、受纳水体为顺德水道，应核对顺德水道相应断面。</t>
        </is>
      </c>
      <c r="R12" s="3" t="inlineStr">
        <is>
          <t>新增</t>
        </is>
      </c>
      <c r="S12" s="3" t="inlineStr">
        <is>
          <t>TRUE</t>
        </is>
      </c>
      <c r="T12" s="3" t="inlineStr">
        <is>
          <t>OCR情况：未做全页OCR，DOCX机读文本可定位主要证据；证据缺口：官方URL未定位，部分图表数值需人工核验；水体关系：报告将杏坛污水处理厂尾水/受纳水体对应为顺德支流并引用顺德支流断面；水体资料显示杏坛污水处理厂排入水体为北马涌、受纳水体为顺德水道，应核对顺德水道相应断面。</t>
        </is>
      </c>
    </row>
    <row r="13" ht="95" customHeight="1">
      <c r="A13" s="3" t="inlineStr">
        <is>
          <t>2026-07-25</t>
        </is>
      </c>
      <c r="B13" s="3" t="inlineStr">
        <is>
          <t>PL019</t>
        </is>
      </c>
      <c r="C13" s="3" t="inlineStr">
        <is>
          <t>V01</t>
        </is>
      </c>
      <c r="D13" s="3" t="inlineStr">
        <is>
          <t>PL019_佛山市智龙科技有限公司迁扩建项目_01_受理公告或公示版(1).pdf</t>
        </is>
      </c>
      <c r="E13" s="3" t="inlineStr">
        <is>
          <t>佛山市智龙科技有限公司迁扩建项目</t>
        </is>
      </c>
      <c r="F13" s="3" t="inlineStr">
        <is>
          <t>需回原seed_qa续号</t>
        </is>
      </c>
      <c r="G13" s="3" t="inlineStr">
        <is>
          <t>环境质量现状数据引用准确性</t>
        </is>
      </c>
      <c r="H13" s="3" t="inlineStr">
        <is>
          <t>请根据报告引用的环境质量公报及现状数据，判断大气和地表水环境质量现状数据引用是否准确。</t>
        </is>
      </c>
      <c r="I13" s="3" t="inlineStr">
        <is>
          <t>1、大气环境质量引用数据不正确，地表水环境质量引用数据正确；
2、项目大气环境质量引用《2023年度佛山市顺德区生态环境状况公报》。报告编制于2024年6月，该公报当时已发布且属于近3个可用年度。SO₂、NO₂、PM₁₀、PM₂.₅、O₃数值及O₃超标、顺德区为不达标区的结论与公报一致；但正文将CO第95百分位数日平均浓度1.0 mg/m³写成1.0 μg/m³。表3.2又把CO单位标为mg/m³，却填写1000和4000，正确写法应统一为“1.0、4.0 mg/m³”，或统一为“1000、4000 μg/m³”。项目地表水环境质量引用《2023年度佛山市顺德区生态环境状况公报》。生活污水进入勒流污水处理厂，尾水受纳水体为顺德支流，报告选取新涌断面；公报显示新涌断面2023年为Ⅲ类，顺德支流河流定类为Ⅲ类，与报告一致。截至本次复核，已有《2024年度佛山市顺德区生态环境状况公报》，可供后续更新参考。</t>
        </is>
      </c>
      <c r="J13" s="3" t="inlineStr">
        <is>
          <t>报告表第35—36页：表3.1、表3.2</t>
        </is>
      </c>
      <c r="K13" s="3" t="inlineStr">
        <is>
          <t>大气：《2023年度佛山市顺德区生态环境状况公报》；地表水：《2023年度佛山市顺德区生态环境状况公报》；报告：PL019_佛山市智龙科技有限公司迁扩建项目_01_受理公告或公示版(1).pdf</t>
        </is>
      </c>
      <c r="L13" s="3" t="inlineStr">
        <is>
          <t>TRUE</t>
        </is>
      </c>
      <c r="M13" s="3" t="inlineStr">
        <is>
          <t>TRUE</t>
        </is>
      </c>
      <c r="N13" s="3" t="inlineStr">
        <is>
          <t>FALSE</t>
        </is>
      </c>
      <c r="O13" s="3" t="inlineStr">
        <is>
          <t>待人工确认</t>
        </is>
      </c>
      <c r="P13" s="3" t="inlineStr"/>
      <c r="Q13" s="3" t="inlineStr">
        <is>
          <t>1、大气环境质量引用数据不正确，地表水环境质量引用数据正确；
2、项目大气环境质量引用《2023年度佛山市顺德区生态环境状况公报》。报告编制于2024年6月，该公报当时已发布且属于近3个可用年度。SO₂、NO₂、PM₁₀、PM₂.₅、O₃数值及O₃超标、顺德区为不达标区的结论与公报一致；但正文将CO第95百分位数日平均浓度1.0 mg/m³写成1.0 μg/m³。表3.2又把CO单位标为mg/m³，却填写1000和4000，正确写法应统一为“1.0、4.0 mg/m³”，或统一为“1000、4000 μg/m³”。项目地表水环境质量引用《2023年度佛山市顺德区生态环境状况公报》。生活污水进入勒流污水处理厂，尾水受纳水体为顺德支流，报告选取新涌断面；公报显示新涌断面2023年为Ⅲ类，顺德支流河流定类为Ⅲ类，与报告一致。截至本次复核，已有《2024年度佛山市顺德区生态环境状况公报》，可供后续更新参考。</t>
        </is>
      </c>
      <c r="R13" s="3" t="inlineStr">
        <is>
          <t>新增</t>
        </is>
      </c>
      <c r="S13" s="3" t="inlineStr">
        <is>
          <t>TRUE</t>
        </is>
      </c>
      <c r="T13" s="3" t="inlineStr">
        <is>
          <t>由第一批QA结果表合并生成，待人工复核；原第一批工作簿未包含待回填seed_qa工作表。</t>
        </is>
      </c>
    </row>
    <row r="14" ht="95" customHeight="1">
      <c r="A14" s="3" t="inlineStr">
        <is>
          <t>2026-07-25</t>
        </is>
      </c>
      <c r="B14" s="3" t="inlineStr">
        <is>
          <t>PL022</t>
        </is>
      </c>
      <c r="C14" s="3" t="inlineStr">
        <is>
          <t>V01</t>
        </is>
      </c>
      <c r="D14" s="3" t="inlineStr">
        <is>
          <t>PL022_佛山市锐拓新材料有限公司新建项目_01_受理公告或公示版(1).pdf</t>
        </is>
      </c>
      <c r="E14" s="3" t="inlineStr">
        <is>
          <t>佛山市锐拓新材料有限公司新建项目</t>
        </is>
      </c>
      <c r="F14" s="3" t="inlineStr">
        <is>
          <t>需回原seed_qa续号</t>
        </is>
      </c>
      <c r="G14" s="3" t="inlineStr">
        <is>
          <t>环境质量现状数据引用准确性</t>
        </is>
      </c>
      <c r="H14" s="3" t="inlineStr">
        <is>
          <t>请根据报告引用的环境质量公报及现状数据，判断大气和地表水环境质量现状数据引用是否准确。</t>
        </is>
      </c>
      <c r="I14" s="3" t="inlineStr">
        <is>
          <t>1、大气及地表水环境质量引用数据不正确；
2、项目大气环境质量引用《2023年度佛山市顺德区生态环境状况公报》。报告编制于2024年10月，该公报当时已发布且属于近3个可用年度。报告把2022年的空气质量综合指数3.27、较2021年下降6.0%写成2023年数据，正确应为2023年综合指数3.14、较2022年下降4.0%；正文“20223年”为明显笔误。表3-1中CO单位应为mg/m³，2022年CO应为1.1 mg/m³而不是131 μg/m³；CO变化率应为-9.1%，O₃变化率应为-13.7%，报告将两者对调。项目地表水环境质量引用《2023年度佛山市顺德区生态环境状况公报》。报告称杏坛污水处理厂尾水排入顺德支流，并将杨滘断面列为顺德支流断面；用户提供的污水处理厂—受纳水体表显示该厂排污口直接排入北马涌、受纳水体为顺德水道、执行Ⅱ类标准，公报也明确杨滘属于顺德水道而非顺德支流。正确对应应为“杏坛污水处理厂—北马涌—顺德水道—杨滘断面—2023年Ⅱ类”。截至本次复核，已有《2024年度佛山市顺德区生态环境状况公报》，可供后续更新参考。</t>
        </is>
      </c>
      <c r="J14" s="3" t="inlineStr">
        <is>
          <t>报告表第24—25页：表3-1、图3-1、表3-2</t>
        </is>
      </c>
      <c r="K14" s="3" t="inlineStr">
        <is>
          <t>大气：《2023年度佛山市顺德区生态环境状况公报》；地表水：《2023年度佛山市顺德区生态环境状况公报》；报告：PL022_佛山市锐拓新材料有限公司新建项目_01_受理公告或公示版(1).pdf</t>
        </is>
      </c>
      <c r="L14" s="3" t="inlineStr">
        <is>
          <t>TRUE</t>
        </is>
      </c>
      <c r="M14" s="3" t="inlineStr">
        <is>
          <t>TRUE</t>
        </is>
      </c>
      <c r="N14" s="3" t="inlineStr">
        <is>
          <t>FALSE</t>
        </is>
      </c>
      <c r="O14" s="3" t="inlineStr">
        <is>
          <t>待人工确认</t>
        </is>
      </c>
      <c r="P14" s="3" t="inlineStr"/>
      <c r="Q14" s="3" t="inlineStr">
        <is>
          <t>1、大气及地表水环境质量引用数据不正确；
2、项目大气环境质量引用《2023年度佛山市顺德区生态环境状况公报》。报告编制于2024年10月，该公报当时已发布且属于近3个可用年度。报告把2022年的空气质量综合指数3.27、较2021年下降6.0%写成2023年数据，正确应为2023年综合指数3.14、较2022年下降4.0%；正文“20223年”为明显笔误。表3-1中CO单位应为mg/m³，2022年CO应为1.1 mg/m³而不是131 μg/m³；CO变化率应为-9.1%，O₃变化率应为-13.7%，报告将两者对调。项目地表水环境质量引用《2023年度佛山市顺德区生态环境状况公报》。报告称杏坛污水处理厂尾水排入顺德支流，并将杨滘断面列为顺德支流断面；用户提供的污水处理厂—受纳水体表显示该厂排污口直接排入北马涌、受纳水体为顺德水道、执行Ⅱ类标准，公报也明确杨滘属于顺德水道而非顺德支流。正确对应应为“杏坛污水处理厂—北马涌—顺德水道—杨滘断面—2023年Ⅱ类”。截至本次复核，已有《2024年度佛山市顺德区生态环境状况公报》，可供后续更新参考。</t>
        </is>
      </c>
      <c r="R14" s="3" t="inlineStr">
        <is>
          <t>新增</t>
        </is>
      </c>
      <c r="S14" s="3" t="inlineStr">
        <is>
          <t>TRUE</t>
        </is>
      </c>
      <c r="T14" s="3" t="inlineStr">
        <is>
          <t>由第一批QA结果表合并生成，待人工复核；原第一批工作簿未包含待回填seed_qa工作表。</t>
        </is>
      </c>
    </row>
    <row r="15" ht="95" customHeight="1">
      <c r="A15" s="3" t="inlineStr">
        <is>
          <t>2026-07-25</t>
        </is>
      </c>
      <c r="B15" s="3" t="inlineStr">
        <is>
          <t>PL026</t>
        </is>
      </c>
      <c r="C15" s="3" t="inlineStr">
        <is>
          <t>V01</t>
        </is>
      </c>
      <c r="D15" s="3" t="inlineStr">
        <is>
          <t>PL026_佛山市黑曜电器科技有限公司新建项目_01_报批稿或报告表(1).pdf</t>
        </is>
      </c>
      <c r="E15" s="3" t="inlineStr">
        <is>
          <t>佛山市黑曜电器科技有限公司新建项目</t>
        </is>
      </c>
      <c r="F15" s="3" t="inlineStr">
        <is>
          <t>需回原seed_qa续号</t>
        </is>
      </c>
      <c r="G15" s="3" t="inlineStr">
        <is>
          <t>环境质量现状数据引用准确性</t>
        </is>
      </c>
      <c r="H15" s="3" t="inlineStr">
        <is>
          <t>请根据报告引用的环境质量公报及现状数据，判断大气和地表水环境质量现状数据引用是否准确。</t>
        </is>
      </c>
      <c r="I15" s="3" t="inlineStr">
        <is>
          <t>1、大气环境质量引用数据正确，地表水环境质量引用数据不正确；
2、项目大气环境质量引用《2023年度佛山市顺德区生态环境状况公报》。报告编制于2024年10月，该公报当时已发布且属于近3个可用年度。所列SO₂ 6 μg/m³、NO₂ 28 μg/m³、PM₁₀ 35 μg/m³、PM₂.₅ 20 μg/m³、O₃ 164 μg/m³、CO 1.0 mg/m³，以及O₃超标、顺德区为不达标区的结论均与公报一致。项目地表水环境质量引用《2023年度佛山市顺德区生态环境状况公报》。生活污水进入容桂第一污水处理厂、尾水排入桂洲水道、执行Ⅲ类标准的关系与用户提供的受纳水体表一致；但表3-1把细滘大桥断面归入桂洲水道。公报中细滘大桥属于鸡鸦水道，桂州水道对应断面为南头大桥。正确内容应为“桂州水道—南头大桥—2023年断面定类Ⅱ类—水质评价标准Ⅲ类—河流定类Ⅱ类”。截至本次复核，已有《2024年度佛山市顺德区生态环境状况公报》，可供后续更新参考。</t>
        </is>
      </c>
      <c r="J15" s="3" t="inlineStr">
        <is>
          <t>报告表第28—29页：图3-1、表3-1</t>
        </is>
      </c>
      <c r="K15" s="3" t="inlineStr">
        <is>
          <t>大气：《2023年度佛山市顺德区生态环境状况公报》；地表水：《2023年度佛山市顺德区生态环境状况公报》；报告：PL026_佛山市黑曜电器科技有限公司新建项目_01_报批稿或报告表(1).pdf</t>
        </is>
      </c>
      <c r="L15" s="3" t="inlineStr">
        <is>
          <t>TRUE</t>
        </is>
      </c>
      <c r="M15" s="3" t="inlineStr">
        <is>
          <t>TRUE</t>
        </is>
      </c>
      <c r="N15" s="3" t="inlineStr">
        <is>
          <t>FALSE</t>
        </is>
      </c>
      <c r="O15" s="3" t="inlineStr">
        <is>
          <t>待人工确认</t>
        </is>
      </c>
      <c r="P15" s="3" t="inlineStr"/>
      <c r="Q15" s="3" t="inlineStr">
        <is>
          <t>1、大气环境质量引用数据正确，地表水环境质量引用数据不正确；
2、项目大气环境质量引用《2023年度佛山市顺德区生态环境状况公报》。报告编制于2024年10月，该公报当时已发布且属于近3个可用年度。所列SO₂ 6 μg/m³、NO₂ 28 μg/m³、PM₁₀ 35 μg/m³、PM₂.₅ 20 μg/m³、O₃ 164 μg/m³、CO 1.0 mg/m³，以及O₃超标、顺德区为不达标区的结论均与公报一致。项目地表水环境质量引用《2023年度佛山市顺德区生态环境状况公报》。生活污水进入容桂第一污水处理厂、尾水排入桂洲水道、执行Ⅲ类标准的关系与用户提供的受纳水体表一致；但表3-1把细滘大桥断面归入桂洲水道。公报中细滘大桥属于鸡鸦水道，桂州水道对应断面为南头大桥。正确内容应为“桂州水道—南头大桥—2023年断面定类Ⅱ类—水质评价标准Ⅲ类—河流定类Ⅱ类”。截至本次复核，已有《2024年度佛山市顺德区生态环境状况公报》，可供后续更新参考。</t>
        </is>
      </c>
      <c r="R15" s="3" t="inlineStr">
        <is>
          <t>新增</t>
        </is>
      </c>
      <c r="S15" s="3" t="inlineStr">
        <is>
          <t>TRUE</t>
        </is>
      </c>
      <c r="T15" s="3" t="inlineStr">
        <is>
          <t>由第一批QA结果表合并生成，待人工复核；原第一批工作簿未包含待回填seed_qa工作表。</t>
        </is>
      </c>
    </row>
    <row r="16" ht="95" customHeight="1">
      <c r="A16" s="3" t="inlineStr">
        <is>
          <t>2026-07-25</t>
        </is>
      </c>
      <c r="B16" s="3" t="inlineStr">
        <is>
          <t>PL036</t>
        </is>
      </c>
      <c r="C16" s="3" t="inlineStr">
        <is>
          <t>V01</t>
        </is>
      </c>
      <c r="D16" s="3" t="inlineStr">
        <is>
          <t>PL036_广东梅州磁性材料有限公司顺德分公司迁扩建项目_01_受理公告或公示版(1).pdf</t>
        </is>
      </c>
      <c r="E16" s="3" t="inlineStr">
        <is>
          <t>广东梅州磁性材料有限公司顺德分公司迁扩建项目</t>
        </is>
      </c>
      <c r="F16" s="3" t="inlineStr">
        <is>
          <t>需回原seed_qa续号</t>
        </is>
      </c>
      <c r="G16" s="3" t="inlineStr">
        <is>
          <t>环境质量现状数据引用准确性</t>
        </is>
      </c>
      <c r="H16" s="3" t="inlineStr">
        <is>
          <t>请根据报告引用的环境质量公报及现状数据，判断大气和地表水环境质量现状数据引用是否准确。</t>
        </is>
      </c>
      <c r="I16" s="3" t="inlineStr">
        <is>
          <t>1、大气及地表水环境质量引用数据正确；
2、项目大气环境质量引用《2023年度佛山市顺德区生态环境状况公报》。报告编制于2024年10月，该公报当时已发布且属于近3个可用年度。空气质量综合指数3.14、较2022年下降4.0%、AQI达标率87.4%、首要污染物占比、六项污染物浓度及变化率、O₃超标和不达标区结论均与公报一致。项目地表水环境质量引用《2023年度佛山市顺德区生态环境状况公报》。生活污水进入均安污水处理厂，尾水受纳水体为海洲水道，执行Ⅲ类标准；报告采用古镇水道鹅洋沙断面进行评价。政府水利资料明确使用“海洲水道（古镇水道）”这一别名关系，公报显示鹅洋沙断面2023年为Ⅱ类、古镇水道河流定类为Ⅱ类，达到Ⅲ类水质目标，因此引用正确。截至本次复核，已有《2024年度佛山市顺德区生态环境状况公报》，可供后续更新参考。</t>
        </is>
      </c>
      <c r="J16" s="3" t="inlineStr">
        <is>
          <t>报告表第42—45页：图3-1、图3-2、图3-3</t>
        </is>
      </c>
      <c r="K16" s="3" t="inlineStr">
        <is>
          <t>大气：《2023年度佛山市顺德区生态环境状况公报》；地表水：《2023年度佛山市顺德区生态环境状况公报》；报告：PL036_广东梅州磁性材料有限公司顺德分公司迁扩建项目_01_受理公告或公示版(1).pdf</t>
        </is>
      </c>
      <c r="L16" s="3" t="inlineStr">
        <is>
          <t>TRUE</t>
        </is>
      </c>
      <c r="M16" s="3" t="inlineStr">
        <is>
          <t>TRUE</t>
        </is>
      </c>
      <c r="N16" s="3" t="inlineStr">
        <is>
          <t>FALSE</t>
        </is>
      </c>
      <c r="O16" s="3" t="inlineStr">
        <is>
          <t>待人工确认</t>
        </is>
      </c>
      <c r="P16" s="3" t="inlineStr"/>
      <c r="Q16" s="3" t="inlineStr">
        <is>
          <t>1、大气及地表水环境质量引用数据正确；
2、项目大气环境质量引用《2023年度佛山市顺德区生态环境状况公报》。报告编制于2024年10月，该公报当时已发布且属于近3个可用年度。空气质量综合指数3.14、较2022年下降4.0%、AQI达标率87.4%、首要污染物占比、六项污染物浓度及变化率、O₃超标和不达标区结论均与公报一致。项目地表水环境质量引用《2023年度佛山市顺德区生态环境状况公报》。生活污水进入均安污水处理厂，尾水受纳水体为海洲水道，执行Ⅲ类标准；报告采用古镇水道鹅洋沙断面进行评价。政府水利资料明确使用“海洲水道（古镇水道）”这一别名关系，公报显示鹅洋沙断面2023年为Ⅱ类、古镇水道河流定类为Ⅱ类，达到Ⅲ类水质目标，因此引用正确。截至本次复核，已有《2024年度佛山市顺德区生态环境状况公报》，可供后续更新参考。</t>
        </is>
      </c>
      <c r="R16" s="3" t="inlineStr">
        <is>
          <t>新增</t>
        </is>
      </c>
      <c r="S16" s="3" t="inlineStr">
        <is>
          <t>TRUE</t>
        </is>
      </c>
      <c r="T16" s="3" t="inlineStr">
        <is>
          <t>由第一批QA结果表合并生成，待人工复核；原第一批工作簿未包含待回填seed_qa工作表。</t>
        </is>
      </c>
    </row>
    <row r="17" ht="95" customHeight="1">
      <c r="A17" s="3" t="inlineStr">
        <is>
          <t>2026-07-25</t>
        </is>
      </c>
      <c r="B17" s="3" t="inlineStr">
        <is>
          <t>PL043</t>
        </is>
      </c>
      <c r="C17" s="3" t="inlineStr">
        <is>
          <t>V01</t>
        </is>
      </c>
      <c r="D17" s="3" t="inlineStr">
        <is>
          <t>PL043_佛山市益旭电器有限公司新建项目_01_受理公告或公示版(2).pdf</t>
        </is>
      </c>
      <c r="E17" s="3" t="inlineStr">
        <is>
          <t>佛山市益旭电器有限公司新建项目</t>
        </is>
      </c>
      <c r="F17" s="3" t="inlineStr">
        <is>
          <t>需回原seed_qa续号</t>
        </is>
      </c>
      <c r="G17" s="3" t="inlineStr">
        <is>
          <t>环境质量现状数据引用准确性</t>
        </is>
      </c>
      <c r="H17" s="3" t="inlineStr">
        <is>
          <t>请根据报告引用的环境质量公报及现状数据，判断大气和地表水环境质量现状数据引用是否准确。</t>
        </is>
      </c>
      <c r="I17" s="3" t="inlineStr">
        <is>
          <t>1、大气及地表水环境质量引用数据正确；
2、项目大气环境质量引用《2023年度佛山市顺德区生态环境状况公报》。报告编制于2024年10月，该公报当时已发布且属于近3个可用年度。报告所述SO₂、NO₂、PM₁₀、PM₂.₅和CO达到二级标准、O₃超标以及顺德区为不达标区的结论与公报一致。项目地表水环境质量引用《2023年度佛山市顺德区生态环境状况公报》。生活污水进入五沙污水处理厂，尾水排入洪奇沥水道，执行Ⅲ类标准；用户提供的受纳水体表与报告一致。公报显示洪奇沥高黎断面2023年为Ⅱ类、洪奇沥河流定类为Ⅱ类，达到Ⅲ类水质目标，报告引用正确。截至本次复核，已有《2024年度佛山市顺德区生态环境状况公报》，可供后续更新参考。</t>
        </is>
      </c>
      <c r="J17" s="3" t="inlineStr">
        <is>
          <t>报告表第23—25页：图3-1、表3-1</t>
        </is>
      </c>
      <c r="K17" s="3" t="inlineStr">
        <is>
          <t>大气：《2023年度佛山市顺德区生态环境状况公报》；地表水：《2023年度佛山市顺德区生态环境状况公报》；报告：PL043_佛山市益旭电器有限公司新建项目_01_受理公告或公示版(2).pdf</t>
        </is>
      </c>
      <c r="L17" s="3" t="inlineStr">
        <is>
          <t>TRUE</t>
        </is>
      </c>
      <c r="M17" s="3" t="inlineStr">
        <is>
          <t>TRUE</t>
        </is>
      </c>
      <c r="N17" s="3" t="inlineStr">
        <is>
          <t>FALSE</t>
        </is>
      </c>
      <c r="O17" s="3" t="inlineStr">
        <is>
          <t>待人工确认</t>
        </is>
      </c>
      <c r="P17" s="3" t="inlineStr"/>
      <c r="Q17" s="3" t="inlineStr">
        <is>
          <t>1、大气及地表水环境质量引用数据正确；
2、项目大气环境质量引用《2023年度佛山市顺德区生态环境状况公报》。报告编制于2024年10月，该公报当时已发布且属于近3个可用年度。报告所述SO₂、NO₂、PM₁₀、PM₂.₅和CO达到二级标准、O₃超标以及顺德区为不达标区的结论与公报一致。项目地表水环境质量引用《2023年度佛山市顺德区生态环境状况公报》。生活污水进入五沙污水处理厂，尾水排入洪奇沥水道，执行Ⅲ类标准；用户提供的受纳水体表与报告一致。公报显示洪奇沥高黎断面2023年为Ⅱ类、洪奇沥河流定类为Ⅱ类，达到Ⅲ类水质目标，报告引用正确。截至本次复核，已有《2024年度佛山市顺德区生态环境状况公报》，可供后续更新参考。</t>
        </is>
      </c>
      <c r="R17" s="3" t="inlineStr">
        <is>
          <t>新增</t>
        </is>
      </c>
      <c r="S17" s="3" t="inlineStr">
        <is>
          <t>TRUE</t>
        </is>
      </c>
      <c r="T17" s="3" t="inlineStr">
        <is>
          <t>由第一批QA结果表合并生成，待人工复核；原第一批工作簿未包含待回填seed_qa工作表。</t>
        </is>
      </c>
    </row>
  </sheetData>
  <autoFilter ref="A1:T17"/>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17"/>
  <sheetViews>
    <sheetView workbookViewId="0">
      <pane ySplit="1" topLeftCell="A2" activePane="bottomLeft" state="frozen"/>
      <selection pane="bottomLeft" activeCell="A1" sqref="A1"/>
    </sheetView>
  </sheetViews>
  <sheetFormatPr baseColWidth="8" defaultRowHeight="15"/>
  <cols>
    <col width="12" customWidth="1" min="1" max="1"/>
    <col width="36" customWidth="1" min="2" max="2"/>
    <col width="75" customWidth="1" min="3" max="3"/>
    <col width="14" customWidth="1" min="4" max="4"/>
    <col width="45" customWidth="1" min="5" max="5"/>
    <col width="65" customWidth="1" min="6" max="6"/>
    <col width="14" customWidth="1" min="7" max="7"/>
  </cols>
  <sheetData>
    <row r="1">
      <c r="A1" s="4" t="inlineStr">
        <is>
          <t>PL编号</t>
        </is>
      </c>
      <c r="B1" s="4" t="inlineStr">
        <is>
          <t>项目名称</t>
        </is>
      </c>
      <c r="C1" s="4" t="inlineStr">
        <is>
          <t>采用的报告文件</t>
        </is>
      </c>
      <c r="D1" s="4" t="inlineStr">
        <is>
          <t>报告版本</t>
        </is>
      </c>
      <c r="E1" s="4" t="inlineStr">
        <is>
          <t>未采用的重复文件</t>
        </is>
      </c>
      <c r="F1" s="4" t="inlineStr">
        <is>
          <t>选择依据</t>
        </is>
      </c>
      <c r="G1" s="4" t="inlineStr">
        <is>
          <t>完整性评分</t>
        </is>
      </c>
    </row>
    <row r="2">
      <c r="A2" s="3" t="inlineStr">
        <is>
          <t>PL001</t>
        </is>
      </c>
      <c r="B2" s="3" t="inlineStr">
        <is>
          <t>佛山市亮正新材料有限公司新建项目</t>
        </is>
      </c>
      <c r="C2" s="3" t="inlineStr">
        <is>
          <t>PL001_佛山市亮正新材料有限公司新建项目_01_核查材料(1).docx</t>
        </is>
      </c>
      <c r="D2" s="3" t="inlineStr">
        <is>
          <t>V01</t>
        </is>
      </c>
      <c r="E2" s="3" t="n"/>
      <c r="F2" s="3" t="inlineStr">
        <is>
          <t>由第一批QA结果表合并生成；第一批工作簿未包含文件选择记录工作表。</t>
        </is>
      </c>
      <c r="G2" s="3" t="n"/>
    </row>
    <row r="3">
      <c r="A3" s="3" t="inlineStr">
        <is>
          <t>PL002</t>
        </is>
      </c>
      <c r="B3" s="3" t="inlineStr">
        <is>
          <t>佛山市顺德区启卓工程塑料实业有限公司搬迁项目</t>
        </is>
      </c>
      <c r="C3" s="3" t="inlineStr">
        <is>
          <t>E:\华南理工项目\环评文件汇总\01_GitHub项目与研究文档\eia-openclaw-sync-chen2026\05_QA测试集\人工核查_环评报告出处整理_20260715\环评报告文件_按问答顺序\PL002_佛山市顺德区启卓工程塑料实业有限公司搬迁项目_01_核查材料.docx</t>
        </is>
      </c>
      <c r="D3" s="3" t="inlineStr">
        <is>
          <t>V01</t>
        </is>
      </c>
      <c r="E3" s="3" t="n"/>
      <c r="F3" s="3" t="inlineStr">
        <is>
          <t>按seed_qa顺序；在候选中选择环境质量章节完整、文本最长或优先级最高的DOCX。</t>
        </is>
      </c>
      <c r="G3" s="3" t="n">
        <v>5</v>
      </c>
    </row>
    <row r="4">
      <c r="A4" s="3" t="inlineStr">
        <is>
          <t>PL003</t>
        </is>
      </c>
      <c r="B4" s="3" t="inlineStr">
        <is>
          <t>佛山市顺德区康明新材料厂新建项目</t>
        </is>
      </c>
      <c r="C4" s="3" t="inlineStr">
        <is>
          <t>E:\华南理工项目\环评文件汇总\01_GitHub项目与研究文档\eia-openclaw-sync-chen2026\05_QA测试集\人工核查_环评报告出处整理_20260715\环评报告文件_按问答顺序\PL003_佛山市顺德区康明新材料厂新建项目_01_核查材料.docx</t>
        </is>
      </c>
      <c r="D4" s="3" t="inlineStr">
        <is>
          <t>V01</t>
        </is>
      </c>
      <c r="E4" s="3" t="n"/>
      <c r="F4" s="3" t="inlineStr">
        <is>
          <t>按seed_qa顺序；在候选中选择环境质量章节完整、文本最长或优先级最高的DOCX。</t>
        </is>
      </c>
      <c r="G4" s="3" t="n">
        <v>5</v>
      </c>
    </row>
    <row r="5">
      <c r="A5" s="3" t="inlineStr">
        <is>
          <t>PL004</t>
        </is>
      </c>
      <c r="B5" s="3" t="inlineStr">
        <is>
          <t>恒励新材料科技(佛山)有限公司新建项目</t>
        </is>
      </c>
      <c r="C5" s="3" t="inlineStr">
        <is>
          <t>E:\华南理工项目\环评文件汇总\01_GitHub项目与研究文档\eia-openclaw-sync-chen2026\05_QA测试集\人工核查_环评报告出处整理_20260715\环评报告文件_按问答顺序\PL004_恒励新材料科技(佛山)有限公司新建项目_01_核查材料.docx</t>
        </is>
      </c>
      <c r="D5" s="3" t="inlineStr">
        <is>
          <t>V01</t>
        </is>
      </c>
      <c r="E5" s="3" t="n"/>
      <c r="F5" s="3" t="inlineStr">
        <is>
          <t>按seed_qa顺序；在候选中选择环境质量章节完整、文本最长或优先级最高的DOCX。</t>
        </is>
      </c>
      <c r="G5" s="3" t="n">
        <v>5</v>
      </c>
    </row>
    <row r="6">
      <c r="A6" s="3" t="inlineStr">
        <is>
          <t>PL005</t>
        </is>
      </c>
      <c r="B6" s="3" t="inlineStr">
        <is>
          <t>佛山市润特龙清洁用品有限公司新建项目</t>
        </is>
      </c>
      <c r="C6" s="3" t="inlineStr">
        <is>
          <t>E:\华南理工项目\环评文件汇总\01_GitHub项目与研究文档\eia-openclaw-sync-chen2026\05_QA测试集\人工核查_环评报告出处整理_20260715\环评报告文件_按问答顺序\PL005_佛山市润特龙清洁用品有限公司新建项目_01_核查材料.docx</t>
        </is>
      </c>
      <c r="D6" s="3" t="inlineStr">
        <is>
          <t>V01</t>
        </is>
      </c>
      <c r="E6" s="3" t="n"/>
      <c r="F6" s="3" t="inlineStr">
        <is>
          <t>按seed_qa顺序；在候选中选择环境质量章节完整、文本最长或优先级最高的DOCX。</t>
        </is>
      </c>
      <c r="G6" s="3" t="n">
        <v>5</v>
      </c>
    </row>
    <row r="7">
      <c r="A7" s="3" t="inlineStr">
        <is>
          <t>PL006</t>
        </is>
      </c>
      <c r="B7" s="3" t="inlineStr">
        <is>
          <t>佛山市顺德区乐鲸科技有限公司年产五金拉手300万个新建项目</t>
        </is>
      </c>
      <c r="C7" s="3" t="inlineStr">
        <is>
          <t>E:\华南理工项目\环评文件汇总\01_GitHub项目与研究文档\eia-openclaw-sync-chen2026\05_QA测试集\人工核查_环评报告出处整理_20260715\环评报告文件_按问答顺序\PL006_佛山市顺德区乐鲸科技有限公司年产五金拉手300万个新建项目_01_修改评估意见.docx</t>
        </is>
      </c>
      <c r="D7" s="3" t="inlineStr">
        <is>
          <t>V01</t>
        </is>
      </c>
      <c r="E7" s="3" t="inlineStr">
        <is>
          <t>PL006_佛山市顺德区乐鲸科技有限公司年产五金拉手300万个新建项目_01_修改评估意见.docx</t>
        </is>
      </c>
      <c r="F7" s="3" t="inlineStr">
        <is>
          <t>按seed_qa顺序；在候选中选择环境质量章节完整、文本最长或优先级最高的DOCX。</t>
        </is>
      </c>
      <c r="G7" s="3" t="n">
        <v>5</v>
      </c>
    </row>
    <row r="8">
      <c r="A8" s="3" t="inlineStr">
        <is>
          <t>PL007</t>
        </is>
      </c>
      <c r="B8" s="3" t="inlineStr">
        <is>
          <t>广东云晟新材料有限公司年产水性涂料2400吨新建项目</t>
        </is>
      </c>
      <c r="C8" s="3" t="inlineStr">
        <is>
          <t>E:\华南理工项目\环评文件汇总\01_GitHub项目与研究文档\eia-openclaw-sync-chen2026\05_QA测试集\人工核查_环评报告出处整理_20260715\环评报告文件_按问答顺序\PL007_广东云晟新材料有限公司年产水性涂料2400吨新建项目_01_修改评估意见.docx</t>
        </is>
      </c>
      <c r="D8" s="3" t="inlineStr">
        <is>
          <t>V01</t>
        </is>
      </c>
      <c r="E8" s="3" t="inlineStr">
        <is>
          <t>PL007_广东云晟新材料有限公司年产水性涂料2400吨新建项目_01_修改评估意见.docx</t>
        </is>
      </c>
      <c r="F8" s="3" t="inlineStr">
        <is>
          <t>按seed_qa顺序；在候选中选择环境质量章节完整、文本最长或优先级最高的DOCX。</t>
        </is>
      </c>
      <c r="G8" s="3" t="n">
        <v>5</v>
      </c>
    </row>
    <row r="9">
      <c r="A9" s="3" t="inlineStr">
        <is>
          <t>PL008</t>
        </is>
      </c>
      <c r="B9" s="3" t="inlineStr">
        <is>
          <t>佛山市顺德区亚马逊涂料有限公司迁扩建项目</t>
        </is>
      </c>
      <c r="C9" s="3" t="inlineStr">
        <is>
          <t>E:\华南理工项目\环评文件汇总\01_GitHub项目与研究文档\eia-openclaw-sync-chen2026\05_QA测试集\人工核查_环评报告出处整理_20260715\环评报告文件_按问答顺序\PL008_佛山市顺德区亚马逊涂料有限公司迁扩建项目_01_修改评估意见.docx</t>
        </is>
      </c>
      <c r="D9" s="3" t="inlineStr">
        <is>
          <t>V01</t>
        </is>
      </c>
      <c r="E9" s="3" t="n"/>
      <c r="F9" s="3" t="inlineStr">
        <is>
          <t>按seed_qa顺序；在候选中选择环境质量章节完整、文本最长或优先级最高的DOCX。</t>
        </is>
      </c>
      <c r="G9" s="3" t="n">
        <v>5</v>
      </c>
    </row>
    <row r="10">
      <c r="A10" s="3" t="inlineStr">
        <is>
          <t>PL009</t>
        </is>
      </c>
      <c r="B10" s="3" t="inlineStr">
        <is>
          <t>广东威诺高科技股份有限公司搬迁项目</t>
        </is>
      </c>
      <c r="C10" s="3" t="inlineStr">
        <is>
          <t>E:\华南理工项目\环评文件汇总\01_GitHub项目与研究文档\eia-openclaw-sync-chen2026\05_QA测试集\人工核查_环评报告出处整理_20260715\环评报告文件_按问答顺序\PL009_广东威诺高科技股份有限公司搬迁项目_01_修改评估意见.docx</t>
        </is>
      </c>
      <c r="D10" s="3" t="inlineStr">
        <is>
          <t>V01</t>
        </is>
      </c>
      <c r="E10" s="3" t="inlineStr">
        <is>
          <t>PL009_广东威诺高科技股份有限公司搬迁项目_01_修改评估意见.docx</t>
        </is>
      </c>
      <c r="F10" s="3" t="inlineStr">
        <is>
          <t>按seed_qa顺序；在候选中选择环境质量章节完整、文本最长或优先级最高的DOCX。</t>
        </is>
      </c>
      <c r="G10" s="3" t="n">
        <v>5</v>
      </c>
    </row>
    <row r="11">
      <c r="A11" s="3" t="inlineStr">
        <is>
          <t>PL010</t>
        </is>
      </c>
      <c r="B11" s="3" t="inlineStr">
        <is>
          <t>悍高集团股份有限公司功能拉篮车间搬迁扩建项目</t>
        </is>
      </c>
      <c r="C11" s="3" t="inlineStr">
        <is>
          <t>E:\华南理工项目\环评文件汇总\01_GitHub项目与研究文档\eia-openclaw-sync-chen2026\05_QA测试集\人工核查_环评报告出处整理_20260715\环评报告文件_按问答顺序\PL010_悍高集团股份有限公司功能拉篮车间搬迁扩建项目_01_修改评估意见.docx</t>
        </is>
      </c>
      <c r="D11" s="3" t="inlineStr">
        <is>
          <t>V01</t>
        </is>
      </c>
      <c r="E11" s="3" t="inlineStr">
        <is>
          <t>PL010_悍高集团股份有限公司功能拉篮车间搬迁扩建项目_01_修改评估意见.docx</t>
        </is>
      </c>
      <c r="F11" s="3" t="inlineStr">
        <is>
          <t>按seed_qa顺序；在候选中选择环境质量章节完整、文本最长或优先级最高的DOCX。</t>
        </is>
      </c>
      <c r="G11" s="3" t="n">
        <v>5</v>
      </c>
    </row>
    <row r="12">
      <c r="A12" s="3" t="inlineStr">
        <is>
          <t>PL011</t>
        </is>
      </c>
      <c r="B12" s="3" t="inlineStr">
        <is>
          <t>广东潜龙化工有限公司新建项目</t>
        </is>
      </c>
      <c r="C12" s="3" t="inlineStr">
        <is>
          <t>E:\华南理工项目\环评文件汇总\01_GitHub项目与研究文档\eia-openclaw-sync-chen2026\05_QA测试集\人工核查_环评报告出处整理_20260715\环评报告文件_按问答顺序\PL011_广东潜龙化工有限公司新建项目_01_修改评估意见.docx</t>
        </is>
      </c>
      <c r="D12" s="3" t="inlineStr">
        <is>
          <t>V01</t>
        </is>
      </c>
      <c r="E12" s="3" t="inlineStr">
        <is>
          <t>PL011_广东潜龙化工有限公司新建项目_01_修改评估意见.docx</t>
        </is>
      </c>
      <c r="F12" s="3" t="inlineStr">
        <is>
          <t>按seed_qa顺序；在候选中选择环境质量章节完整、文本最长或优先级最高的DOCX。</t>
        </is>
      </c>
      <c r="G12" s="3" t="n">
        <v>5</v>
      </c>
    </row>
    <row r="13">
      <c r="A13" s="3" t="inlineStr">
        <is>
          <t>PL019</t>
        </is>
      </c>
      <c r="B13" s="3" t="inlineStr">
        <is>
          <t>佛山市智龙科技有限公司迁扩建项目</t>
        </is>
      </c>
      <c r="C13" s="3" t="inlineStr">
        <is>
          <t>PL019_佛山市智龙科技有限公司迁扩建项目_01_受理公告或公示版(1).pdf</t>
        </is>
      </c>
      <c r="D13" s="3" t="inlineStr">
        <is>
          <t>V01</t>
        </is>
      </c>
      <c r="E13" s="3" t="n"/>
      <c r="F13" s="3" t="inlineStr">
        <is>
          <t>由第一批QA结果表合并生成；第一批工作簿未包含文件选择记录工作表。</t>
        </is>
      </c>
      <c r="G13" s="3" t="n"/>
    </row>
    <row r="14">
      <c r="A14" s="3" t="inlineStr">
        <is>
          <t>PL022</t>
        </is>
      </c>
      <c r="B14" s="3" t="inlineStr">
        <is>
          <t>佛山市锐拓新材料有限公司新建项目</t>
        </is>
      </c>
      <c r="C14" s="3" t="inlineStr">
        <is>
          <t>PL022_佛山市锐拓新材料有限公司新建项目_01_受理公告或公示版(1).pdf</t>
        </is>
      </c>
      <c r="D14" s="3" t="inlineStr">
        <is>
          <t>V01</t>
        </is>
      </c>
      <c r="E14" s="3" t="n"/>
      <c r="F14" s="3" t="inlineStr">
        <is>
          <t>由第一批QA结果表合并生成；第一批工作簿未包含文件选择记录工作表。</t>
        </is>
      </c>
      <c r="G14" s="3" t="n"/>
    </row>
    <row r="15">
      <c r="A15" s="3" t="inlineStr">
        <is>
          <t>PL026</t>
        </is>
      </c>
      <c r="B15" s="3" t="inlineStr">
        <is>
          <t>佛山市黑曜电器科技有限公司新建项目</t>
        </is>
      </c>
      <c r="C15" s="3" t="inlineStr">
        <is>
          <t>PL026_佛山市黑曜电器科技有限公司新建项目_01_报批稿或报告表(1).pdf</t>
        </is>
      </c>
      <c r="D15" s="3" t="inlineStr">
        <is>
          <t>V01</t>
        </is>
      </c>
      <c r="E15" s="3" t="n"/>
      <c r="F15" s="3" t="inlineStr">
        <is>
          <t>由第一批QA结果表合并生成；第一批工作簿未包含文件选择记录工作表。</t>
        </is>
      </c>
      <c r="G15" s="3" t="n"/>
    </row>
    <row r="16">
      <c r="A16" s="3" t="inlineStr">
        <is>
          <t>PL036</t>
        </is>
      </c>
      <c r="B16" s="3" t="inlineStr">
        <is>
          <t>广东梅州磁性材料有限公司顺德分公司迁扩建项目</t>
        </is>
      </c>
      <c r="C16" s="3" t="inlineStr">
        <is>
          <t>PL036_广东梅州磁性材料有限公司顺德分公司迁扩建项目_01_受理公告或公示版(1).pdf</t>
        </is>
      </c>
      <c r="D16" s="3" t="inlineStr">
        <is>
          <t>V01</t>
        </is>
      </c>
      <c r="E16" s="3" t="n"/>
      <c r="F16" s="3" t="inlineStr">
        <is>
          <t>由第一批QA结果表合并生成；第一批工作簿未包含文件选择记录工作表。</t>
        </is>
      </c>
      <c r="G16" s="3" t="n"/>
    </row>
    <row r="17">
      <c r="A17" s="3" t="inlineStr">
        <is>
          <t>PL043</t>
        </is>
      </c>
      <c r="B17" s="3" t="inlineStr">
        <is>
          <t>佛山市益旭电器有限公司新建项目</t>
        </is>
      </c>
      <c r="C17" s="3" t="inlineStr">
        <is>
          <t>PL043_佛山市益旭电器有限公司新建项目_01_受理公告或公示版(2).pdf</t>
        </is>
      </c>
      <c r="D17" s="3" t="inlineStr">
        <is>
          <t>V01</t>
        </is>
      </c>
      <c r="E17" s="3" t="n"/>
      <c r="F17" s="3" t="inlineStr">
        <is>
          <t>由第一批QA结果表合并生成；第一批工作簿未包含文件选择记录工作表。</t>
        </is>
      </c>
      <c r="G17" s="3" t="n"/>
    </row>
  </sheetData>
  <autoFilter ref="A1:G1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2026-07-25T07:21:26Z</dcterms:created>
  <dcterms:modified xmlns:dcterms="http://purl.org/dc/terms/" xmlns:xsi="http://www.w3.org/2001/XMLSchema-instance" xsi:type="dcterms:W3CDTF">2026-07-25T07:21:26Z</dcterms:modified>
</cp:coreProperties>
</file>